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E:\phD work\GTFS_Interpolated\submit_final\github_upload\data_files\"/>
    </mc:Choice>
  </mc:AlternateContent>
  <xr:revisionPtr revIDLastSave="0" documentId="13_ncr:1_{A96091EC-EF0D-41F7-BC06-6749D683BC42}" xr6:coauthVersionLast="47" xr6:coauthVersionMax="47" xr10:uidLastSave="{00000000-0000-0000-0000-000000000000}"/>
  <bookViews>
    <workbookView xWindow="-108" yWindow="-108" windowWidth="23256" windowHeight="12456" xr2:uid="{00000000-000D-0000-FFFF-FFFF00000000}"/>
  </bookViews>
  <sheets>
    <sheet name="Table&amp;Findings" sheetId="1" r:id="rId1"/>
    <sheet name="feed_data_v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7" i="1" l="1"/>
  <c r="B37" i="1" a="1"/>
  <c r="B37" i="1" s="1"/>
  <c r="E36" i="1"/>
  <c r="B36" i="1" a="1"/>
  <c r="B36" i="1" s="1"/>
  <c r="E35" i="1"/>
  <c r="B35" i="1" a="1"/>
  <c r="B35" i="1" s="1"/>
  <c r="E34" i="1"/>
  <c r="B34" i="1" a="1"/>
  <c r="B34" i="1" s="1"/>
  <c r="B33" i="1"/>
  <c r="B32" i="1"/>
  <c r="E31" i="1"/>
  <c r="B31" i="1"/>
  <c r="B30" i="1"/>
  <c r="E29" i="1"/>
  <c r="B29" i="1"/>
  <c r="B28" i="1"/>
  <c r="E27" i="1"/>
  <c r="B27" i="1"/>
  <c r="E26" i="1"/>
  <c r="B26" i="1"/>
  <c r="E23" i="1"/>
  <c r="B23" i="1"/>
  <c r="E22" i="1"/>
  <c r="D22" i="1" a="1"/>
  <c r="D22" i="1" s="1"/>
  <c r="C22" i="1" a="1"/>
  <c r="C22" i="1" s="1"/>
  <c r="B22" i="1" a="1"/>
  <c r="B22" i="1" s="1"/>
  <c r="E21" i="1"/>
  <c r="D21" i="1" s="1" a="1"/>
  <c r="D21" i="1" s="1"/>
  <c r="C21" i="1" a="1"/>
  <c r="C21" i="1" s="1"/>
  <c r="B21" i="1" a="1"/>
  <c r="B21" i="1" s="1"/>
  <c r="E20" i="1"/>
  <c r="B20" i="1"/>
  <c r="C20" i="1" s="1"/>
  <c r="E19" i="1"/>
  <c r="C19" i="1" s="1" a="1"/>
  <c r="C19" i="1" s="1"/>
  <c r="D19" i="1" a="1"/>
  <c r="D19" i="1" s="1"/>
  <c r="B19" i="1" a="1"/>
  <c r="B19" i="1" s="1"/>
  <c r="E17" i="1"/>
  <c r="B17" i="1" a="1"/>
  <c r="B17" i="1" s="1"/>
  <c r="E16" i="1"/>
  <c r="B16" i="1"/>
  <c r="D16" i="1" s="1"/>
  <c r="E15" i="1"/>
  <c r="D15" i="1"/>
  <c r="C15" i="1"/>
  <c r="B15" i="1"/>
  <c r="E14" i="1"/>
  <c r="D14" i="1" s="1"/>
  <c r="B14" i="1"/>
  <c r="E13" i="1"/>
  <c r="D13" i="1" s="1"/>
  <c r="B13" i="1"/>
  <c r="E12" i="1"/>
  <c r="B12" i="1"/>
  <c r="E10" i="1"/>
  <c r="B10" i="1"/>
  <c r="E9" i="1"/>
  <c r="B9" i="1"/>
  <c r="D9" i="1" s="1"/>
  <c r="E8" i="1"/>
  <c r="B8" i="1" s="1"/>
  <c r="E7" i="1"/>
  <c r="B7" i="1" s="1"/>
  <c r="B5" i="1"/>
  <c r="B4" i="1"/>
  <c r="C13" i="1" l="1"/>
  <c r="D8" i="1"/>
  <c r="C8" i="1"/>
  <c r="C7" i="1"/>
  <c r="D7" i="1"/>
  <c r="D20" i="1"/>
  <c r="C14" i="1"/>
  <c r="C16" i="1"/>
  <c r="C9" i="1"/>
</calcChain>
</file>

<file path=xl/sharedStrings.xml><?xml version="1.0" encoding="utf-8"?>
<sst xmlns="http://schemas.openxmlformats.org/spreadsheetml/2006/main" count="8323" uniqueCount="3746">
  <si>
    <t>Table 1. Key characteristics of the analyzed bus feeds</t>
  </si>
  <si>
    <t>Quantity</t>
  </si>
  <si>
    <t>Value</t>
  </si>
  <si>
    <t>95% CI low</t>
  </si>
  <si>
    <t>95% CI high</t>
  </si>
  <si>
    <t>Feeds (n)</t>
  </si>
  <si>
    <t>Data column</t>
  </si>
  <si>
    <t>Analyzed feeds</t>
  </si>
  <si>
    <t>feed_id</t>
  </si>
  <si>
    <t>Countries</t>
  </si>
  <si>
    <t>country</t>
  </si>
  <si>
    <t>i) Resolution</t>
  </si>
  <si>
    <t>Feeds with at least 95% of inter-stop travel times on a whole minute</t>
  </si>
  <si>
    <t>share_travel_times_whole_minute</t>
  </si>
  <si>
    <t>Feeds with fewer than 5% of inter-stop travel times on a whole minute</t>
  </si>
  <si>
    <t>Feeds with at least 95% of stop times on a whole minute</t>
  </si>
  <si>
    <t>share_stop_times_whole_minute</t>
  </si>
  <si>
    <t>Median feed: share of stop times on a whole minute</t>
  </si>
  <si>
    <t>ii) Interpolation</t>
  </si>
  <si>
    <t>Feeds that populate the timepoint field</t>
  </si>
  <si>
    <t>timepoint_status</t>
  </si>
  <si>
    <t>Median share of stop times flagged approximate</t>
  </si>
  <si>
    <t>approximate_share</t>
  </si>
  <si>
    <t>Median share of testable approximate times on the interpolation line (lower bound)</t>
  </si>
  <si>
    <t>share_approx_on_line</t>
  </si>
  <si>
    <t>Median share of testable exact timepoints on the interpolation line</t>
  </si>
  <si>
    <t>share_timepoints_on_line</t>
  </si>
  <si>
    <t>Feeds with most stop times flagged approximate and at least 95% of them on whole minutes</t>
  </si>
  <si>
    <t>approximate_share, share_approx_whole_minute</t>
  </si>
  <si>
    <t>Correlation of sub-minute precision with approximate share</t>
  </si>
  <si>
    <t>share_stop_times_whole_minute, approximate_share</t>
  </si>
  <si>
    <t>iii) Time of day (peaks 07:00-09:00 and 16:00-18:00, midday 10:00-14:00)</t>
  </si>
  <si>
    <t>Median increase in scheduled bus travel time, peaks over midday</t>
  </si>
  <si>
    <t>bus_peak_midday_increase, feeds with n_bus_peak_midday_segments &gt;= 20</t>
  </si>
  <si>
    <t>Feeds whose peak and midday bus travel times differ by less than 2%</t>
  </si>
  <si>
    <t>Feeds with a segregated mode: median bus increase</t>
  </si>
  <si>
    <t>bus_peak_midday_increase, feeds with has_peak_midday_baseline</t>
  </si>
  <si>
    <t>Feeds with a segregated mode: median segregated-mode increase</t>
  </si>
  <si>
    <t>segregated_peak_midday_increase, feeds with has_peak_midday_baseline</t>
  </si>
  <si>
    <t>Feeds with a segregated mode: bus increase larger than segregated-mode increase</t>
  </si>
  <si>
    <t>bus_peak_midday_exceeds_control</t>
  </si>
  <si>
    <t>Timepoint feeds with at least 95% of exact timepoints on a whole minute (Findings para 2)</t>
  </si>
  <si>
    <t>share_timepoints_whole_minute</t>
  </si>
  <si>
    <t>Median share of approximate stop times on a whole minute (Findings para 2)</t>
  </si>
  <si>
    <t>share_approx_whole_minute</t>
  </si>
  <si>
    <t>Feeds with testable approximate times (Findings para 2)</t>
  </si>
  <si>
    <t>n_approx_testable</t>
  </si>
  <si>
    <t>Feeds with at least 90% of testable times on the line (Findings para 2)</t>
  </si>
  <si>
    <t>Feeds with testable exact timepoints (Findings para 2)</t>
  </si>
  <si>
    <t>n_timepoints_testable</t>
  </si>
  <si>
    <t>Feeds with most stop times flagged approximate and at least 95% of them on whole minutes (Findings para 2)</t>
  </si>
  <si>
    <t>Feeds with at least 20 qualifying segments (Findings para 3)</t>
  </si>
  <si>
    <t>n_bus_peak_midday_segments</t>
  </si>
  <si>
    <t>Feeds with a segregated mode (Findings para 3)</t>
  </si>
  <si>
    <t>has_peak_midday_baseline</t>
  </si>
  <si>
    <t>Feeds with a segregated mode: median bus trips a day (Findings para 3)</t>
  </si>
  <si>
    <t>n_bus_trips, feeds with has_peak_midday_baseline</t>
  </si>
  <si>
    <t>All 1,546 feeds: median bus trips a day (Findings para 3)</t>
  </si>
  <si>
    <t>n_bus_trips, feeds with n_bus_peak_midday_segments &gt;= 20</t>
  </si>
  <si>
    <t>Feeds with a segregated mode: median bus increase per segment, seconds (Findings para 3)</t>
  </si>
  <si>
    <t>bus_peak_midday_s, feeds with has_peak_midday_baseline</t>
  </si>
  <si>
    <t>Feeds written to the second: median inter-stop travel time, seconds (Findings para 4)</t>
  </si>
  <si>
    <t>median_travel_time_s, feeds with share_travel_times_whole_minute &lt; 0.05</t>
  </si>
  <si>
    <t>agency</t>
  </si>
  <si>
    <t>n_bus_trips</t>
  </si>
  <si>
    <t>n_travel_times</t>
  </si>
  <si>
    <t>n_distinct_travel_times</t>
  </si>
  <si>
    <t>median_travel_time_s</t>
  </si>
  <si>
    <t>temporal_resolution_s</t>
  </si>
  <si>
    <t>interpolation_basis</t>
  </si>
  <si>
    <t>n_control_modes</t>
  </si>
  <si>
    <t>has_control_baseline</t>
  </si>
  <si>
    <t>bus_peak_to_peak_s</t>
  </si>
  <si>
    <t>segregated_peak_to_peak_s</t>
  </si>
  <si>
    <t>bus_exceeds_own_control</t>
  </si>
  <si>
    <t>share_blank_stop_times</t>
  </si>
  <si>
    <t>bus_peak_midday_increase</t>
  </si>
  <si>
    <t>bus_peak_midday_s</t>
  </si>
  <si>
    <t>bus_am_midday_increase</t>
  </si>
  <si>
    <t>bus_pm_midday_increase</t>
  </si>
  <si>
    <t>n_control_modes_peak_midday</t>
  </si>
  <si>
    <t>segregated_peak_midday_increase</t>
  </si>
  <si>
    <t>segregated_peak_midday_s</t>
  </si>
  <si>
    <t>jbda-aichi-miyoshicity-sansanbus</t>
  </si>
  <si>
    <t>みよし市</t>
  </si>
  <si>
    <t>JP</t>
  </si>
  <si>
    <t>not_declared</t>
  </si>
  <si>
    <t>jbda-akashicity-tacobustacobusmini</t>
  </si>
  <si>
    <t>明石市</t>
  </si>
  <si>
    <t>jbda-anjocity-AnkuruBus</t>
  </si>
  <si>
    <t>安城市</t>
  </si>
  <si>
    <t>jbda-annakacity-annakashi-rosenbus</t>
  </si>
  <si>
    <t>安中市</t>
  </si>
  <si>
    <t>jbda-aoi-komaki-aoikotsu</t>
  </si>
  <si>
    <t>あおい交通</t>
  </si>
  <si>
    <t>jbda-ashiyatown-AshiyaTownBus</t>
  </si>
  <si>
    <t>芦屋町</t>
  </si>
  <si>
    <t>jbda-awajicity-awajinawahimebus</t>
  </si>
  <si>
    <t>淡路市</t>
  </si>
  <si>
    <t>jbda-buzencity-BuzenCityBus</t>
  </si>
  <si>
    <t>豊前市</t>
  </si>
  <si>
    <t>jbda-chigasakicity-eboshigou</t>
  </si>
  <si>
    <t>茅ヶ崎市</t>
  </si>
  <si>
    <t>jbda-chikuma-bus-rosenbus</t>
  </si>
  <si>
    <t>千曲バス株式会社</t>
  </si>
  <si>
    <t>jbda-chikumacity-chikumajunkanbus</t>
  </si>
  <si>
    <t>千曲市</t>
  </si>
  <si>
    <t>jbda-chiryucity-communitybus</t>
  </si>
  <si>
    <t>知立市</t>
  </si>
  <si>
    <t>jbda-chitabus-chitabus</t>
  </si>
  <si>
    <t>知多乗合（知多バス）</t>
  </si>
  <si>
    <t>jbda-chitetsu-chitetsubus</t>
  </si>
  <si>
    <t>富山地方鉄道</t>
  </si>
  <si>
    <t>jbda-chukibus-chukibus</t>
  </si>
  <si>
    <t>中紀バス</t>
  </si>
  <si>
    <t>jbda-daishinto-Radiant-City</t>
  </si>
  <si>
    <t>大新東株式会社</t>
  </si>
  <si>
    <t>jbda-enacity-communitybus</t>
  </si>
  <si>
    <t>恵那市</t>
  </si>
  <si>
    <t>jbda-fujiedacity-gtfsfjed</t>
  </si>
  <si>
    <t>藤枝市</t>
  </si>
  <si>
    <t>jbda-gifucity-communitybus</t>
  </si>
  <si>
    <t>岐阜市</t>
  </si>
  <si>
    <t>jbda-gujocity-citybus</t>
  </si>
  <si>
    <t>郡上市</t>
  </si>
  <si>
    <t>jbda-gunma-otacity-ootacitybus</t>
  </si>
  <si>
    <t>太田市</t>
  </si>
  <si>
    <t>jbda-hachinohe-hachinohe-citybus</t>
  </si>
  <si>
    <t>八戸市交通部</t>
  </si>
  <si>
    <t>jbda-hakubavalley-bus-hakubavalley-nagano-jp</t>
  </si>
  <si>
    <t>HAKUBAVALLEY事務局</t>
  </si>
  <si>
    <t>jbda-hakusancity-hakusan_bus_meguru</t>
  </si>
  <si>
    <t>白山市</t>
  </si>
  <si>
    <t>jbda-hashimacity-HashimaCityCommunityBus</t>
  </si>
  <si>
    <t>羽島市</t>
  </si>
  <si>
    <t>jbda-hidacity-communitybus</t>
  </si>
  <si>
    <t>飛騨市</t>
  </si>
  <si>
    <t>jbda-higashiomicity-higasiohmisicommunitybus</t>
  </si>
  <si>
    <t>東近江市</t>
  </si>
  <si>
    <t>jbda-higashiuratown-communitybus</t>
  </si>
  <si>
    <t>東浦町</t>
  </si>
  <si>
    <t>jbda-himejicity-ieshima-boze-yukihiko</t>
  </si>
  <si>
    <t>姫路市</t>
  </si>
  <si>
    <t>jbda-hiranaitown-hiranaitownbus</t>
  </si>
  <si>
    <t>平内町</t>
  </si>
  <si>
    <t>jbda-hirosakicity-hokusei-noriai</t>
  </si>
  <si>
    <t>弘前市</t>
  </si>
  <si>
    <t>jbda-hisayamatown-HisayamaIkoBus</t>
  </si>
  <si>
    <t>久山町</t>
  </si>
  <si>
    <t>jbda-hokushin-bus-hokushinbus</t>
  </si>
  <si>
    <t>北振バス株式会社</t>
  </si>
  <si>
    <t>jbda-hyogo-kamikawatown-communitybus</t>
  </si>
  <si>
    <t>神河町</t>
  </si>
  <si>
    <t>jbda-hyogo-ono-ranranbus</t>
  </si>
  <si>
    <t>小野市</t>
  </si>
  <si>
    <t>jbda-ibigawatown-communitybus</t>
  </si>
  <si>
    <t>揖斐川町</t>
  </si>
  <si>
    <t>jbda-ichinosekicity-Ichinosekibus</t>
  </si>
  <si>
    <t>一関市</t>
  </si>
  <si>
    <t>jbda-igacity-communitybus</t>
  </si>
  <si>
    <t>伊賀市</t>
  </si>
  <si>
    <t>jbda-imizucity-imizushi</t>
  </si>
  <si>
    <t>射水市</t>
  </si>
  <si>
    <t>jbda-inabecity-fukushibus</t>
  </si>
  <si>
    <t>いなべ市</t>
  </si>
  <si>
    <t>jbda-inzaicity-rosenbus</t>
  </si>
  <si>
    <t>印西市</t>
  </si>
  <si>
    <t>jbda-isecity-communitybus</t>
  </si>
  <si>
    <t>伊勢市</t>
  </si>
  <si>
    <t>jbda-itoigawabus-itoigawabus</t>
  </si>
  <si>
    <t>糸魚川バス株式会社</t>
  </si>
  <si>
    <t>jbda-kaetsunou-kaetsunouippan</t>
  </si>
  <si>
    <t>加越能バス</t>
  </si>
  <si>
    <t>jbda-kagoshimacity-aibus</t>
  </si>
  <si>
    <t>鹿児島市</t>
  </si>
  <si>
    <t>jbda-kaizucity-communitybus</t>
  </si>
  <si>
    <t>海津市</t>
  </si>
  <si>
    <t>jbda-kakogawacity-kakobuskakobusmini</t>
  </si>
  <si>
    <t>加古川市</t>
  </si>
  <si>
    <t>jbda-kamacity-KamaCityBus</t>
  </si>
  <si>
    <t>嘉麻市</t>
  </si>
  <si>
    <t>jbda-kameyamacity-communitybus</t>
  </si>
  <si>
    <t>亀山市</t>
  </si>
  <si>
    <t>jbda-kamicity-GTFS-Kamicity_Bus</t>
  </si>
  <si>
    <t>香美市</t>
  </si>
  <si>
    <t>jbda-kamigoritown-ainorigo</t>
  </si>
  <si>
    <t>上郡町</t>
  </si>
  <si>
    <t>jbda-kamocity-kamonbus</t>
  </si>
  <si>
    <t>加茂市</t>
  </si>
  <si>
    <t>jbda-kariyacity-communitybus</t>
  </si>
  <si>
    <t>刈谷市</t>
  </si>
  <si>
    <t>jbda-kasaicity-kasaineppihappybus</t>
  </si>
  <si>
    <t>加西市</t>
  </si>
  <si>
    <t>jbda-kasugacity-yayoi_kasuga</t>
  </si>
  <si>
    <t>春日市</t>
  </si>
  <si>
    <t>jbda-keisei-transitbus-keiseitransitbus</t>
  </si>
  <si>
    <t>京成バス千葉ウエスト株式会社</t>
  </si>
  <si>
    <t>jbda-kimitsucity-Local_buses_via_Kimitsu_City</t>
  </si>
  <si>
    <t>君津市</t>
  </si>
  <si>
    <t>jbda-kinokawacity-kinokawa_bus</t>
  </si>
  <si>
    <t>紀の川市</t>
  </si>
  <si>
    <t>jbda-kisokoikirengo-kiso-bus</t>
  </si>
  <si>
    <t>木曽広域連合</t>
  </si>
  <si>
    <t>jbda-kitaena-kitaena</t>
  </si>
  <si>
    <t>北恵那交通</t>
  </si>
  <si>
    <t>jbda-kitakyushucity-edamitsu</t>
  </si>
  <si>
    <t>北九州市</t>
  </si>
  <si>
    <t>jbda-kitanagoyacity-communitybus</t>
  </si>
  <si>
    <t>北名古屋市</t>
  </si>
  <si>
    <t>jbda-kitashitara-odekakehokusetsu</t>
  </si>
  <si>
    <t>北設楽郡公共交通活性化協議会</t>
  </si>
  <si>
    <t>jbda-kobecity-kobe-shiokaze</t>
  </si>
  <si>
    <t>神戸市</t>
  </si>
  <si>
    <t>jbda-kochi-ekimae-kanko-GTFS-Ekimae_Airportbus</t>
  </si>
  <si>
    <t>株式会社高知駅前観光</t>
  </si>
  <si>
    <t>jbda-kochi-konancity-GTFS-Konancity_Bus</t>
  </si>
  <si>
    <t>香南市</t>
  </si>
  <si>
    <t>jbda-kochi-koryo-kotsu-GTFS-Koryotraffic_Localbus</t>
  </si>
  <si>
    <t>高知高陵交通株式会社</t>
  </si>
  <si>
    <t>jbda-kochi-seinan-kotsu-GTFS-Seinantraffic_Localbus</t>
  </si>
  <si>
    <t>高知西南交通株式会社</t>
  </si>
  <si>
    <t>jbda-kochi-tobu-kotsu-GTFS-Tobutraffic_Localbus</t>
  </si>
  <si>
    <t>高知東部交通株式会社</t>
  </si>
  <si>
    <t>jbda-kokacity-sinaicommunitybus</t>
  </si>
  <si>
    <t>甲賀市</t>
  </si>
  <si>
    <t>jbda-kotosan-kotohira-local</t>
  </si>
  <si>
    <t>琴参バス株式会社</t>
  </si>
  <si>
    <t>jbda-kotosan-marugame-community</t>
  </si>
  <si>
    <t>jbda-kuma-bus-kuma-bus</t>
  </si>
  <si>
    <t>熊本バス</t>
  </si>
  <si>
    <t>jbda-kumamoto-toshibus-kumamoto-toshibus</t>
  </si>
  <si>
    <t>熊本都市バス</t>
  </si>
  <si>
    <t>jbda-kumamotodentetsu-kumamotodentetsu-bus</t>
  </si>
  <si>
    <t>熊本電鉄</t>
  </si>
  <si>
    <t>jbda-kumanogobobus-kumanogobobus_gobo</t>
  </si>
  <si>
    <t>熊野御坊南海バス株式会社</t>
  </si>
  <si>
    <t>jbda-kumanogobobus-kumanogobobus_kumano</t>
  </si>
  <si>
    <t>jbda-kurobecity-shinkansenikuji-ishida-aimoto-minibus</t>
  </si>
  <si>
    <t>黒部市</t>
  </si>
  <si>
    <t>jbda-kusakarukotsu-kusakarubus</t>
  </si>
  <si>
    <t>草軽交通株式会社</t>
  </si>
  <si>
    <t>jbda-kusatsucity-kusatsusimamebus</t>
  </si>
  <si>
    <t>草津市</t>
  </si>
  <si>
    <t>jbda-kuwanacity-communitybus</t>
  </si>
  <si>
    <t>桑名市</t>
  </si>
  <si>
    <t>jbda-matsumotocity-guruttomatsumotobus2</t>
  </si>
  <si>
    <t>松本市</t>
  </si>
  <si>
    <t>jbda-matsusakacity-communitybus</t>
  </si>
  <si>
    <t>松阪市</t>
  </si>
  <si>
    <t>jbda-meikobus-meikobus</t>
  </si>
  <si>
    <t>明光バス株式会社</t>
  </si>
  <si>
    <t>jbda-mie-kotsu-sancochusei</t>
  </si>
  <si>
    <t>三重交通</t>
  </si>
  <si>
    <t>jbda-minamiawajicity-lanrunbus</t>
  </si>
  <si>
    <t>南あわじ市</t>
  </si>
  <si>
    <t>jbda-minamiisetown-choeibus</t>
  </si>
  <si>
    <t>南伊勢町</t>
  </si>
  <si>
    <t>jbda-minamishinshu-Minamishinshu-Shinnan-1</t>
  </si>
  <si>
    <t>南信州地域交通問題協議会（南信州広域連合）</t>
  </si>
  <si>
    <t>jbda-minokamocity-communitybus</t>
  </si>
  <si>
    <t>美濃加茂市</t>
  </si>
  <si>
    <t>jbda-mitoyocity-mitoyocommunitybus</t>
  </si>
  <si>
    <t>三豊市</t>
  </si>
  <si>
    <t>jbda-munakatacity-MunakataCityCommunityBus</t>
  </si>
  <si>
    <t>宗像市</t>
  </si>
  <si>
    <t>jbda-murakamicity-murakamisicommunitybus</t>
  </si>
  <si>
    <t>村上市</t>
  </si>
  <si>
    <t>jbda-nabaricity-communitybus</t>
  </si>
  <si>
    <t>名張市</t>
  </si>
  <si>
    <t>jbda-nagadenbus-nagadenbus-nagano</t>
  </si>
  <si>
    <t>長電バス株式会社</t>
  </si>
  <si>
    <t>jbda-nagai-unyu-Nagaibus</t>
  </si>
  <si>
    <t>永井運輸株式会社</t>
  </si>
  <si>
    <t>jbda-nagaicity-NagaiCity</t>
  </si>
  <si>
    <t>長井市</t>
  </si>
  <si>
    <t>jbda-nagano-ikedatown-IkedaTownBus</t>
  </si>
  <si>
    <t>池田町</t>
  </si>
  <si>
    <t>jbda-naganocity-shiei_noriaibus</t>
  </si>
  <si>
    <t>長野市</t>
  </si>
  <si>
    <t>jbda-nagareyamacity-nagareyamagreenbus</t>
  </si>
  <si>
    <t>流山市</t>
  </si>
  <si>
    <t>jbda-nangokucity-GTFS-Nankokucity_Bus</t>
  </si>
  <si>
    <t>南国市</t>
  </si>
  <si>
    <t>jbda-nantocity-nanbus</t>
  </si>
  <si>
    <t>南砺市</t>
  </si>
  <si>
    <t>jbda-naoshimatown-naoshima</t>
  </si>
  <si>
    <t>直島町</t>
  </si>
  <si>
    <t>jbda-naritacity-narita-community-bus</t>
  </si>
  <si>
    <t>成田市</t>
  </si>
  <si>
    <t>jbda-nasushiobaracity-chiikibasu</t>
  </si>
  <si>
    <t>那須塩原市</t>
  </si>
  <si>
    <t>jbda-nemurokotsu-nemurobus</t>
  </si>
  <si>
    <t>根室交通株式会社</t>
  </si>
  <si>
    <t>jbda-niimicity-niimishieibus</t>
  </si>
  <si>
    <t>新見市</t>
  </si>
  <si>
    <t>jbda-nikkocity-nikkocity</t>
  </si>
  <si>
    <t>日光市</t>
  </si>
  <si>
    <t>jbda-nishiocity-meitestu_tobu</t>
  </si>
  <si>
    <t>西尾市</t>
  </si>
  <si>
    <t>jbda-nishiocity-rokumangokukururinbus</t>
  </si>
  <si>
    <t>jbda-nisshincity-communitybus</t>
  </si>
  <si>
    <t>日進市</t>
  </si>
  <si>
    <t>jbda-niyodogawatown-GTFS-Niyodogawatown_Townsbus</t>
  </si>
  <si>
    <t>仁淀川町</t>
  </si>
  <si>
    <t>jbda-nogatacity-NogataCityCommunityBus</t>
  </si>
  <si>
    <t>直方市</t>
  </si>
  <si>
    <t>jbda-nonoichicity-communitybus</t>
  </si>
  <si>
    <t>野々市市</t>
  </si>
  <si>
    <t>jbda-nouhibus-nouhibus</t>
  </si>
  <si>
    <t>濃飛乗合自動車（濃飛バス）</t>
  </si>
  <si>
    <t>jbda-ogakicity-meihankintetsubus</t>
  </si>
  <si>
    <t>大垣市</t>
  </si>
  <si>
    <t>jbda-oguchitown-communitybus</t>
  </si>
  <si>
    <t>大口町</t>
  </si>
  <si>
    <t>jbda-omachicity-omachisiminbus</t>
  </si>
  <si>
    <t>大町市</t>
  </si>
  <si>
    <t>jbda-omihachimancity-akakonbus</t>
  </si>
  <si>
    <t>近江八幡市</t>
  </si>
  <si>
    <t>jbda-oshucity-bus-oshucity-iwate-jp</t>
  </si>
  <si>
    <t>奥州市</t>
  </si>
  <si>
    <t>jbda-otawaracity-Ohtawaracitybus</t>
  </si>
  <si>
    <t>大田原市</t>
  </si>
  <si>
    <t>jbda-otonekotu-otonekotubus</t>
  </si>
  <si>
    <t>大利根交通自動車株式会社</t>
  </si>
  <si>
    <t>jbda-owasecity-fureaibus</t>
  </si>
  <si>
    <t>尾鷲市</t>
  </si>
  <si>
    <t>jbda-reihoku-kanko-GTFS-Reihokukanko_Localbus</t>
  </si>
  <si>
    <t>有限会社嶺北観光自動車</t>
  </si>
  <si>
    <t>jbda-rinkan-hashimoto-rinkandenentoshi</t>
  </si>
  <si>
    <t>南海りんかんバス株式会社</t>
  </si>
  <si>
    <t>jbda-rinkan-koyasan</t>
  </si>
  <si>
    <t>jbda-ryugasakicity-Ryugasakishi-communitybus</t>
  </si>
  <si>
    <t>龍ケ崎市</t>
  </si>
  <si>
    <t>jbda-ryujinbus-ryujinbus</t>
  </si>
  <si>
    <t>龍神自動車株式会社</t>
  </si>
  <si>
    <t>jbda-sankobus-sankobus</t>
  </si>
  <si>
    <t>産交バス</t>
  </si>
  <si>
    <t>jbda-sentetsu-Sentetsubus</t>
  </si>
  <si>
    <t>船木鉄道株式会社</t>
  </si>
  <si>
    <t>jbda-setocity-setocitybus</t>
  </si>
  <si>
    <t>瀬戸市</t>
  </si>
  <si>
    <t>jbda-setouchicity-setouchicitybus</t>
  </si>
  <si>
    <t>瀬戸内市</t>
  </si>
  <si>
    <t>jbda-shichigahamatown-Gururinko</t>
  </si>
  <si>
    <t>七ヶ浜町</t>
  </si>
  <si>
    <t>jbda-shiga-konancity-konansimegurukun</t>
  </si>
  <si>
    <t>湖南市</t>
  </si>
  <si>
    <t>jbda-shimadacity-shimada_combus</t>
  </si>
  <si>
    <t>島田市</t>
  </si>
  <si>
    <t>jbda-shimanto-kotsu-GTFS-Shimantotraffic_Localbus</t>
  </si>
  <si>
    <t>株式会社四万十交通</t>
  </si>
  <si>
    <t>jbda-shimantotown-GTFS-Shimantotown_Bus</t>
  </si>
  <si>
    <t>四万十町</t>
  </si>
  <si>
    <t>jbda-shimoko-shimokitakotsu</t>
  </si>
  <si>
    <t>下北交通株式会社</t>
  </si>
  <si>
    <t>jbda-shingutown-ShinguTownCommunityBus</t>
  </si>
  <si>
    <t>新宮町</t>
  </si>
  <si>
    <t>jbda-shinjobankotsu-SHINJOBANKOTSU</t>
  </si>
  <si>
    <t>新常磐交通株式会社</t>
  </si>
  <si>
    <t>jbda-shisocity-shitanbus-wingshinki</t>
  </si>
  <si>
    <t>宍粟市</t>
  </si>
  <si>
    <t>jbda-shonaikotsu-SHONAIKOTSU</t>
  </si>
  <si>
    <t>庄内交通</t>
  </si>
  <si>
    <t>jbda-suetown-SueTownCommunityBus</t>
  </si>
  <si>
    <t>須恵町</t>
  </si>
  <si>
    <t>jbda-suzakicity-suzakashiminbus</t>
  </si>
  <si>
    <t>須坂市</t>
  </si>
  <si>
    <t>jbda-tachikawacity-kururinbus</t>
  </si>
  <si>
    <t>立川市</t>
  </si>
  <si>
    <t>jbda-tagawacity-TagawaCityCommunityBus</t>
  </si>
  <si>
    <t>田川市</t>
  </si>
  <si>
    <t>jbda-taiyo-koutu-taiyo-koutu</t>
  </si>
  <si>
    <t>太陽交通株式会社</t>
  </si>
  <si>
    <t>jbda-takasagocity-jotonbus</t>
  </si>
  <si>
    <t>高砂市</t>
  </si>
  <si>
    <t>jbda-takashimacity-takasimasicommunitybus</t>
  </si>
  <si>
    <t>高島市</t>
  </si>
  <si>
    <t>jbda-takayamacity-noramaicar</t>
  </si>
  <si>
    <t>高山市</t>
  </si>
  <si>
    <t>jbda-takeyakoutu-takeyakotsu</t>
  </si>
  <si>
    <t>株式会社タケヤ交通</t>
  </si>
  <si>
    <t>jbda-tateyamatown-tateyama</t>
  </si>
  <si>
    <t>立山町</t>
  </si>
  <si>
    <t>jbda-tobacity-communitybus</t>
  </si>
  <si>
    <t>鳥羽市</t>
  </si>
  <si>
    <t>jbda-tokaicity-tokai-ranranbus</t>
  </si>
  <si>
    <t>東海市</t>
  </si>
  <si>
    <t>jbda-tokonamecity-Gruun</t>
  </si>
  <si>
    <t>常滑市</t>
  </si>
  <si>
    <t>jbda-tokubus-nanbu-tokushimabusnanbu</t>
  </si>
  <si>
    <t>徳島バス南部株式会社</t>
  </si>
  <si>
    <t>jbda-tokubus-tokushimabus</t>
  </si>
  <si>
    <t>徳島バス株式会社</t>
  </si>
  <si>
    <t>jbda-tokushima-miyoshicity-miyoshicitybus</t>
  </si>
  <si>
    <t>三好市</t>
  </si>
  <si>
    <t>jbda-tokushima-shiei-tokushimacitybus</t>
  </si>
  <si>
    <t>徳島市交通局</t>
  </si>
  <si>
    <t>jbda-tosaden-kotsu-GTFS-Tosadentraffic_Regularbus</t>
  </si>
  <si>
    <t>とさでん交通株式会社</t>
  </si>
  <si>
    <t>jbda-towadakankodentetsu-toutetsu</t>
  </si>
  <si>
    <t>十和田観光電鉄株式会社</t>
  </si>
  <si>
    <t>jbda-toyamacity-yatsuocommunitybus</t>
  </si>
  <si>
    <t>富山市</t>
  </si>
  <si>
    <t>jbda-toyotacity-chiikibus</t>
  </si>
  <si>
    <t>豊田市</t>
  </si>
  <si>
    <t>jbda-toyotacity-kikanbus</t>
  </si>
  <si>
    <t>jbda-tsucity-communitybus</t>
  </si>
  <si>
    <t>津市</t>
  </si>
  <si>
    <t>jbda-uedabus-noriai_bus</t>
  </si>
  <si>
    <t>上田バス株式会社</t>
  </si>
  <si>
    <t>jbda-ugokotsu-ugokotsu_honjo</t>
  </si>
  <si>
    <t>羽後交通株式会社</t>
  </si>
  <si>
    <t>jbda-uozucity-junkai</t>
  </si>
  <si>
    <t>魚津市</t>
  </si>
  <si>
    <t>jbda-waketown-wakechoueibasu</t>
  </si>
  <si>
    <t>和気町</t>
  </si>
  <si>
    <t>jbda-wakocity-Wako-City-junkanbus</t>
  </si>
  <si>
    <t>和光市</t>
  </si>
  <si>
    <t>jbda-yamagata-yamagatacity-YamagataCity</t>
  </si>
  <si>
    <t>山形市</t>
  </si>
  <si>
    <t>jbda-yamakobus-YAMAKOBUS</t>
  </si>
  <si>
    <t>山形交通</t>
  </si>
  <si>
    <t>jbda-yamanashi-hokutocity-hokuto-bus</t>
  </si>
  <si>
    <t>北杜市</t>
  </si>
  <si>
    <t>jbda-yonezawacity-Yonezawa</t>
  </si>
  <si>
    <t>米沢市</t>
  </si>
  <si>
    <t>mdb-1009</t>
  </si>
  <si>
    <t>ZDMiKP w Bydgoszczy</t>
  </si>
  <si>
    <t>PL</t>
  </si>
  <si>
    <t>mdb-101</t>
  </si>
  <si>
    <t>Foothill Transit</t>
  </si>
  <si>
    <t>US</t>
  </si>
  <si>
    <t>declared</t>
  </si>
  <si>
    <t>distance</t>
  </si>
  <si>
    <t>mdb-1010</t>
  </si>
  <si>
    <t>Gmina Zaklad Komunalny (GZK Bystry)</t>
  </si>
  <si>
    <t>mdb-1011</t>
  </si>
  <si>
    <t>Koleje Mazowieckie (KM)</t>
  </si>
  <si>
    <t>mdb-1012</t>
  </si>
  <si>
    <t>Miejskie Przedsiębiorstwo Komunikacyjne w Lomzy (MPK ZB w Łomży)</t>
  </si>
  <si>
    <t>mdb-1013</t>
  </si>
  <si>
    <t>Zarząd Transportu Miejskiego Lublin (ZTM Lublin)</t>
  </si>
  <si>
    <t>mdb-1018</t>
  </si>
  <si>
    <t>Monkey Forest Ubud Shuttle</t>
  </si>
  <si>
    <t>ID</t>
  </si>
  <si>
    <t>mdb-1021</t>
  </si>
  <si>
    <t>Instituto Regulador del Transporte del Municipio de Managua</t>
  </si>
  <si>
    <t>NI</t>
  </si>
  <si>
    <t>mdb-1022</t>
  </si>
  <si>
    <t>Nicaragua</t>
  </si>
  <si>
    <t>mdb-1023</t>
  </si>
  <si>
    <t>MapaNica Estelí</t>
  </si>
  <si>
    <t>mdb-1027</t>
  </si>
  <si>
    <t>Republic of Serbia</t>
  </si>
  <si>
    <t>RS</t>
  </si>
  <si>
    <t>mdb-1029</t>
  </si>
  <si>
    <t>Auckland Transport</t>
  </si>
  <si>
    <t>NZ</t>
  </si>
  <si>
    <t>mdb-103</t>
  </si>
  <si>
    <t>El Monte Transit</t>
  </si>
  <si>
    <t>mdb-1033</t>
  </si>
  <si>
    <t>Transportes Sul do Tejo (TST)</t>
  </si>
  <si>
    <t>PT</t>
  </si>
  <si>
    <t>mdb-1041</t>
  </si>
  <si>
    <t>Kauno viešasis transportas (KVT)</t>
  </si>
  <si>
    <t>LT</t>
  </si>
  <si>
    <t>mdb-1042</t>
  </si>
  <si>
    <t>Klaipėda Transport</t>
  </si>
  <si>
    <t>mdb-1043</t>
  </si>
  <si>
    <t>Panevezio Autobusu Parkas</t>
  </si>
  <si>
    <t>mdb-1044</t>
  </si>
  <si>
    <t>Vilnius Transport</t>
  </si>
  <si>
    <t>mdb-1052</t>
  </si>
  <si>
    <t>TRENITALIA</t>
  </si>
  <si>
    <t>IT</t>
  </si>
  <si>
    <t>mdb-1053</t>
  </si>
  <si>
    <t>Loudoun County Transit</t>
  </si>
  <si>
    <t>mdb-1056</t>
  </si>
  <si>
    <t>Ciotabus</t>
  </si>
  <si>
    <t>FR</t>
  </si>
  <si>
    <t>mdb-1059</t>
  </si>
  <si>
    <t>Autolinee Varesine</t>
  </si>
  <si>
    <t>mdb-106</t>
  </si>
  <si>
    <t>Beaumont Transit</t>
  </si>
  <si>
    <t>mdb-1060</t>
  </si>
  <si>
    <t>Shreveport and Bossier City</t>
  </si>
  <si>
    <t>mdb-1062</t>
  </si>
  <si>
    <t>Automobilistico</t>
  </si>
  <si>
    <t>mdb-1066</t>
  </si>
  <si>
    <t>Società Gestione Multipla (SGM)</t>
  </si>
  <si>
    <t>mdb-1067</t>
  </si>
  <si>
    <t>Roseville Transit</t>
  </si>
  <si>
    <t>mdb-1069</t>
  </si>
  <si>
    <t>Transilien SNCF</t>
  </si>
  <si>
    <t>mdb-107</t>
  </si>
  <si>
    <t>Mountain Transit</t>
  </si>
  <si>
    <t>mdb-1071</t>
  </si>
  <si>
    <t>BayBus</t>
  </si>
  <si>
    <t>mdb-1072</t>
  </si>
  <si>
    <t>Wielicka Komunikacja Wewnątrzgminna</t>
  </si>
  <si>
    <t>mdb-1075</t>
  </si>
  <si>
    <t>Fluo Grand Est 67, CTS, DB AG, SBB, THURBO, Breisgau-S-Bahn GmbH, NVBW, Schwarzer Reisen, BBS Mittelschwaben, Probst, Brandner UA, Stadtbus Kempten, Gairing, RBI Regionalbus Isny, RBA Kempten, RBA Lindau, NeuBus, Schwabenbus Dillingen, Schweizerische Bundesbahnen SBB, Schweiz. Schifffahrtsgesellschaft Untersee und Rhein AG, Schweizerische Bodensee-Schiffahrtsgesellschaft AG, Politische Gemeinde Steckborn, SBB GmbH (Grenzverkehr), Bodensee-Schiffsbetriebe GmbH, PostAuto AG, SNCF, Scharnagel Omnibus</t>
  </si>
  <si>
    <t>mdb-1077</t>
  </si>
  <si>
    <t>OVapi</t>
  </si>
  <si>
    <t>DK</t>
  </si>
  <si>
    <t>mdb-1078</t>
  </si>
  <si>
    <t>Entur</t>
  </si>
  <si>
    <t>NO</t>
  </si>
  <si>
    <t>mdb-1080</t>
  </si>
  <si>
    <t>Metro Transit, Intercity Transit, City of Seattle, Community Transit, Pierce Transit, Sound Transit, Washington State Ferries, SeattleCenterMonorail, Everett Transit, Seattle Children's Hospital</t>
  </si>
  <si>
    <t>mdb-1082</t>
  </si>
  <si>
    <t>Hofmann Omnibusverkehr GmbH</t>
  </si>
  <si>
    <t>DE</t>
  </si>
  <si>
    <t>mdb-1085</t>
  </si>
  <si>
    <t>Verkehrsverbund Pforzheim-Enzkreis (VPE)</t>
  </si>
  <si>
    <t>mdb-1086</t>
  </si>
  <si>
    <t>Transperth</t>
  </si>
  <si>
    <t>AU</t>
  </si>
  <si>
    <t>stopcount</t>
  </si>
  <si>
    <t>mdb-1088</t>
  </si>
  <si>
    <t>Société des Transports Intercommunaux de Bruxelles/Maatschappij voor het Intercommunaal Vervoer te Brussel (STIB / MIVB)</t>
  </si>
  <si>
    <t>BE</t>
  </si>
  <si>
    <t>mdb-109</t>
  </si>
  <si>
    <t>Bullhead Area Transit System</t>
  </si>
  <si>
    <t>mdb-1090</t>
  </si>
  <si>
    <t>Public Transport Germany</t>
  </si>
  <si>
    <t>mdb-1091</t>
  </si>
  <si>
    <t>DPN, AVL, CFL, CFLBus, RGTR, TICE, TRAM</t>
  </si>
  <si>
    <t>mdb-1092</t>
  </si>
  <si>
    <t>Swiss Federal Railways (SBB)</t>
  </si>
  <si>
    <t>mdb-1098</t>
  </si>
  <si>
    <t>Waltti - Hämeenlinna</t>
  </si>
  <si>
    <t>FI</t>
  </si>
  <si>
    <t>mdb-11</t>
  </si>
  <si>
    <t>Amtrak</t>
  </si>
  <si>
    <t>mdb-1103</t>
  </si>
  <si>
    <t>Transport for Greater Manchester Arriva in the North West, Atlantic Travel, Bestway Travel, Belle Vue Coaches, Blackburn Private Hire, The Burnley Bus Company, Bullocks Coaches, Cumfy Bus, D&amp;G Bus, Don Fraser Coaches Ltd, Finch Coaches, First Halifax, Calder Valley &amp; Huddersfield, First in Greater Manchester, Little Gem, Go North West, Diamond Bus North West, Harris Travel, Hattons Transport, Hiltons Travel, High Peak, Huyton Travel, Holmeswood Coaches, Link Network, The Blackburn Bus Company, Maghull Coaches, Metrolink, Olympia Travel UK Ltd, Preston Bus, Nexus Move, Rosso, Tyrers, Stagecoach Merseyside and South Lancashire, Stagecoach in Greater Manchester, Selwyn's Travel, South Pennine C.T., Stotts, Travel Assist, Team Pennine, Viking Coaches, Vision Bus, Warrington's Own Buses</t>
  </si>
  <si>
    <t>GB</t>
  </si>
  <si>
    <t>mdb-1106</t>
  </si>
  <si>
    <t>Manila Light Rail Transit Authority, LTFRB, Manila Metro Rail Transit Corporation, MARINA, Philippine National Railways, The Fort Bus</t>
  </si>
  <si>
    <t>PH</t>
  </si>
  <si>
    <t>mdb-1109</t>
  </si>
  <si>
    <t>Roosevelt Island Operating Corporation Tramway (RIOC Tramway)</t>
  </si>
  <si>
    <t>mdb-111</t>
  </si>
  <si>
    <t>SunTran Utah</t>
  </si>
  <si>
    <t>mdb-1110</t>
  </si>
  <si>
    <t>Wave Transit</t>
  </si>
  <si>
    <t>mdb-1111</t>
  </si>
  <si>
    <t>Codiac Transport</t>
  </si>
  <si>
    <t>CA</t>
  </si>
  <si>
    <t>mdb-1115</t>
  </si>
  <si>
    <t>Freiburger Verkehrs AG (VAG), R.A.S.T. Reisen (RAST), Tuniberg Express</t>
  </si>
  <si>
    <t>mdb-1120</t>
  </si>
  <si>
    <t>Niš-ekspres, Lasta a.d. Beograd, Strela-Obrenovac</t>
  </si>
  <si>
    <t>mdb-1121</t>
  </si>
  <si>
    <t>Knoxville Area Transit (KAT)</t>
  </si>
  <si>
    <t>mdb-1122</t>
  </si>
  <si>
    <t>Kocaeli</t>
  </si>
  <si>
    <t>TR</t>
  </si>
  <si>
    <t>mdb-1123</t>
  </si>
  <si>
    <t>Komunikacja Miejska Łomianki</t>
  </si>
  <si>
    <t>mdb-1127</t>
  </si>
  <si>
    <t>Waltti - Kotka</t>
  </si>
  <si>
    <t>mdb-1128</t>
  </si>
  <si>
    <t>Waltti - Kouvola</t>
  </si>
  <si>
    <t>mdb-1129</t>
  </si>
  <si>
    <t>Haarasilta Toivo Samuli, Järvisen Liikenne Oy, Koiviston Auto Oy, Lehtimäen Liikenne Oy, Bus Travel Oy Reissu Ruoti, Tilausliikenne Kuisma Ky</t>
  </si>
  <si>
    <t>mdb-1130</t>
  </si>
  <si>
    <t>Mikkeli</t>
  </si>
  <si>
    <t>mdb-1131</t>
  </si>
  <si>
    <t>Waltti - Vaasa</t>
  </si>
  <si>
    <t>mdb-1135</t>
  </si>
  <si>
    <t>Bizkaibus</t>
  </si>
  <si>
    <t>ES</t>
  </si>
  <si>
    <t>mdb-1138</t>
  </si>
  <si>
    <t>Bus Regione Piemonte</t>
  </si>
  <si>
    <t>mdb-1143</t>
  </si>
  <si>
    <t>I-RIDE Trolley (I-RIDE)</t>
  </si>
  <si>
    <t>mdb-1144</t>
  </si>
  <si>
    <t>InterCity Group</t>
  </si>
  <si>
    <t>mdb-1147</t>
  </si>
  <si>
    <t>Mobilità e Trasporti Molfetta</t>
  </si>
  <si>
    <t>mdb-1149</t>
  </si>
  <si>
    <t>Shimada Local Voluntary Operation Bus</t>
  </si>
  <si>
    <t>mdb-1150</t>
  </si>
  <si>
    <t>Komunikacja Miejska Płock</t>
  </si>
  <si>
    <t>mdb-1151</t>
  </si>
  <si>
    <t>Komunikacja Miejska Bielawa Dzierżoniów</t>
  </si>
  <si>
    <t>mdb-1155</t>
  </si>
  <si>
    <t>Rodoviária de Lisboa</t>
  </si>
  <si>
    <t>mdb-1156</t>
  </si>
  <si>
    <t>Potomac and Rappahannock Transportation Commission (PRTC) Omniride</t>
  </si>
  <si>
    <t>mdb-1158</t>
  </si>
  <si>
    <t>SRTMedenine</t>
  </si>
  <si>
    <t>TN</t>
  </si>
  <si>
    <t>mdb-116</t>
  </si>
  <si>
    <t>Tehama Rural Area Express (TRAX), Susanville Indian Rancheria Public Transportation Program</t>
  </si>
  <si>
    <t>mdb-1161</t>
  </si>
  <si>
    <t>TRAINOSE</t>
  </si>
  <si>
    <t>GR</t>
  </si>
  <si>
    <t>mdb-1172</t>
  </si>
  <si>
    <t>Verkehrsverbund Mittelthüringen (VMT)</t>
  </si>
  <si>
    <t>mdb-1173</t>
  </si>
  <si>
    <t>Verkehrsverbund Rhein-Neckar</t>
  </si>
  <si>
    <t>mdb-1175</t>
  </si>
  <si>
    <t>ZDZiT Olsztyn</t>
  </si>
  <si>
    <t>mdb-1176</t>
  </si>
  <si>
    <t>ZTZ Rybnik</t>
  </si>
  <si>
    <t>mdb-1177</t>
  </si>
  <si>
    <t>Autolinee Mugello Valdisieve</t>
  </si>
  <si>
    <t>mdb-1179</t>
  </si>
  <si>
    <t>Agence métropolitaine de transport</t>
  </si>
  <si>
    <t>mdb-1181</t>
  </si>
  <si>
    <t>Agence métropolitaine de transport CRT Lanaudière</t>
  </si>
  <si>
    <t>mdb-1183</t>
  </si>
  <si>
    <t>Filsland Verkehrsverbund</t>
  </si>
  <si>
    <t>mdb-1185</t>
  </si>
  <si>
    <t>Airpullmann</t>
  </si>
  <si>
    <t>mdb-1186</t>
  </si>
  <si>
    <t>Петербургский метрополитен - Petersburg Metro</t>
  </si>
  <si>
    <t>RU</t>
  </si>
  <si>
    <t>mdb-1189</t>
  </si>
  <si>
    <t>Blacksburg Transit</t>
  </si>
  <si>
    <t>mdb-1194</t>
  </si>
  <si>
    <t>Bus Company S.r.l., Gunetto Autolinee S.r.l., Bus Company S.r.l., GelosoBus S.r.l., RT Piemonte S.r.l., Autolinee Nuova Benese S.r.l., Autolinee Allasia S.r.l., Nuova S.A.A.R. S.r.l., SAV Autolinee S.r.l., S.A.C. S.r.l., Autolinee Valle Pesio S.r.l., ACTP S.r.l., Nuova Beccaria S.r.l., Giors S.n.c., Consorzio Trasporti GRANDA BUS</t>
  </si>
  <si>
    <t>mdb-1198</t>
  </si>
  <si>
    <t>Long Beach Transit (LBT)</t>
  </si>
  <si>
    <t>mdb-120</t>
  </si>
  <si>
    <t>Regional Transportation Commission (RTC)</t>
  </si>
  <si>
    <t>mdb-1208</t>
  </si>
  <si>
    <t>Green Bus Thailand</t>
  </si>
  <si>
    <t>TH</t>
  </si>
  <si>
    <t>mdb-121</t>
  </si>
  <si>
    <t>Josephine County Transit (JCT)</t>
  </si>
  <si>
    <t>mdb-1210</t>
  </si>
  <si>
    <t>Los Angeles Department of Transportation (LADOT, DASH, Commuter Express)</t>
  </si>
  <si>
    <t>mdb-1220</t>
  </si>
  <si>
    <t>Colectivos Buenos Aires</t>
  </si>
  <si>
    <t>AR</t>
  </si>
  <si>
    <t>mdb-1224</t>
  </si>
  <si>
    <t>Rurtalbahn GmbH | ABELLIO Rail | VIAS GmbH| Aachener Straßenbahn und Energieversorgungs-AG | Rurtalbus GmbH | WestVerkehr GmbH | Staatsbahnen | National Express | ASEAG Netliner</t>
  </si>
  <si>
    <t>mdb-1227</t>
  </si>
  <si>
    <t>Waltti - Joensuu</t>
  </si>
  <si>
    <t>mdb-123</t>
  </si>
  <si>
    <t>UTrans</t>
  </si>
  <si>
    <t>mdb-1235</t>
  </si>
  <si>
    <t>Delaware Transit Corporation (DART First State)</t>
  </si>
  <si>
    <t>mdb-1237</t>
  </si>
  <si>
    <t>IndyGo</t>
  </si>
  <si>
    <t>mdb-1240</t>
  </si>
  <si>
    <t>Atomic City Transit</t>
  </si>
  <si>
    <t>mdb-1245</t>
  </si>
  <si>
    <t>City of Glendale</t>
  </si>
  <si>
    <t>mdb-1246</t>
  </si>
  <si>
    <t>Santa Barbara Metropolitan Transit District (MTD)</t>
  </si>
  <si>
    <t>mdb-125</t>
  </si>
  <si>
    <t>Basin Transit Service (BTS)</t>
  </si>
  <si>
    <t>mdb-1250</t>
  </si>
  <si>
    <t>Unobus</t>
  </si>
  <si>
    <t>mdb-1251</t>
  </si>
  <si>
    <t>MerseyLink</t>
  </si>
  <si>
    <t>mdb-1252</t>
  </si>
  <si>
    <t>HofBus</t>
  </si>
  <si>
    <t>mdb-1255</t>
  </si>
  <si>
    <t>Komia Liikenne</t>
  </si>
  <si>
    <t>mdb-1258</t>
  </si>
  <si>
    <t>Pays de la Loire</t>
  </si>
  <si>
    <t>mdb-1259</t>
  </si>
  <si>
    <t>TER Pays de la Loire</t>
  </si>
  <si>
    <t>mdb-1262</t>
  </si>
  <si>
    <t>Delhi Transport Corporation</t>
  </si>
  <si>
    <t>IN</t>
  </si>
  <si>
    <t>mdb-1267</t>
  </si>
  <si>
    <t>Movibus S.r.l.</t>
  </si>
  <si>
    <t>mdb-1271</t>
  </si>
  <si>
    <t>Komunikacja Miejska - Bolesławiec</t>
  </si>
  <si>
    <t>mdb-1272</t>
  </si>
  <si>
    <t>Cascais Próxima, E.M., S.A.</t>
  </si>
  <si>
    <t>mdb-1277</t>
  </si>
  <si>
    <t>Taichung</t>
  </si>
  <si>
    <t>TW</t>
  </si>
  <si>
    <t>mdb-1279</t>
  </si>
  <si>
    <t>Rochester City Lines</t>
  </si>
  <si>
    <t>mdb-128</t>
  </si>
  <si>
    <t>Cherriots</t>
  </si>
  <si>
    <t>mdb-1287</t>
  </si>
  <si>
    <t>Brite</t>
  </si>
  <si>
    <t>mdb-1292</t>
  </si>
  <si>
    <t>Rejseplanen</t>
  </si>
  <si>
    <t>SE</t>
  </si>
  <si>
    <t>mdb-1294</t>
  </si>
  <si>
    <t>Roma Servizi per la Mobilità</t>
  </si>
  <si>
    <t>mdb-1295</t>
  </si>
  <si>
    <t>Yolo County Transportation District (Yolobus)</t>
  </si>
  <si>
    <t>mdb-1297</t>
  </si>
  <si>
    <t>Strathcona County Transit</t>
  </si>
  <si>
    <t>mdb-13</t>
  </si>
  <si>
    <t>San Diego International Airport, Metropolitan Transit System (MTS)</t>
  </si>
  <si>
    <t>mdb-1304</t>
  </si>
  <si>
    <t>Kitsap Transit</t>
  </si>
  <si>
    <t>mdb-1305</t>
  </si>
  <si>
    <t>CH_Yuanlin Passenger Transport (General Manager) | CH_中鹿客運(公總) | CH_彰化客運(公總)</t>
  </si>
  <si>
    <t>mdb-1306</t>
  </si>
  <si>
    <t>NT_Total passenger (common total), NT_南投客運(公總), NT_全航客運(公總)</t>
  </si>
  <si>
    <t>mdb-131</t>
  </si>
  <si>
    <t>Lane Transit District (LTD)</t>
  </si>
  <si>
    <t>mdb-1313</t>
  </si>
  <si>
    <t>Metro Christchurch</t>
  </si>
  <si>
    <t>mdb-1321</t>
  </si>
  <si>
    <t>Samtrafiken, SJ, NSB, NSB/SJ, Visingsöleden, UL, Sörmlandstrafiken, ÖstgötaTrafiken, JLT, Länstrafiken Kronoberg, KLT, Region Gotland, Blekingetrafiken, Gällivare Stadstrafik, Hallandstrafiken, Värmlandstrafik, VL, Dalatrafik, X-trafik, Din Tur, Destination Gotland, Länstrafiken Jämtland, Länstrafiken Västerbotten, Länstrafiken Norrbotten, SL, Skånetrafiken, Flygbussarna, Västtrafik, Ventrafiken, Arlanda Express, Länstrafiken Örebro, Öresundståg, BT Buss, Mälartåg, Vy Tåg, Värmlandstrafik, Waxholmsbolaget, FlixTrain, Bus4You, Nettbuss Express, Skelleftebuss, Y-buss, MasExpressen, Silverlinjen, Härjedalingen, Merresor Express, ForSea, Snälltåget, Nikkaluoktaexpressen, Trafikverket Färjerederiet, Bergkvarabuss, Vy Nattåg, Vy Norrtåg, Krösatågen, Tågab, Karlstadsbuss, Luleå Lokaltrafik, Trosabussen, Ressels Rederi, Haparanda lokaltrafik, Roslagens Sjötrafik, Piteå Lokaltrafik, Strömma, Boden Stadstrafik, Snötåget, Kiruna Stadstrafik, Stadsbussarna Östersund, Krösatågen, SJ NORGE, Skärgårdsbåtarna i Uddevalla, MTRX, Stavsnäs Båttaxi, Söne Buss, Kalix stadstrafik, Flixbus, Stockholms stad</t>
  </si>
  <si>
    <t>mdb-1326</t>
  </si>
  <si>
    <t>Zarząd Transportu Publicznego w Krakowie (ZTP Kraków)</t>
  </si>
  <si>
    <t>mdb-135</t>
  </si>
  <si>
    <t>LINX Transit, Linn-Benton Loop, Albany Transit System</t>
  </si>
  <si>
    <t>mdb-142</t>
  </si>
  <si>
    <t>Valley Regional Transit</t>
  </si>
  <si>
    <t>mdb-147</t>
  </si>
  <si>
    <t>Valley Metro (VM)</t>
  </si>
  <si>
    <t>mdb-148</t>
  </si>
  <si>
    <t>Sun Metro</t>
  </si>
  <si>
    <t>mdb-15</t>
  </si>
  <si>
    <t>Orange County Transportation Authority (OCTA)</t>
  </si>
  <si>
    <t>mdb-150</t>
  </si>
  <si>
    <t>Capital Metro</t>
  </si>
  <si>
    <t>mdb-151</t>
  </si>
  <si>
    <t>Denton County Transportation Authority (DCTA)</t>
  </si>
  <si>
    <t>mdb-152</t>
  </si>
  <si>
    <t>Dallas Area Rapid Transit (DART)</t>
  </si>
  <si>
    <t>mdb-155</t>
  </si>
  <si>
    <t>JTRAN</t>
  </si>
  <si>
    <t>mdb-16</t>
  </si>
  <si>
    <t>Laguna Beach Transit (LBT)</t>
  </si>
  <si>
    <t>mdb-160</t>
  </si>
  <si>
    <t>Red Apple Transit</t>
  </si>
  <si>
    <t>mdb-163</t>
  </si>
  <si>
    <t>Gunnison Valley Transportation Authority (RTA)</t>
  </si>
  <si>
    <t>mdb-164</t>
  </si>
  <si>
    <t>Snowmass Village Transportation</t>
  </si>
  <si>
    <t>mdb-165</t>
  </si>
  <si>
    <t>Rio Metro Regional Transit District</t>
  </si>
  <si>
    <t>mdb-166</t>
  </si>
  <si>
    <t>ABQ RIDE</t>
  </si>
  <si>
    <t>mdb-17</t>
  </si>
  <si>
    <t>Yuma County Intergovernmental Public Transportation Authority (YCIPTA)</t>
  </si>
  <si>
    <t>mdb-170</t>
  </si>
  <si>
    <t>Utah Transit Authority (UTA)</t>
  </si>
  <si>
    <t>mdb-171</t>
  </si>
  <si>
    <t>Pocatello Regional Transit</t>
  </si>
  <si>
    <t>mdb-172</t>
  </si>
  <si>
    <t>Colorado Mountain Express</t>
  </si>
  <si>
    <t>mdb-174</t>
  </si>
  <si>
    <t>Vail Transit</t>
  </si>
  <si>
    <t>mdb-1791</t>
  </si>
  <si>
    <t>City Transport Secretary of Rio de Janeiro</t>
  </si>
  <si>
    <t>BR</t>
  </si>
  <si>
    <t>mdb-1807</t>
  </si>
  <si>
    <t>SOMATRA</t>
  </si>
  <si>
    <t>ML</t>
  </si>
  <si>
    <t>mdb-1808</t>
  </si>
  <si>
    <t>Anbessa City Bus Service Enterprise</t>
  </si>
  <si>
    <t>ET</t>
  </si>
  <si>
    <t>mdb-181</t>
  </si>
  <si>
    <t>University of Colorado Boulder</t>
  </si>
  <si>
    <t>mdb-1813</t>
  </si>
  <si>
    <t>14-Seater Paratransit Taxi, Buses operated by Pioneer or Awakula Enumme</t>
  </si>
  <si>
    <t>UG</t>
  </si>
  <si>
    <t>mdb-1814</t>
  </si>
  <si>
    <t>INGEROP</t>
  </si>
  <si>
    <t>GH</t>
  </si>
  <si>
    <t>mdb-1815</t>
  </si>
  <si>
    <t>DigitalMatatus</t>
  </si>
  <si>
    <t>KE</t>
  </si>
  <si>
    <t>mdb-1816</t>
  </si>
  <si>
    <t>Vitalis Transport</t>
  </si>
  <si>
    <t>MA</t>
  </si>
  <si>
    <t>mdb-182</t>
  </si>
  <si>
    <t>Campus Area Rapid Transit (CART)</t>
  </si>
  <si>
    <t>mdb-1823</t>
  </si>
  <si>
    <t>Eshot</t>
  </si>
  <si>
    <t>mdb-1826</t>
  </si>
  <si>
    <t>Bettendorf Transit</t>
  </si>
  <si>
    <t>mdb-1827</t>
  </si>
  <si>
    <t>Ljubljanski Potniški Promet</t>
  </si>
  <si>
    <t>SI</t>
  </si>
  <si>
    <t>mdb-1830</t>
  </si>
  <si>
    <t>Pumabús, Corredores Concesionados, Sistema de Transporte Colectivo Metro, Metrobús, Servicio de Tren Ligero, Ferrocarriles Suburbanos, Trolebús, Red de Transporte de Pasajeros, Cablebus</t>
  </si>
  <si>
    <t>MX</t>
  </si>
  <si>
    <t>mdb-1831</t>
  </si>
  <si>
    <t>Office of Transport and Traffic Policy and Planning</t>
  </si>
  <si>
    <t>LA</t>
  </si>
  <si>
    <t>mdb-1833</t>
  </si>
  <si>
    <t>Alytus</t>
  </si>
  <si>
    <t>mdb-1834</t>
  </si>
  <si>
    <t>Busturas</t>
  </si>
  <si>
    <t>mdb-1835</t>
  </si>
  <si>
    <t>Kochi buses and boats</t>
  </si>
  <si>
    <t>mdb-1837</t>
  </si>
  <si>
    <t>BreizhGo</t>
  </si>
  <si>
    <t>mdb-184</t>
  </si>
  <si>
    <t>Metropolitan Tulsa Transit Authority (MTTA)</t>
  </si>
  <si>
    <t>mdb-1842</t>
  </si>
  <si>
    <t>UCSC Transportation and Parking Services</t>
  </si>
  <si>
    <t>mdb-1846</t>
  </si>
  <si>
    <t>Washington Metropolitan Area Transit Authority (WMATA)</t>
  </si>
  <si>
    <t>mdb-1858</t>
  </si>
  <si>
    <t>Belleville Transit</t>
  </si>
  <si>
    <t>mdb-1859</t>
  </si>
  <si>
    <t>Société nationale des chemins de fer belges (NMBS-SNCB)</t>
  </si>
  <si>
    <t>mdb-1868</t>
  </si>
  <si>
    <t>TEC</t>
  </si>
  <si>
    <t>mdb-187</t>
  </si>
  <si>
    <t>Kansas City Area Transportation Authority (KCATA)</t>
  </si>
  <si>
    <t>mdb-1870</t>
  </si>
  <si>
    <t>Generalitat Valenciana (Intercity bus)</t>
  </si>
  <si>
    <t>mdb-1877</t>
  </si>
  <si>
    <t>SURF</t>
  </si>
  <si>
    <t>mdb-1878</t>
  </si>
  <si>
    <t>CAA</t>
  </si>
  <si>
    <t>mdb-1880</t>
  </si>
  <si>
    <t>Proxim iTi</t>
  </si>
  <si>
    <t>mdb-1887</t>
  </si>
  <si>
    <t>Néva</t>
  </si>
  <si>
    <t>mdb-1889</t>
  </si>
  <si>
    <t>Ales'Y</t>
  </si>
  <si>
    <t>mdb-1901</t>
  </si>
  <si>
    <t>Dopravní podnik města Olomouce, a. s.</t>
  </si>
  <si>
    <t>CZ</t>
  </si>
  <si>
    <t>mdb-1902</t>
  </si>
  <si>
    <t>Dopravní podnik měst Liberce a Jablonce nad Nisou, a. s.</t>
  </si>
  <si>
    <t>mdb-1903</t>
  </si>
  <si>
    <t>V-BUSZ KFT</t>
  </si>
  <si>
    <t>HU</t>
  </si>
  <si>
    <t>mdb-1905</t>
  </si>
  <si>
    <t>Grand Canyon National Park</t>
  </si>
  <si>
    <t>mdb-1907</t>
  </si>
  <si>
    <t>Białostocka Komunikacja Miejska</t>
  </si>
  <si>
    <t>mdb-1909</t>
  </si>
  <si>
    <t>Transjakarta</t>
  </si>
  <si>
    <t>mdb-191</t>
  </si>
  <si>
    <t>Sioux City Transit System</t>
  </si>
  <si>
    <t>mdb-1913</t>
  </si>
  <si>
    <t>Transporte Públicos de Andalucía</t>
  </si>
  <si>
    <t>mdb-1914</t>
  </si>
  <si>
    <t>Ayuntamiento del Municipio de Santiago, Oficina Metropolitana de Servicios de Autobuses, Instituto Nacional de Tránsito y Transporte Terrestre</t>
  </si>
  <si>
    <t>DO</t>
  </si>
  <si>
    <t>mdb-1915</t>
  </si>
  <si>
    <t>OSYPA</t>
  </si>
  <si>
    <t>CY</t>
  </si>
  <si>
    <t>mdb-1916</t>
  </si>
  <si>
    <t>OSEA</t>
  </si>
  <si>
    <t>mdb-1917</t>
  </si>
  <si>
    <t>Intercity buses</t>
  </si>
  <si>
    <t>mdb-1918</t>
  </si>
  <si>
    <t>NPT</t>
  </si>
  <si>
    <t>mdb-1927</t>
  </si>
  <si>
    <t>Transportes Urbanos de Braga (TUB)</t>
  </si>
  <si>
    <t>mdb-1928</t>
  </si>
  <si>
    <t>Brighton &amp; Hove Bus</t>
  </si>
  <si>
    <t>mdb-1929</t>
  </si>
  <si>
    <t>Borders Buses</t>
  </si>
  <si>
    <t>mdb-193</t>
  </si>
  <si>
    <t>Des Moines Area Regional Transit Authority (DART)</t>
  </si>
  <si>
    <t>mdb-1930</t>
  </si>
  <si>
    <t>Blackpool Transport</t>
  </si>
  <si>
    <t>mdb-1931</t>
  </si>
  <si>
    <t>Cardiff Bus</t>
  </si>
  <si>
    <t>mdb-1932</t>
  </si>
  <si>
    <t>Carousel Buses</t>
  </si>
  <si>
    <t>mdb-1933</t>
  </si>
  <si>
    <t>East Yorkshire</t>
  </si>
  <si>
    <t>mdb-1934</t>
  </si>
  <si>
    <t>Go Cornwall Bus</t>
  </si>
  <si>
    <t>mdb-1935</t>
  </si>
  <si>
    <t>Go North East</t>
  </si>
  <si>
    <t>mdb-1938</t>
  </si>
  <si>
    <t>Hedingham and Chambers</t>
  </si>
  <si>
    <t>mdb-1939</t>
  </si>
  <si>
    <t>Intalink</t>
  </si>
  <si>
    <t>mdb-1940</t>
  </si>
  <si>
    <t>konectbus</t>
  </si>
  <si>
    <t>mdb-1941</t>
  </si>
  <si>
    <t>McGill's Buses</t>
  </si>
  <si>
    <t>mdb-1942</t>
  </si>
  <si>
    <t>Metrobus</t>
  </si>
  <si>
    <t>mdb-1943</t>
  </si>
  <si>
    <t>Morebus</t>
  </si>
  <si>
    <t>mdb-1944</t>
  </si>
  <si>
    <t>Newbury &amp; District</t>
  </si>
  <si>
    <t>mdb-1945</t>
  </si>
  <si>
    <t>Newport Bus</t>
  </si>
  <si>
    <t>mdb-1946</t>
  </si>
  <si>
    <t>Nottingham City Transport</t>
  </si>
  <si>
    <t>mdb-1947</t>
  </si>
  <si>
    <t>Oxford Bus</t>
  </si>
  <si>
    <t>mdb-1948</t>
  </si>
  <si>
    <t>Plymouth Citybus</t>
  </si>
  <si>
    <t>mdb-1949</t>
  </si>
  <si>
    <t>Reading Buses</t>
  </si>
  <si>
    <t>mdb-195</t>
  </si>
  <si>
    <t>10-15 Transit</t>
  </si>
  <si>
    <t>mdb-1950</t>
  </si>
  <si>
    <t>Salisbury Reds</t>
  </si>
  <si>
    <t>mdb-1951</t>
  </si>
  <si>
    <t>Southern Vectis</t>
  </si>
  <si>
    <t>mdb-1952</t>
  </si>
  <si>
    <t>Swindon's Bus Company</t>
  </si>
  <si>
    <t>mdb-1953</t>
  </si>
  <si>
    <t>Transdev Blazefield</t>
  </si>
  <si>
    <t>mdb-1956</t>
  </si>
  <si>
    <t>Warrington's Own Buses</t>
  </si>
  <si>
    <t>mdb-1957</t>
  </si>
  <si>
    <t>West Coast Motors</t>
  </si>
  <si>
    <t>mdb-1958</t>
  </si>
  <si>
    <t>Dartmouth College</t>
  </si>
  <si>
    <t>mdb-196</t>
  </si>
  <si>
    <t>Coralville Transit</t>
  </si>
  <si>
    <t>mdb-1961</t>
  </si>
  <si>
    <t>Kigali Bus Services, Rwanda Federation of Transport Cooperatives (RFTC), Royal Express</t>
  </si>
  <si>
    <t>RW</t>
  </si>
  <si>
    <t>mdb-1962</t>
  </si>
  <si>
    <t>mdb-1963</t>
  </si>
  <si>
    <t>Esprit de Mort, Esprit de Vie, Transco, Taxi Jaune, Moto</t>
  </si>
  <si>
    <t>CD</t>
  </si>
  <si>
    <t>mdb-197</t>
  </si>
  <si>
    <t>University of Iowa - CAMBUS (CAMBUS)</t>
  </si>
  <si>
    <t>mdb-1971</t>
  </si>
  <si>
    <t>Link Transit</t>
  </si>
  <si>
    <t>mdb-1973</t>
  </si>
  <si>
    <t>Athens Public Transit</t>
  </si>
  <si>
    <t>mdb-1974</t>
  </si>
  <si>
    <t>Tri Delta Transit</t>
  </si>
  <si>
    <t>mdb-1979</t>
  </si>
  <si>
    <t>Mountain Line Transit</t>
  </si>
  <si>
    <t>mdb-1984</t>
  </si>
  <si>
    <t>Consiliul Judetean Vrancea</t>
  </si>
  <si>
    <t>RO</t>
  </si>
  <si>
    <t>mdb-1985</t>
  </si>
  <si>
    <t>Aeroexpreso</t>
  </si>
  <si>
    <t>PE</t>
  </si>
  <si>
    <t>mdb-1991</t>
  </si>
  <si>
    <t>BC Transit (Central Fraser Valley | Chilliwack | Agassiz-Harrison | Hope)</t>
  </si>
  <si>
    <t>mdb-1992</t>
  </si>
  <si>
    <t>Red Deer Transit</t>
  </si>
  <si>
    <t>mdb-1993</t>
  </si>
  <si>
    <t>Go Transit</t>
  </si>
  <si>
    <t>mdb-1994</t>
  </si>
  <si>
    <t>Brampton Transit</t>
  </si>
  <si>
    <t>mdb-1996</t>
  </si>
  <si>
    <t>Société de Transport de Sherbrooke</t>
  </si>
  <si>
    <t>mdb-1997</t>
  </si>
  <si>
    <t>Lethbridge Transit</t>
  </si>
  <si>
    <t>mdb-1999</t>
  </si>
  <si>
    <t>Beach Cities Transit</t>
  </si>
  <si>
    <t>mdb-2</t>
  </si>
  <si>
    <t>London Transit Commission</t>
  </si>
  <si>
    <t>mdb-20</t>
  </si>
  <si>
    <t>Redwood Coast Transit (RCT)</t>
  </si>
  <si>
    <t>mdb-200</t>
  </si>
  <si>
    <t>MuscaBus</t>
  </si>
  <si>
    <t>mdb-2000</t>
  </si>
  <si>
    <t>Red Rose Transit Authority (RRTA)</t>
  </si>
  <si>
    <t>mdb-2001</t>
  </si>
  <si>
    <t>Stark Area Regional Transit Authority (SARTA)</t>
  </si>
  <si>
    <t>mdb-2008</t>
  </si>
  <si>
    <t>ASPO Olbia</t>
  </si>
  <si>
    <t>mdb-2009</t>
  </si>
  <si>
    <t>Azienda Trasporti Pubblici (ATP Sassari)</t>
  </si>
  <si>
    <t>mdb-201</t>
  </si>
  <si>
    <t>Metro Rock Island County Metropolitan Mass Transit District</t>
  </si>
  <si>
    <t>mdb-2016</t>
  </si>
  <si>
    <t>Liepājas sabiedriskais transports</t>
  </si>
  <si>
    <t>LV</t>
  </si>
  <si>
    <t>mdb-2017</t>
  </si>
  <si>
    <t>Rēzeknes satiksme</t>
  </si>
  <si>
    <t>mdb-2019</t>
  </si>
  <si>
    <t>Rockford Mass Transit District</t>
  </si>
  <si>
    <t>mdb-202</t>
  </si>
  <si>
    <t>Clinton Municipal Transit Administration (Clinton MTA)</t>
  </si>
  <si>
    <t>mdb-2021</t>
  </si>
  <si>
    <t>STP Brindisi</t>
  </si>
  <si>
    <t>mdb-203</t>
  </si>
  <si>
    <t>Dodger Area Rapid Transit</t>
  </si>
  <si>
    <t>mdb-2032</t>
  </si>
  <si>
    <t>City of Winona MN - Winona Transit Service</t>
  </si>
  <si>
    <t>mdb-2033</t>
  </si>
  <si>
    <t>Secretaría de Movilidad Oaxaca</t>
  </si>
  <si>
    <t>mdb-204</t>
  </si>
  <si>
    <t>Mason City Public Transit</t>
  </si>
  <si>
    <t>mdb-2041</t>
  </si>
  <si>
    <t>Blackhawk and Central City Tramway</t>
  </si>
  <si>
    <t>mdb-2047</t>
  </si>
  <si>
    <t>Estes Transit</t>
  </si>
  <si>
    <t>mdb-205</t>
  </si>
  <si>
    <t>Metro Transit</t>
  </si>
  <si>
    <t>mdb-2054</t>
  </si>
  <si>
    <t>Regional Transportation District</t>
  </si>
  <si>
    <t>mdb-206</t>
  </si>
  <si>
    <t>Minnesota Valley Transit Authority (MVTA)</t>
  </si>
  <si>
    <t>mdb-2060</t>
  </si>
  <si>
    <t>METRO Houston</t>
  </si>
  <si>
    <t>mdb-2062</t>
  </si>
  <si>
    <t>Embark</t>
  </si>
  <si>
    <t>mdb-2064</t>
  </si>
  <si>
    <t>Berks Area Regional Transportation Authority (BARTA)</t>
  </si>
  <si>
    <t>mdb-2065</t>
  </si>
  <si>
    <t>Capital Area Transit System (CATS)</t>
  </si>
  <si>
    <t>mdb-2066</t>
  </si>
  <si>
    <t>Bloomington Transit</t>
  </si>
  <si>
    <t>mdb-2067</t>
  </si>
  <si>
    <t>Lextran</t>
  </si>
  <si>
    <t>mdb-2068</t>
  </si>
  <si>
    <t>Transit Authority of Northern Kentucky (TANK)</t>
  </si>
  <si>
    <t>mdb-2069</t>
  </si>
  <si>
    <t>Valley Transit (WI)</t>
  </si>
  <si>
    <t>mdb-2071</t>
  </si>
  <si>
    <t>Akron Metro Regional Transit Authority (METRO)</t>
  </si>
  <si>
    <t>mdb-2072</t>
  </si>
  <si>
    <t>University of Michigan Transit Services</t>
  </si>
  <si>
    <t>mdb-2074</t>
  </si>
  <si>
    <t>Capital Area Transit (GoRaleigh)</t>
  </si>
  <si>
    <t>mdb-2075</t>
  </si>
  <si>
    <t>RoadRUNNER Transit</t>
  </si>
  <si>
    <t>mdb-2076</t>
  </si>
  <si>
    <t>Greeley-Evans Transit (GET)</t>
  </si>
  <si>
    <t>mdb-2078</t>
  </si>
  <si>
    <t>Divers opérateurs</t>
  </si>
  <si>
    <t>CI</t>
  </si>
  <si>
    <t>mdb-2079</t>
  </si>
  <si>
    <t>Broome County Transit (B.C. Transit)</t>
  </si>
  <si>
    <t>mdb-208</t>
  </si>
  <si>
    <t>Eau Claire Transit</t>
  </si>
  <si>
    <t>mdb-2082</t>
  </si>
  <si>
    <t>Chattanooga Area Regional Transportation Authority (CARTA)</t>
  </si>
  <si>
    <t>mdb-2083</t>
  </si>
  <si>
    <t>The Jule</t>
  </si>
  <si>
    <t>mdb-2084</t>
  </si>
  <si>
    <t>Miejski Zakład Komunikacji w Wejherowie (MZK Wejherowo)</t>
  </si>
  <si>
    <t>mdb-2085</t>
  </si>
  <si>
    <t>Komunikacja Autobusowa Świnoujście (KA Świnoujście)</t>
  </si>
  <si>
    <t>mdb-2086</t>
  </si>
  <si>
    <t>Miejski Zakład Komunikacji w Ełku (MZK Ełk)</t>
  </si>
  <si>
    <t>mdb-2087</t>
  </si>
  <si>
    <t>Polregio</t>
  </si>
  <si>
    <t>mdb-2088</t>
  </si>
  <si>
    <t>Polskie Koleje Państwowe Intercity (PKP Intercity)</t>
  </si>
  <si>
    <t>mdb-2089</t>
  </si>
  <si>
    <t>Urząd Miasta Torunia (MZK Toruń)</t>
  </si>
  <si>
    <t>mdb-2090</t>
  </si>
  <si>
    <t>MZDiK Radom</t>
  </si>
  <si>
    <t>mdb-2091</t>
  </si>
  <si>
    <t>Warszawska Kolej Dojazdowa (WKD)</t>
  </si>
  <si>
    <t>mdb-2092</t>
  </si>
  <si>
    <t>Warszawski Transport Publiczny (ZTM Warszawa)</t>
  </si>
  <si>
    <t>mdb-2093</t>
  </si>
  <si>
    <t>Zarząd Transportu Miejskiego Gdańsk (ZTM Gdańsk)</t>
  </si>
  <si>
    <t>mdb-2098</t>
  </si>
  <si>
    <t>Asociația de Dezvoltare Intercomunitară pentru Transport Public București – Ilfov (TPBI)</t>
  </si>
  <si>
    <t>mdb-2099</t>
  </si>
  <si>
    <t>Tursib Sibiu</t>
  </si>
  <si>
    <t>mdb-210</t>
  </si>
  <si>
    <t>Allen County Regional Transit Authority</t>
  </si>
  <si>
    <t>mdb-2100</t>
  </si>
  <si>
    <t>CT BUS Constanța</t>
  </si>
  <si>
    <t>mdb-2101</t>
  </si>
  <si>
    <t>Oradea Transport Local</t>
  </si>
  <si>
    <t>mdb-2102</t>
  </si>
  <si>
    <t>Transurbis Zalău</t>
  </si>
  <si>
    <t>mdb-2106</t>
  </si>
  <si>
    <t>Transbus Buzău</t>
  </si>
  <si>
    <t>mdb-2107</t>
  </si>
  <si>
    <t>Servicii Publice Municipale Târgoviște</t>
  </si>
  <si>
    <t>mdb-2108</t>
  </si>
  <si>
    <t>Transport Călători Express Ploiești</t>
  </si>
  <si>
    <t>mdb-2114</t>
  </si>
  <si>
    <t>Transport Urban Sinaia</t>
  </si>
  <si>
    <t>mdb-2115</t>
  </si>
  <si>
    <t>RAT Craiova</t>
  </si>
  <si>
    <t>mdb-2116</t>
  </si>
  <si>
    <t>Compania de Transport Public Iași</t>
  </si>
  <si>
    <t>mdb-2119</t>
  </si>
  <si>
    <t>Trolleybus Transport Pleven</t>
  </si>
  <si>
    <t>BG</t>
  </si>
  <si>
    <t>mdb-212</t>
  </si>
  <si>
    <t>All Points Transit</t>
  </si>
  <si>
    <t>mdb-2121</t>
  </si>
  <si>
    <t>Compania de Transport Public Cluj-Napoca</t>
  </si>
  <si>
    <t>mdb-2122</t>
  </si>
  <si>
    <t>Ben Franklin Transit</t>
  </si>
  <si>
    <t>mdb-2126</t>
  </si>
  <si>
    <t>Société de transport de Montréal (STM)</t>
  </si>
  <si>
    <t>mdb-2127</t>
  </si>
  <si>
    <t>Milwaukee County Transit System (MCTS)</t>
  </si>
  <si>
    <t>mdb-213</t>
  </si>
  <si>
    <t>Amarillo City Transit</t>
  </si>
  <si>
    <t>mdb-2131</t>
  </si>
  <si>
    <t>Saint John Transit</t>
  </si>
  <si>
    <t>mdb-2132</t>
  </si>
  <si>
    <t>T3 Transit</t>
  </si>
  <si>
    <t>mdb-2134</t>
  </si>
  <si>
    <t>Daytrip Shuttle</t>
  </si>
  <si>
    <t>mdb-2136</t>
  </si>
  <si>
    <t>Elk Grove Transit</t>
  </si>
  <si>
    <t>mdb-214</t>
  </si>
  <si>
    <t>Antelope Valley Transit Authority (AVTA)</t>
  </si>
  <si>
    <t>mdb-2141</t>
  </si>
  <si>
    <t>Consorcio de Transportes de Mallorca</t>
  </si>
  <si>
    <t>mdb-2142</t>
  </si>
  <si>
    <t>Exo Le Richelain / Roussillon</t>
  </si>
  <si>
    <t>mdb-2143</t>
  </si>
  <si>
    <t>Regia Autonomă De Transport Brașov</t>
  </si>
  <si>
    <t>mdb-2146</t>
  </si>
  <si>
    <t>Albany Transit System</t>
  </si>
  <si>
    <t>mdb-2148</t>
  </si>
  <si>
    <t>Sociedade de Transportes Colectivos do Porto (STCP)</t>
  </si>
  <si>
    <t>mdb-2149</t>
  </si>
  <si>
    <t>BurbankBus</t>
  </si>
  <si>
    <t>mdb-2154</t>
  </si>
  <si>
    <t>Ottawa-Carleton Regional Transit Commission (OC Transpo)</t>
  </si>
  <si>
    <t>mdb-2155</t>
  </si>
  <si>
    <t>Integrated Transit System of the South Moravian Region (IDS JMK)</t>
  </si>
  <si>
    <t>SK</t>
  </si>
  <si>
    <t>mdb-2191</t>
  </si>
  <si>
    <t>Boulder County</t>
  </si>
  <si>
    <t>mdb-2195</t>
  </si>
  <si>
    <t>San Miguel County</t>
  </si>
  <si>
    <t>mdb-2199</t>
  </si>
  <si>
    <t>Cities Area Transit</t>
  </si>
  <si>
    <t>mdb-220</t>
  </si>
  <si>
    <t>City of Banning Transit</t>
  </si>
  <si>
    <t>mdb-2200</t>
  </si>
  <si>
    <t>TMT Trujillo - Gerencia de Transporte</t>
  </si>
  <si>
    <t>mdb-2201</t>
  </si>
  <si>
    <t>Montebello Bus Lines</t>
  </si>
  <si>
    <t>mdb-2204</t>
  </si>
  <si>
    <t>Kings Area Rural Transit</t>
  </si>
  <si>
    <t>mdb-2206</t>
  </si>
  <si>
    <t>Cat Tran Shuttle</t>
  </si>
  <si>
    <t>mdb-2208</t>
  </si>
  <si>
    <t>Greater Peoria Mass Transit (CityLink)</t>
  </si>
  <si>
    <t>mdb-2209</t>
  </si>
  <si>
    <t>The Comet</t>
  </si>
  <si>
    <t>mdb-2212</t>
  </si>
  <si>
    <t>Empresa Malagueña de Transportes (EMT)</t>
  </si>
  <si>
    <t>mdb-2224</t>
  </si>
  <si>
    <t>Emery Go-Round</t>
  </si>
  <si>
    <t>mdb-2231</t>
  </si>
  <si>
    <t>Karlsruher Verkehrsverbund</t>
  </si>
  <si>
    <t>mdb-2232</t>
  </si>
  <si>
    <t>Pueblo Transit</t>
  </si>
  <si>
    <t>mdb-2240</t>
  </si>
  <si>
    <t>Southeast Area Transit District</t>
  </si>
  <si>
    <t>mdb-2241</t>
  </si>
  <si>
    <t>Gwinnett County Transit</t>
  </si>
  <si>
    <t>mdb-2242</t>
  </si>
  <si>
    <t>Norwalk Transit System (NTS)</t>
  </si>
  <si>
    <t>mdb-2243</t>
  </si>
  <si>
    <t>Arcadia Transit</t>
  </si>
  <si>
    <t>mdb-2244</t>
  </si>
  <si>
    <t>Concord Kannapolis Area Transit (Rider Transit)</t>
  </si>
  <si>
    <t>mdb-2246</t>
  </si>
  <si>
    <t>Ryde Racine</t>
  </si>
  <si>
    <t>mdb-225</t>
  </si>
  <si>
    <t>Anchorage People Mover</t>
  </si>
  <si>
    <t>mdb-2254</t>
  </si>
  <si>
    <t>Bay Area Transportation Authority</t>
  </si>
  <si>
    <t>mdb-2255</t>
  </si>
  <si>
    <t>Lake County Connection</t>
  </si>
  <si>
    <t>mdb-2256</t>
  </si>
  <si>
    <t>Portage Area Regional Transportation Authority (PARTA)</t>
  </si>
  <si>
    <t>mdb-2258</t>
  </si>
  <si>
    <t>Manatee County Area Transit</t>
  </si>
  <si>
    <t>mdb-2259</t>
  </si>
  <si>
    <t>Collier Area Transit (CAT)</t>
  </si>
  <si>
    <t>mdb-226</t>
  </si>
  <si>
    <t>University of California Berkeley Shuttle (Bear Transit)</t>
  </si>
  <si>
    <t>mdb-2261</t>
  </si>
  <si>
    <t>Omaha Metro</t>
  </si>
  <si>
    <t>mdb-2262</t>
  </si>
  <si>
    <t>Beaver County Transit Authority</t>
  </si>
  <si>
    <t>mdb-2263</t>
  </si>
  <si>
    <t>Birmingham Jefferson County Transit Authority (MAX)</t>
  </si>
  <si>
    <t>mdb-2264</t>
  </si>
  <si>
    <t>Rock Region Metro</t>
  </si>
  <si>
    <t>mdb-2265</t>
  </si>
  <si>
    <t>Charlotte Area Transit System (CATS)</t>
  </si>
  <si>
    <t>mdb-2266</t>
  </si>
  <si>
    <t>Citilink</t>
  </si>
  <si>
    <t>mdb-2267</t>
  </si>
  <si>
    <t>Connect Transit</t>
  </si>
  <si>
    <t>mdb-2268</t>
  </si>
  <si>
    <t>Saint Maryʼs Transit System</t>
  </si>
  <si>
    <t>mdb-2269</t>
  </si>
  <si>
    <t>StarTran</t>
  </si>
  <si>
    <t>mdb-2270</t>
  </si>
  <si>
    <t>GTrans</t>
  </si>
  <si>
    <t>mdb-2272</t>
  </si>
  <si>
    <t>Santa Maria Area Transit</t>
  </si>
  <si>
    <t>mdb-2273</t>
  </si>
  <si>
    <t>Stanislaus Regional Transit (StaRT)</t>
  </si>
  <si>
    <t>mdb-2274</t>
  </si>
  <si>
    <t>Valley Metro</t>
  </si>
  <si>
    <t>mdb-2276</t>
  </si>
  <si>
    <t>Société des transports de Rimouski</t>
  </si>
  <si>
    <t>mdb-2277</t>
  </si>
  <si>
    <t>GoCary</t>
  </si>
  <si>
    <t>mdb-2282</t>
  </si>
  <si>
    <t>Mountain Rides Transportation Authority (MRTA)</t>
  </si>
  <si>
    <t>mdb-2283</t>
  </si>
  <si>
    <t>City of Corvallis</t>
  </si>
  <si>
    <t>mdb-2285</t>
  </si>
  <si>
    <t>Annapolis Transit</t>
  </si>
  <si>
    <t>mdb-2286</t>
  </si>
  <si>
    <t>Washington County Transit</t>
  </si>
  <si>
    <t>mdb-2287</t>
  </si>
  <si>
    <t>Mass Transportation Authority Flint</t>
  </si>
  <si>
    <t>mdb-2298</t>
  </si>
  <si>
    <t>Lewiston Transit System and Asotin County Public Transportation Benefit Area (PTBA)</t>
  </si>
  <si>
    <t>mdb-23</t>
  </si>
  <si>
    <t>Lincoln County Transit (LCT)</t>
  </si>
  <si>
    <t>mdb-2303</t>
  </si>
  <si>
    <t>Johnson County Transit</t>
  </si>
  <si>
    <t>mdb-2304</t>
  </si>
  <si>
    <t>Citibus</t>
  </si>
  <si>
    <t>mdb-2309</t>
  </si>
  <si>
    <t>Grant Transit Authority</t>
  </si>
  <si>
    <t>mdb-2312</t>
  </si>
  <si>
    <t>Hudson Link</t>
  </si>
  <si>
    <t>mdb-2313</t>
  </si>
  <si>
    <t>Jackson Transit Authority</t>
  </si>
  <si>
    <t>mdb-2316</t>
  </si>
  <si>
    <t>Kimball County Transit Service</t>
  </si>
  <si>
    <t>mdb-2317</t>
  </si>
  <si>
    <t>Kiryas Joel Area Transit</t>
  </si>
  <si>
    <t>mdb-2322</t>
  </si>
  <si>
    <t>City of Miami Beach</t>
  </si>
  <si>
    <t>mdb-2323</t>
  </si>
  <si>
    <t>City of Miami Gardens</t>
  </si>
  <si>
    <t>mdb-2325</t>
  </si>
  <si>
    <t>The Moccasin Express</t>
  </si>
  <si>
    <t>mdb-2326</t>
  </si>
  <si>
    <t>Muckleshoot Tribal Transit</t>
  </si>
  <si>
    <t>mdb-2329</t>
  </si>
  <si>
    <t>eBus</t>
  </si>
  <si>
    <t>mdb-2333</t>
  </si>
  <si>
    <t>Münchner Verkehrsgesellschaft (MVG)</t>
  </si>
  <si>
    <t>mdb-2337</t>
  </si>
  <si>
    <t>Latvia by Gustavs Svalbe gsvalbe.id.lv</t>
  </si>
  <si>
    <t>EE</t>
  </si>
  <si>
    <t>mdb-2341</t>
  </si>
  <si>
    <t>Regia Transport Electric Chișinău, Î.M. Parcul Urban de Autobuze</t>
  </si>
  <si>
    <t>MD</t>
  </si>
  <si>
    <t>mdb-2345</t>
  </si>
  <si>
    <t>Municipality of Tirana</t>
  </si>
  <si>
    <t>AL</t>
  </si>
  <si>
    <t>mdb-2347</t>
  </si>
  <si>
    <t>Pace Bus</t>
  </si>
  <si>
    <t>mdb-235</t>
  </si>
  <si>
    <t>Blackstone Area Bus Service</t>
  </si>
  <si>
    <t>mdb-2350</t>
  </si>
  <si>
    <t>TheBus</t>
  </si>
  <si>
    <t>mdb-2351</t>
  </si>
  <si>
    <t>Regional Transportation Commission of Southern Nevada (RTC)</t>
  </si>
  <si>
    <t>mdb-2353</t>
  </si>
  <si>
    <t>Westchester County Bee-Line System (WCDOT)</t>
  </si>
  <si>
    <t>mdb-2354</t>
  </si>
  <si>
    <t>SunTran</t>
  </si>
  <si>
    <t>mdb-2359</t>
  </si>
  <si>
    <t>Transports Metropolitans de Barcelona (TMB)</t>
  </si>
  <si>
    <t>mdb-2364</t>
  </si>
  <si>
    <t>Transport for Ireland (TFI)</t>
  </si>
  <si>
    <t>mdb-2366</t>
  </si>
  <si>
    <t>Mi Transporte, Mi Transporte Eléctrico, Mi Macro, Mi Tren, SiTren</t>
  </si>
  <si>
    <t>mdb-237</t>
  </si>
  <si>
    <t>Breckenridge Free Ride</t>
  </si>
  <si>
    <t>mdb-2373</t>
  </si>
  <si>
    <t>AMAT Palermo S.P.A.</t>
  </si>
  <si>
    <t>mdb-2374</t>
  </si>
  <si>
    <t>Lvivavtodor</t>
  </si>
  <si>
    <t>UA</t>
  </si>
  <si>
    <t>mdb-2379</t>
  </si>
  <si>
    <t>Société de transport collectif de Pierre-De Saurel</t>
  </si>
  <si>
    <t>mdb-238</t>
  </si>
  <si>
    <t>Bristol Virginia Transit</t>
  </si>
  <si>
    <t>mdb-2385</t>
  </si>
  <si>
    <t>B-Bus</t>
  </si>
  <si>
    <t>mdb-2386</t>
  </si>
  <si>
    <t>Nouvelle-Aquitaine Mobilités</t>
  </si>
  <si>
    <t>mdb-2387</t>
  </si>
  <si>
    <t>Zarząd Transportu Miejskiego Rzeszów (ZTM Rzeszów)</t>
  </si>
  <si>
    <t>mdb-2393</t>
  </si>
  <si>
    <t>NVBW - Nahverkehrsgesellschaft Baden-Württemberg mbH</t>
  </si>
  <si>
    <t>mdb-2395</t>
  </si>
  <si>
    <t>Via Mobility</t>
  </si>
  <si>
    <t>mdb-240</t>
  </si>
  <si>
    <t>Butler County Regional Transit Authority</t>
  </si>
  <si>
    <t>mdb-2400</t>
  </si>
  <si>
    <t>Empresa Municipal de Transportes de Fuenlabrada (EMTF)</t>
  </si>
  <si>
    <t>mdb-2407</t>
  </si>
  <si>
    <t>Metro Sabanas</t>
  </si>
  <si>
    <t>CO</t>
  </si>
  <si>
    <t>mdb-2413</t>
  </si>
  <si>
    <t>Colorado School Of Mines</t>
  </si>
  <si>
    <t>mdb-2414</t>
  </si>
  <si>
    <t>Metropolitan Transit Authority of Black Hawk County</t>
  </si>
  <si>
    <t>mdb-2415</t>
  </si>
  <si>
    <t>Radford Transit</t>
  </si>
  <si>
    <t>mdb-2416</t>
  </si>
  <si>
    <t>Pioneer Valley Transit Authority (PVTA)</t>
  </si>
  <si>
    <t>mdb-2421</t>
  </si>
  <si>
    <t>County Connection (CCCTA)</t>
  </si>
  <si>
    <t>mdb-2425</t>
  </si>
  <si>
    <t>Santa Cruz Metro (SCMTD)</t>
  </si>
  <si>
    <t>mdb-2426</t>
  </si>
  <si>
    <t>Xpress</t>
  </si>
  <si>
    <t>mdb-2430</t>
  </si>
  <si>
    <t>Fredericksburg Regional Transit</t>
  </si>
  <si>
    <t>mdb-2432</t>
  </si>
  <si>
    <t>Frederick County TransIT</t>
  </si>
  <si>
    <t>mdb-2433</t>
  </si>
  <si>
    <t>Avon Transit</t>
  </si>
  <si>
    <t>mdb-244</t>
  </si>
  <si>
    <t>Ketchikan Gateway Borough</t>
  </si>
  <si>
    <t>mdb-2440</t>
  </si>
  <si>
    <t>Danville Transit</t>
  </si>
  <si>
    <t>mdb-2442</t>
  </si>
  <si>
    <t>Pulaski Area Transit (PAT)</t>
  </si>
  <si>
    <t>mdb-2444</t>
  </si>
  <si>
    <t>STAR Transit</t>
  </si>
  <si>
    <t>mdb-2445</t>
  </si>
  <si>
    <t>Virginia Regional Transit</t>
  </si>
  <si>
    <t>mdb-2447</t>
  </si>
  <si>
    <t>Mountain Lynx Transit</t>
  </si>
  <si>
    <t>mdb-2448</t>
  </si>
  <si>
    <t>Four County Transit</t>
  </si>
  <si>
    <t>mdb-2449</t>
  </si>
  <si>
    <t>Transport for New South Wales</t>
  </si>
  <si>
    <t>mdb-2455</t>
  </si>
  <si>
    <t>Alameda-Contra Costa Transit District (AC Transit)</t>
  </si>
  <si>
    <t>mdb-2456</t>
  </si>
  <si>
    <t>City of Ellensburg Public Transit (Central Transit)</t>
  </si>
  <si>
    <t>mdb-246</t>
  </si>
  <si>
    <t>Sunset Empire Transportation District (SETD), Tillamook County Transportation District, Columbia County Rider</t>
  </si>
  <si>
    <t>mdb-2460</t>
  </si>
  <si>
    <t>Fredericton Transit</t>
  </si>
  <si>
    <t>mdb-2461</t>
  </si>
  <si>
    <t>PKS Kalisz</t>
  </si>
  <si>
    <t>mdb-2462</t>
  </si>
  <si>
    <t>BC Transit (Hazelton | Kitimat | Terrace)</t>
  </si>
  <si>
    <t>mdb-2463</t>
  </si>
  <si>
    <t>BC Transit (Quesnel)</t>
  </si>
  <si>
    <t>mdb-2466</t>
  </si>
  <si>
    <t>BC Transit (Salt Spring Island)</t>
  </si>
  <si>
    <t>mdb-247</t>
  </si>
  <si>
    <t>TriMet, Portland Streetcar</t>
  </si>
  <si>
    <t>mdb-2471</t>
  </si>
  <si>
    <t>BC Transit (Merritt)</t>
  </si>
  <si>
    <t>mdb-2473</t>
  </si>
  <si>
    <t>BC Transit (Nanaimo)</t>
  </si>
  <si>
    <t>mdb-25</t>
  </si>
  <si>
    <t>Eastern Sierra Transit</t>
  </si>
  <si>
    <t>mdb-250</t>
  </si>
  <si>
    <t>Yamhill County Transit Area</t>
  </si>
  <si>
    <t>mdb-2508</t>
  </si>
  <si>
    <t>BC Transit (Shuswap | Vernon)</t>
  </si>
  <si>
    <t>mdb-2510</t>
  </si>
  <si>
    <t>BC Transit (Bulkley-Nechako | Prince George)</t>
  </si>
  <si>
    <t>mdb-2514</t>
  </si>
  <si>
    <t>BC Transit (Campbell River Transit)</t>
  </si>
  <si>
    <t>mdb-2519</t>
  </si>
  <si>
    <t>Ministry of Transport and Road Safety</t>
  </si>
  <si>
    <t>IL</t>
  </si>
  <si>
    <t>mdb-252</t>
  </si>
  <si>
    <t>Canby Area Transit (CAT)</t>
  </si>
  <si>
    <t>mdb-2520</t>
  </si>
  <si>
    <t>BC Transit (Columbia Valley | Cranbrook | Elk Valley | Kimberley)</t>
  </si>
  <si>
    <t>mdb-2524</t>
  </si>
  <si>
    <t>BC Transit (Comox Valley Transit System)</t>
  </si>
  <si>
    <t>mdb-2528</t>
  </si>
  <si>
    <t>BC Transit (Cowichan Valley Regional Transit System)</t>
  </si>
  <si>
    <t>mdb-2529</t>
  </si>
  <si>
    <t>BC Transit (Powell River Regional Transit System)</t>
  </si>
  <si>
    <t>mdb-253</t>
  </si>
  <si>
    <t>Ride Connection</t>
  </si>
  <si>
    <t>mdb-2532</t>
  </si>
  <si>
    <t>BC Transit (South Okanagan-Similkameen)</t>
  </si>
  <si>
    <t>mdb-254</t>
  </si>
  <si>
    <t>Washington Park Shuttle</t>
  </si>
  <si>
    <t>mdb-2543</t>
  </si>
  <si>
    <t>BC Transit (Port Edward | Prince Rupert)</t>
  </si>
  <si>
    <t>mdb-2547</t>
  </si>
  <si>
    <t>BC Transit (Fort St John Transit System)</t>
  </si>
  <si>
    <t>mdb-2551</t>
  </si>
  <si>
    <t>BC Transit (Kamloops Transit System)</t>
  </si>
  <si>
    <t>mdb-2555</t>
  </si>
  <si>
    <t>BC Transit (Kelowna Regional Transit System)</t>
  </si>
  <si>
    <t>mdb-2563</t>
  </si>
  <si>
    <t>BC Transit (Squamish)</t>
  </si>
  <si>
    <t>mdb-2567</t>
  </si>
  <si>
    <t>BC Transit (Sunshine Coast Transit System)</t>
  </si>
  <si>
    <t>mdb-2571</t>
  </si>
  <si>
    <t>BC Transit (Victoria Regional Transit System)</t>
  </si>
  <si>
    <t>mdb-2579</t>
  </si>
  <si>
    <t>BC Transit (West Kootenay Transit System)</t>
  </si>
  <si>
    <t>mdb-258</t>
  </si>
  <si>
    <t>C-TRAN</t>
  </si>
  <si>
    <t>mdb-2583</t>
  </si>
  <si>
    <t>BC Transit (Whistler Transit System)</t>
  </si>
  <si>
    <t>mdb-259</t>
  </si>
  <si>
    <t>RiverCities Transit (RCT)</t>
  </si>
  <si>
    <t>mdb-2591</t>
  </si>
  <si>
    <t>Medicine Hat Transit</t>
  </si>
  <si>
    <t>mdb-2595</t>
  </si>
  <si>
    <t>Bangalore Metropolitan Transport Corporation (BMTC)</t>
  </si>
  <si>
    <t>mdb-2597</t>
  </si>
  <si>
    <t>Zarząd Komunikacji Miejskiej w Elblągu (ZKM Elbląg)</t>
  </si>
  <si>
    <t>mdb-2598</t>
  </si>
  <si>
    <t>mdb-2603</t>
  </si>
  <si>
    <t>Rouyn-Noranda</t>
  </si>
  <si>
    <t>mdb-2604</t>
  </si>
  <si>
    <t>Réseau interurbain liO Occitanie</t>
  </si>
  <si>
    <t>mdb-2607</t>
  </si>
  <si>
    <t>Aomori City Bus</t>
  </si>
  <si>
    <t>mdb-2611</t>
  </si>
  <si>
    <t>St Lawrence County Public Transit</t>
  </si>
  <si>
    <t>mdb-2616</t>
  </si>
  <si>
    <t>Blue Sky Limo LLC</t>
  </si>
  <si>
    <t>mdb-2618</t>
  </si>
  <si>
    <t>Hamilton Street Railway</t>
  </si>
  <si>
    <t>mdb-263</t>
  </si>
  <si>
    <t>Grays Harbor Transit</t>
  </si>
  <si>
    <t>mdb-2632</t>
  </si>
  <si>
    <t>Viação Senhor do Bonfim</t>
  </si>
  <si>
    <t>mdb-2635</t>
  </si>
  <si>
    <t>Dublin Bus</t>
  </si>
  <si>
    <t>IE</t>
  </si>
  <si>
    <t>mdb-2636</t>
  </si>
  <si>
    <t>Bus Éireann</t>
  </si>
  <si>
    <t>mdb-2639</t>
  </si>
  <si>
    <t>GoAhead Ireland</t>
  </si>
  <si>
    <t>mdb-264</t>
  </si>
  <si>
    <t>Mason Transit Authority</t>
  </si>
  <si>
    <t>mdb-2640</t>
  </si>
  <si>
    <t>Aircoach</t>
  </si>
  <si>
    <t>mdb-2641</t>
  </si>
  <si>
    <t>South Portland</t>
  </si>
  <si>
    <t>mdb-2642</t>
  </si>
  <si>
    <t>Greater Portland Metro Bus</t>
  </si>
  <si>
    <t>mdb-2649</t>
  </si>
  <si>
    <t>Williamsburg Area Transit Authority</t>
  </si>
  <si>
    <t>mdb-265</t>
  </si>
  <si>
    <t>Pierce Transit</t>
  </si>
  <si>
    <t>mdb-2651</t>
  </si>
  <si>
    <t>Verkehrsverbund Rhein-Ruhr</t>
  </si>
  <si>
    <t>mdb-2652</t>
  </si>
  <si>
    <t>City of Jackson (JTRAN)</t>
  </si>
  <si>
    <t>mdb-266</t>
  </si>
  <si>
    <t>Intercity Transit</t>
  </si>
  <si>
    <t>mdb-2661</t>
  </si>
  <si>
    <t>TrafikLab</t>
  </si>
  <si>
    <t>mdb-2662</t>
  </si>
  <si>
    <t>Transit Authority of River City (TARC)</t>
  </si>
  <si>
    <t>mdb-2666</t>
  </si>
  <si>
    <t>Azienda Trasporti MIlanesi (ATM)</t>
  </si>
  <si>
    <t>mdb-2668</t>
  </si>
  <si>
    <t>Centrale Operativa REgionale (CORE) Calabria</t>
  </si>
  <si>
    <t>mdb-267</t>
  </si>
  <si>
    <t>Sound Transit, Metro Transit, City of Seattle - King County Metro</t>
  </si>
  <si>
    <t>mdb-2681</t>
  </si>
  <si>
    <t>Bilbobus</t>
  </si>
  <si>
    <t>mdb-2682</t>
  </si>
  <si>
    <t>dBus (Donostiabus)</t>
  </si>
  <si>
    <t>mdb-2687</t>
  </si>
  <si>
    <t>Gruppo Torinese Trasporti (GTT)</t>
  </si>
  <si>
    <t>mdb-2688</t>
  </si>
  <si>
    <t>Essex County Council</t>
  </si>
  <si>
    <t>mdb-2689</t>
  </si>
  <si>
    <t>Kombus</t>
  </si>
  <si>
    <t>mdb-269</t>
  </si>
  <si>
    <t>Microsoft Shuttles</t>
  </si>
  <si>
    <t>mdb-2690</t>
  </si>
  <si>
    <t>Junta de Extremadura (Extremadura Regional Government Buses)</t>
  </si>
  <si>
    <t>mdb-2691</t>
  </si>
  <si>
    <t>La Regional Vallisoletana S.A</t>
  </si>
  <si>
    <t>mdb-270</t>
  </si>
  <si>
    <t>Seattle Children's Hospital Shuttle</t>
  </si>
  <si>
    <t>mdb-2706</t>
  </si>
  <si>
    <t>South Metro Area Regional Transit (SMART)</t>
  </si>
  <si>
    <t>mdb-2708</t>
  </si>
  <si>
    <t>SamTrans</t>
  </si>
  <si>
    <t>mdb-2713</t>
  </si>
  <si>
    <t>AUCORSA (Autobuses de Córdoba S.A.)</t>
  </si>
  <si>
    <t>mdb-2714</t>
  </si>
  <si>
    <t>Vectalia Movilidad (Cáceres city bus)</t>
  </si>
  <si>
    <t>mdb-2716</t>
  </si>
  <si>
    <t>Transports Municipals D’Egara (TMESA) Terrassa city bus</t>
  </si>
  <si>
    <t>mdb-2718</t>
  </si>
  <si>
    <t>Autobuses La Unión (ALU)</t>
  </si>
  <si>
    <t>mdb-2719</t>
  </si>
  <si>
    <t>Pamplona Region Bus (TCC Pamplona)</t>
  </si>
  <si>
    <t>mdb-2721</t>
  </si>
  <si>
    <t>Network of Metropolitan Transport Consortiums of Andalusia</t>
  </si>
  <si>
    <t>mdb-2723</t>
  </si>
  <si>
    <t>Unauto (Ruiz Group)</t>
  </si>
  <si>
    <t>mdb-2724</t>
  </si>
  <si>
    <t>Auif Irunbus (Lurraldebus)</t>
  </si>
  <si>
    <t>mdb-2728</t>
  </si>
  <si>
    <t>Lurraldebus Zarautz</t>
  </si>
  <si>
    <t>mdb-2730</t>
  </si>
  <si>
    <t>AUVASA (Valladolid city bus)</t>
  </si>
  <si>
    <t>mdb-2731</t>
  </si>
  <si>
    <t>Lurraldebus Ekialdebus</t>
  </si>
  <si>
    <t>mdb-2732</t>
  </si>
  <si>
    <t>Lurraldebus Goierrialdea</t>
  </si>
  <si>
    <t>mdb-2733</t>
  </si>
  <si>
    <t>Lurraldebus Arrasate</t>
  </si>
  <si>
    <t>mdb-2735</t>
  </si>
  <si>
    <t>Lurraldebus Eibar</t>
  </si>
  <si>
    <t>mdb-2736</t>
  </si>
  <si>
    <t>Lurraldebus Guipuzcoana (La Guipuzcoana)</t>
  </si>
  <si>
    <t>mdb-2739</t>
  </si>
  <si>
    <t>Sandy Area Metro (SAM)</t>
  </si>
  <si>
    <t>mdb-2748</t>
  </si>
  <si>
    <t>Gobierno de Cantabria (Buses in Cantabria)</t>
  </si>
  <si>
    <t>mdb-2749</t>
  </si>
  <si>
    <t>TCC Barcelona Buses</t>
  </si>
  <si>
    <t>mdb-275</t>
  </si>
  <si>
    <t>mdb-2750</t>
  </si>
  <si>
    <t>Pujol</t>
  </si>
  <si>
    <t>mdb-2751</t>
  </si>
  <si>
    <t>Transports Municipals del Gironés SAU (TMG) Girona city bus</t>
  </si>
  <si>
    <t>mdb-2752</t>
  </si>
  <si>
    <t>Autocares Rías Baixas (Rías Baixas Coaches)</t>
  </si>
  <si>
    <t>mdb-2753</t>
  </si>
  <si>
    <t>Autobusos de Lleida (Lleida buses)</t>
  </si>
  <si>
    <t>mdb-2754</t>
  </si>
  <si>
    <t>Moventis Empresa Casas (Casas Company Buses)</t>
  </si>
  <si>
    <t>mdb-2756</t>
  </si>
  <si>
    <t>Lurraldebus Euskotren bus</t>
  </si>
  <si>
    <t>mdb-2757</t>
  </si>
  <si>
    <t>Lurraldebus TBH (Interurban Tolosa Buruntzaldea)</t>
  </si>
  <si>
    <t>mdb-2759</t>
  </si>
  <si>
    <t>Lurraldebus Urbano de Errentería (Errenteria Urbanoa)</t>
  </si>
  <si>
    <t>mdb-2762</t>
  </si>
  <si>
    <t>TUS (Transportes Urbanos de Santander)</t>
  </si>
  <si>
    <t>mdb-2763</t>
  </si>
  <si>
    <t>TIB Transports of the Balearic Islands - CIME Consell Insular de Menorca (Menorca Island Bus)</t>
  </si>
  <si>
    <t>mdb-2764</t>
  </si>
  <si>
    <t>Moventis Sarfa (Sarfa buses)</t>
  </si>
  <si>
    <t>mdb-2765</t>
  </si>
  <si>
    <t>Urban Buses of Ciudad Real (AISA)</t>
  </si>
  <si>
    <t>mdb-2767</t>
  </si>
  <si>
    <t>La Coruña Tram Company SA</t>
  </si>
  <si>
    <t>mdb-2768</t>
  </si>
  <si>
    <t>Avanza Grupo (Mataró city bus)</t>
  </si>
  <si>
    <t>mdb-2769</t>
  </si>
  <si>
    <t>Granada City Council (Granada city bus)</t>
  </si>
  <si>
    <t>mdb-2770</t>
  </si>
  <si>
    <t>TUSSAM (Seville bus and tram)</t>
  </si>
  <si>
    <t>mdb-2771</t>
  </si>
  <si>
    <t>Castelló de la Plana Town Hall (city bus)</t>
  </si>
  <si>
    <t>mdb-2772</t>
  </si>
  <si>
    <t>Avanza Grupo (Ávila city bus)</t>
  </si>
  <si>
    <t>mdb-2773</t>
  </si>
  <si>
    <t>Avanza Grupo (Zaragoza urban transport)</t>
  </si>
  <si>
    <t>mdb-2774</t>
  </si>
  <si>
    <t>Autocares Baraza (Baraza Coaches)</t>
  </si>
  <si>
    <t>mdb-2775</t>
  </si>
  <si>
    <t>Direxis TGO (Transportes Generales de Olesa)</t>
  </si>
  <si>
    <t>mdb-2776</t>
  </si>
  <si>
    <t>Lurraldebus Pesa</t>
  </si>
  <si>
    <t>mdb-2777</t>
  </si>
  <si>
    <t>EMT Tarragona</t>
  </si>
  <si>
    <t>mdb-2779</t>
  </si>
  <si>
    <t>Autocorb Coaches</t>
  </si>
  <si>
    <t>mdb-2780</t>
  </si>
  <si>
    <t>Costa Coaches</t>
  </si>
  <si>
    <t>mdb-2788</t>
  </si>
  <si>
    <t>Kbus (Barakaldo urban)</t>
  </si>
  <si>
    <t>mdb-279</t>
  </si>
  <si>
    <t>Clallam Transit System</t>
  </si>
  <si>
    <t>mdb-2791</t>
  </si>
  <si>
    <t>Leioa City Council (Lejoan Busa)</t>
  </si>
  <si>
    <t>mdb-2792</t>
  </si>
  <si>
    <t>Etxebarri Town Hall</t>
  </si>
  <si>
    <t>mdb-2794</t>
  </si>
  <si>
    <t>Lázara Coaches</t>
  </si>
  <si>
    <t>mdb-2797</t>
  </si>
  <si>
    <t>TIB Transports of the Balearic Islands - CIE Consell Insular d'Eivissa (Ibiza Island Bus)</t>
  </si>
  <si>
    <t>mdb-2798</t>
  </si>
  <si>
    <t>Fuengirola city bus</t>
  </si>
  <si>
    <t>mdb-28</t>
  </si>
  <si>
    <t>Los Angeles County Department of Public Works (the LINK and shuttles)</t>
  </si>
  <si>
    <t>mdb-280</t>
  </si>
  <si>
    <t>Island Transit</t>
  </si>
  <si>
    <t>mdb-2805</t>
  </si>
  <si>
    <t>Cots Alsina</t>
  </si>
  <si>
    <t>mdb-2816</t>
  </si>
  <si>
    <t>Avanza Grupo (Segovia city bus)</t>
  </si>
  <si>
    <t>mdb-2818</t>
  </si>
  <si>
    <t>Avanza Grupo (Soria city bus)</t>
  </si>
  <si>
    <t>mdb-2819</t>
  </si>
  <si>
    <t>Avanza Grupo (Huesca city bus)</t>
  </si>
  <si>
    <t>mdb-2820</t>
  </si>
  <si>
    <t>Consorcio Regional de Transportes de Madrid CRTM Madrid City Bus (Autobús urbano de Madrid)</t>
  </si>
  <si>
    <t>mdb-2821</t>
  </si>
  <si>
    <t>Xunta de Galicia Buses</t>
  </si>
  <si>
    <t>mdb-2822</t>
  </si>
  <si>
    <t>Vectalia Movilidad (Alicante city buses)</t>
  </si>
  <si>
    <t>mdb-2823</t>
  </si>
  <si>
    <t>Salamanca de Transportes S.A. (Grupo Ruiz)</t>
  </si>
  <si>
    <t>mdb-2824</t>
  </si>
  <si>
    <t>Alavabus</t>
  </si>
  <si>
    <t>mdb-2825</t>
  </si>
  <si>
    <t>ALSA buses</t>
  </si>
  <si>
    <t>mdb-2826</t>
  </si>
  <si>
    <t>Autoridad de Transporte Metropolitano del Área de Barcelona (ATM) Buses and trains in Catalonia (full version)</t>
  </si>
  <si>
    <t>mdb-2827</t>
  </si>
  <si>
    <t>Consorcio Transportes Asturias</t>
  </si>
  <si>
    <t>mdb-2828</t>
  </si>
  <si>
    <t>Transportes de Murcia (Grupo Ruiz)</t>
  </si>
  <si>
    <t>mdb-2831</t>
  </si>
  <si>
    <t>Marble Valley Regional Transit District (MVRTD)</t>
  </si>
  <si>
    <t>mdb-2836</t>
  </si>
  <si>
    <t>Mobiave</t>
  </si>
  <si>
    <t>mdb-2837</t>
  </si>
  <si>
    <t>TUBA - Transportes Urbanos de Barcelos</t>
  </si>
  <si>
    <t>mdb-2838</t>
  </si>
  <si>
    <t>Guimabus - Transportes de Guimarães</t>
  </si>
  <si>
    <t>mdb-2839</t>
  </si>
  <si>
    <t>Waltti - Pori</t>
  </si>
  <si>
    <t>mdb-284</t>
  </si>
  <si>
    <t>Whatcom Transportation Authority</t>
  </si>
  <si>
    <t>mdb-2848</t>
  </si>
  <si>
    <t>Urban Mobility Center - Sofia Traffic</t>
  </si>
  <si>
    <t>mdb-2855</t>
  </si>
  <si>
    <t>Kingman Area Regional Transit</t>
  </si>
  <si>
    <t>mdb-2859</t>
  </si>
  <si>
    <t>Hiawathaland Transit</t>
  </si>
  <si>
    <t>mdb-2861</t>
  </si>
  <si>
    <t>Galveston Island Transit</t>
  </si>
  <si>
    <t>mdb-2868</t>
  </si>
  <si>
    <t>Societatea Metropolitană de Transport Timișoara</t>
  </si>
  <si>
    <t>mdb-287</t>
  </si>
  <si>
    <t>Community Transit (CT)</t>
  </si>
  <si>
    <t>mdb-2871</t>
  </si>
  <si>
    <t>Donan Bus</t>
  </si>
  <si>
    <t>mdb-2877</t>
  </si>
  <si>
    <t>PHLASH</t>
  </si>
  <si>
    <t>mdb-2880</t>
  </si>
  <si>
    <t>Mountain View Transportation Management Association (MVgo)</t>
  </si>
  <si>
    <t>mdb-2882</t>
  </si>
  <si>
    <t>Rural Community Transportation (RCT)</t>
  </si>
  <si>
    <t>mdb-2884</t>
  </si>
  <si>
    <t>VTrans</t>
  </si>
  <si>
    <t>mdb-2885</t>
  </si>
  <si>
    <t>Fairfax CUE Bus (CUE)</t>
  </si>
  <si>
    <t>mdb-2898</t>
  </si>
  <si>
    <t>Systemaufgaben Kundeninformation SKI+</t>
  </si>
  <si>
    <t>CH</t>
  </si>
  <si>
    <t>mdb-29</t>
  </si>
  <si>
    <t>Los Angeles County Metropolitan Transportation Authority (LA Metro)</t>
  </si>
  <si>
    <t>mdb-290</t>
  </si>
  <si>
    <t>Spokane Transit Authority (STA)</t>
  </si>
  <si>
    <t>mdb-2900</t>
  </si>
  <si>
    <t>Flixbus GB</t>
  </si>
  <si>
    <t>mdb-2904</t>
  </si>
  <si>
    <t>Czech national bus feed JDF</t>
  </si>
  <si>
    <t>mdb-2906</t>
  </si>
  <si>
    <t>Xplore Dundee</t>
  </si>
  <si>
    <t>mdb-2907</t>
  </si>
  <si>
    <t>Bluestar Bus</t>
  </si>
  <si>
    <t>mdb-2908</t>
  </si>
  <si>
    <t>Go Devon Bus</t>
  </si>
  <si>
    <t>mdb-2909</t>
  </si>
  <si>
    <t>Coach Services</t>
  </si>
  <si>
    <t>mdb-291</t>
  </si>
  <si>
    <t>Butte-Silver Bow</t>
  </si>
  <si>
    <t>mdb-2910</t>
  </si>
  <si>
    <t>Gradski parking d.o.o.</t>
  </si>
  <si>
    <t>HR</t>
  </si>
  <si>
    <t>mdb-2911</t>
  </si>
  <si>
    <t>Midland Bluebird</t>
  </si>
  <si>
    <t>mdb-2912</t>
  </si>
  <si>
    <t>Sanders Coaches</t>
  </si>
  <si>
    <t>mdb-2919</t>
  </si>
  <si>
    <t>IDS BK Regional Buses</t>
  </si>
  <si>
    <t>mdb-292</t>
  </si>
  <si>
    <t>Mountain Line</t>
  </si>
  <si>
    <t>mdb-2922</t>
  </si>
  <si>
    <t>Flixbus Türkiye</t>
  </si>
  <si>
    <t>mdb-2928</t>
  </si>
  <si>
    <t>Direkcija za javni prevoz Niš</t>
  </si>
  <si>
    <t>mdb-293</t>
  </si>
  <si>
    <t>University of Montana (UDASH)</t>
  </si>
  <si>
    <t>mdb-2931</t>
  </si>
  <si>
    <t>Ужгородська міська рада</t>
  </si>
  <si>
    <t>mdb-2932</t>
  </si>
  <si>
    <t>Стрийська міська рада</t>
  </si>
  <si>
    <t>mdb-2933</t>
  </si>
  <si>
    <t>Just Use Wheels</t>
  </si>
  <si>
    <t>CN</t>
  </si>
  <si>
    <t>mdb-2934</t>
  </si>
  <si>
    <t>Fortaleza</t>
  </si>
  <si>
    <t>mdb-2935</t>
  </si>
  <si>
    <t>ARCE - Agência Reguladora do Estado do Ceará</t>
  </si>
  <si>
    <t>mdb-2938</t>
  </si>
  <si>
    <t>Mandai Wildlife Reserve</t>
  </si>
  <si>
    <t>SG</t>
  </si>
  <si>
    <t>mdb-2939</t>
  </si>
  <si>
    <t>Trafiklab</t>
  </si>
  <si>
    <t>mdb-294</t>
  </si>
  <si>
    <t>Capital Transit</t>
  </si>
  <si>
    <t>mdb-2940</t>
  </si>
  <si>
    <t>Družbe za upravljanje javnega potniškega prometa, d.o.o.</t>
  </si>
  <si>
    <t>mdb-2946</t>
  </si>
  <si>
    <t>Odesa</t>
  </si>
  <si>
    <t>mdb-2947</t>
  </si>
  <si>
    <t>Petaluma Transit</t>
  </si>
  <si>
    <t>mdb-2948</t>
  </si>
  <si>
    <t>Santa Rosa CityBus</t>
  </si>
  <si>
    <t>mdb-298</t>
  </si>
  <si>
    <t>Carson Circuit</t>
  </si>
  <si>
    <t>mdb-2993</t>
  </si>
  <si>
    <t>ASARA GIUSEPPE EREDI AUTOSERVIZI S.R.L.</t>
  </si>
  <si>
    <t>mdb-3</t>
  </si>
  <si>
    <t>Barrie Transit</t>
  </si>
  <si>
    <t>mdb-301</t>
  </si>
  <si>
    <t>Duluth Transit</t>
  </si>
  <si>
    <t>mdb-3031</t>
  </si>
  <si>
    <t>Redding Area Bus Authority</t>
  </si>
  <si>
    <t>mdb-3032</t>
  </si>
  <si>
    <t>Humboldt Transit Authority</t>
  </si>
  <si>
    <t>mdb-3033</t>
  </si>
  <si>
    <t>Boston Express</t>
  </si>
  <si>
    <t>mdb-3038</t>
  </si>
  <si>
    <t>Everett Transit</t>
  </si>
  <si>
    <t>mdb-304</t>
  </si>
  <si>
    <t>Chautauqua Area Regional Transit System (CARTS)</t>
  </si>
  <si>
    <t>mdb-3040</t>
  </si>
  <si>
    <t>Trasporto Passeggeri Emilia-Romagna</t>
  </si>
  <si>
    <t>mdb-3045</t>
  </si>
  <si>
    <t>JSP Skopje</t>
  </si>
  <si>
    <t>MK</t>
  </si>
  <si>
    <t>mdb-3046</t>
  </si>
  <si>
    <t>Transport Public Ungheni</t>
  </si>
  <si>
    <t>mdb-3047</t>
  </si>
  <si>
    <t>Tallinna Linn</t>
  </si>
  <si>
    <t>mdb-3048</t>
  </si>
  <si>
    <t>Translink South East Queensland (Translink SEQ)</t>
  </si>
  <si>
    <t>mdb-3050</t>
  </si>
  <si>
    <t>APSRTC</t>
  </si>
  <si>
    <t>mdb-307</t>
  </si>
  <si>
    <t>Cincinnati Metro</t>
  </si>
  <si>
    <t>mdb-308</t>
  </si>
  <si>
    <t>DeKalb Public Transit</t>
  </si>
  <si>
    <t>mdb-3096</t>
  </si>
  <si>
    <t>Ventura County Transportation Commission</t>
  </si>
  <si>
    <t>mdb-3097</t>
  </si>
  <si>
    <t>Glendora Transportation Division</t>
  </si>
  <si>
    <t>mdb-3099</t>
  </si>
  <si>
    <t>City of Tracy (TRACER)</t>
  </si>
  <si>
    <t>mdb-3100</t>
  </si>
  <si>
    <t>Thousand Oaks Transit</t>
  </si>
  <si>
    <t>mdb-3104</t>
  </si>
  <si>
    <t>Horários do Funchal - Transportes Públicos, S.A</t>
  </si>
  <si>
    <t>mdb-3106</t>
  </si>
  <si>
    <t>Nuup Bussii A/S</t>
  </si>
  <si>
    <t>GL</t>
  </si>
  <si>
    <t>mdb-3111</t>
  </si>
  <si>
    <t>Gobierno del Estado de Aguascalientes</t>
  </si>
  <si>
    <t>mdb-3112</t>
  </si>
  <si>
    <t>Pacific Transit</t>
  </si>
  <si>
    <t>mdb-3115</t>
  </si>
  <si>
    <t>Suffolk County Transit</t>
  </si>
  <si>
    <t>mdb-3117</t>
  </si>
  <si>
    <t>Merced County Transit (The Bus)</t>
  </si>
  <si>
    <t>mdb-3121</t>
  </si>
  <si>
    <t>VšĮ "Žaliasis regionas"</t>
  </si>
  <si>
    <t>mdb-3125</t>
  </si>
  <si>
    <t>MZK Kutno</t>
  </si>
  <si>
    <t>mdb-3131</t>
  </si>
  <si>
    <t>Ahmedabad Janmarg Ltd, Ahmedabad Municipal Transit Services</t>
  </si>
  <si>
    <t>mdb-3132</t>
  </si>
  <si>
    <t>Administration des transports publics, Luxembourg</t>
  </si>
  <si>
    <t>LU</t>
  </si>
  <si>
    <t>mdb-3133</t>
  </si>
  <si>
    <t>Algoa Bus</t>
  </si>
  <si>
    <t>ZA</t>
  </si>
  <si>
    <t>mdb-3137</t>
  </si>
  <si>
    <t>PMPML</t>
  </si>
  <si>
    <t>mdb-3138</t>
  </si>
  <si>
    <t>Mumbai Bus (BEST, KDMT)</t>
  </si>
  <si>
    <t>mdb-314</t>
  </si>
  <si>
    <t>Compton Renaissance</t>
  </si>
  <si>
    <t>mdb-3140</t>
  </si>
  <si>
    <t>Guelph Transit</t>
  </si>
  <si>
    <t>mdb-3141</t>
  </si>
  <si>
    <t>Hubli Dharwad Bus Rapid Transit System Company Ltd.</t>
  </si>
  <si>
    <t>mdb-3142</t>
  </si>
  <si>
    <t>Rajkot Rampath Limited</t>
  </si>
  <si>
    <t>mdb-3145</t>
  </si>
  <si>
    <t>Autobuses urbanos de Burgos</t>
  </si>
  <si>
    <t>mdb-3146</t>
  </si>
  <si>
    <t>SkyBus Melbourne</t>
  </si>
  <si>
    <t>mdb-3149</t>
  </si>
  <si>
    <t>Shore Transit</t>
  </si>
  <si>
    <t>mdb-315</t>
  </si>
  <si>
    <t>Corpus Christi Regional Transportation Authority</t>
  </si>
  <si>
    <t>mdb-3155</t>
  </si>
  <si>
    <t>Aytos-Avtrotransport Ltd.</t>
  </si>
  <si>
    <t>mdb-3156</t>
  </si>
  <si>
    <t>Rzeszowski Transport Miejski</t>
  </si>
  <si>
    <t>mdb-3157</t>
  </si>
  <si>
    <t>BAS.MY Kangar</t>
  </si>
  <si>
    <t>MY</t>
  </si>
  <si>
    <t>mdb-3158</t>
  </si>
  <si>
    <t>BAS.MY Alor Setar</t>
  </si>
  <si>
    <t>mdb-3159</t>
  </si>
  <si>
    <t>BAS.MY Kota Bharu</t>
  </si>
  <si>
    <t>mdb-3161</t>
  </si>
  <si>
    <t>BAS.MY Ipoh</t>
  </si>
  <si>
    <t>mdb-3164</t>
  </si>
  <si>
    <t>BAS.MY Melaka</t>
  </si>
  <si>
    <t>mdb-3165</t>
  </si>
  <si>
    <t>BAS.MY Johor Bahru</t>
  </si>
  <si>
    <t>mdb-3166</t>
  </si>
  <si>
    <t>BAS.MY Kuching</t>
  </si>
  <si>
    <t>mdb-3175</t>
  </si>
  <si>
    <t>Tokyo Metropolitan Bureau of Transportation - Toei Bus</t>
  </si>
  <si>
    <t>mdb-3180</t>
  </si>
  <si>
    <t>PKS w Rzeszowie S.A.</t>
  </si>
  <si>
    <t>mdb-3183</t>
  </si>
  <si>
    <t>GoTriangle</t>
  </si>
  <si>
    <t>mdb-3186</t>
  </si>
  <si>
    <t>Transportes Colectivos do Barreiro</t>
  </si>
  <si>
    <t>mdb-3187</t>
  </si>
  <si>
    <t>Springfield Mass Transit District (SMTD)</t>
  </si>
  <si>
    <t>mdb-3188</t>
  </si>
  <si>
    <t>Transporte Público Urbano de Ibagué</t>
  </si>
  <si>
    <t>mdb-3189</t>
  </si>
  <si>
    <t>Komunikacja miejska w Jarosławiu</t>
  </si>
  <si>
    <t>mdb-319</t>
  </si>
  <si>
    <t>Groome Transportation</t>
  </si>
  <si>
    <t>mdb-3190</t>
  </si>
  <si>
    <t>Société de transport de Laval</t>
  </si>
  <si>
    <t>mdb-3191</t>
  </si>
  <si>
    <t>Polish Trains</t>
  </si>
  <si>
    <t>mdb-3193</t>
  </si>
  <si>
    <t>CobbLinc</t>
  </si>
  <si>
    <t>mdb-32</t>
  </si>
  <si>
    <t>Gold Coast Transit, South Coast Area Transit</t>
  </si>
  <si>
    <t>mdb-320</t>
  </si>
  <si>
    <t>Delano Area Rapid Transit</t>
  </si>
  <si>
    <t>mdb-3202</t>
  </si>
  <si>
    <t>El Paso Transportation Authority</t>
  </si>
  <si>
    <t>mdb-3211</t>
  </si>
  <si>
    <t>Rocky Mountain National Park</t>
  </si>
  <si>
    <t>mdb-3219</t>
  </si>
  <si>
    <t>Rogue Valley Transportation District (RVTD)</t>
  </si>
  <si>
    <t>mdb-322</t>
  </si>
  <si>
    <t>Key West Transit</t>
  </si>
  <si>
    <t>mdb-3220</t>
  </si>
  <si>
    <t>Athens Urban Transport Organization (OASA) - Road Transport Routes</t>
  </si>
  <si>
    <t>mdb-3226</t>
  </si>
  <si>
    <t>Московский транспорт - Moscow Transport</t>
  </si>
  <si>
    <t>mdb-3230</t>
  </si>
  <si>
    <t>Kyiv</t>
  </si>
  <si>
    <t>mdb-3233</t>
  </si>
  <si>
    <t>Verkehrsverbund Berlin-Brandenburg (VBB)</t>
  </si>
  <si>
    <t>mdb-3235</t>
  </si>
  <si>
    <t>ABuss OÜ, Aktsiaselts Hansa Bussiliinid, Aktsiaselts MK Autobuss, Alukvik OÜ, Arilix OÜ, AS Lux Express Estonia, Asunduse osaühing, ATG Bussiliinid OÜ, Atko Bussiliinid AS, ATKO Liinid OÜ, ATKO Transport OÜ, Ekspress-Auto L Osaühing, Ekspressbussiliinid osaühing, Elmar Purga FIE, ELRON, Estonian Lines OÜ, GoBus AS, HANSABUSS AS, Kalle Bussid OÜ, MEELIS HEEK, MK Reis-X OÜ, NAJA OÜ, Osaühing Bristol Takso, OSAÜHING FREMANTI, osaühing Tulisilm, OV Ida-Bus OÜ, OÜ Baltic Shuttle, PRESTO osaühing, Radix Transport OÜ, Rannu Rukkilill E.S.T. OÜ, Saaremaa vald, SEBE Aktsiaselts, Sirel Reisid OÜ, Taisto Express OÜ, Tallinna Linnatranspordi AS, TS Laevad OÜ, Tõnu Tours OÜ, Valgis osaühing</t>
  </si>
  <si>
    <t>mdb-3236</t>
  </si>
  <si>
    <t>Romanian Railway Operators</t>
  </si>
  <si>
    <t>mdb-3237</t>
  </si>
  <si>
    <t>SL</t>
  </si>
  <si>
    <t>mdb-3238</t>
  </si>
  <si>
    <t>UL</t>
  </si>
  <si>
    <t>mdb-3239</t>
  </si>
  <si>
    <t>Sörmlandstrafiken</t>
  </si>
  <si>
    <t>mdb-324</t>
  </si>
  <si>
    <t>LeeTran</t>
  </si>
  <si>
    <t>mdb-3240</t>
  </si>
  <si>
    <t>Östgötatrafiken</t>
  </si>
  <si>
    <t>mdb-3241</t>
  </si>
  <si>
    <t>JLT</t>
  </si>
  <si>
    <t>mdb-3242</t>
  </si>
  <si>
    <t>Kronoberg</t>
  </si>
  <si>
    <t>mdb-3243</t>
  </si>
  <si>
    <t>KLT</t>
  </si>
  <si>
    <t>mdb-3244</t>
  </si>
  <si>
    <t>Gotland</t>
  </si>
  <si>
    <t>mdb-3245</t>
  </si>
  <si>
    <t>Blekingetrafiken</t>
  </si>
  <si>
    <t>mdb-3246</t>
  </si>
  <si>
    <t>Skånetrafiken</t>
  </si>
  <si>
    <t>mdb-3247</t>
  </si>
  <si>
    <t>Hallandstrafiken</t>
  </si>
  <si>
    <t>mdb-3248</t>
  </si>
  <si>
    <t>Västtrafik</t>
  </si>
  <si>
    <t>mdb-3249</t>
  </si>
  <si>
    <t>Värmlandstrafik</t>
  </si>
  <si>
    <t>mdb-325</t>
  </si>
  <si>
    <t>Hillsborough Area Regional Transit (HART)</t>
  </si>
  <si>
    <t>mdb-3250</t>
  </si>
  <si>
    <t>Örebro</t>
  </si>
  <si>
    <t>mdb-3251</t>
  </si>
  <si>
    <t>Västmanland</t>
  </si>
  <si>
    <t>mdb-3252</t>
  </si>
  <si>
    <t>Dalatrafik</t>
  </si>
  <si>
    <t>mdb-3253</t>
  </si>
  <si>
    <t>X-trafik</t>
  </si>
  <si>
    <t>mdb-3254</t>
  </si>
  <si>
    <t>Din Tur - Västernorrland</t>
  </si>
  <si>
    <t>mdb-3255</t>
  </si>
  <si>
    <t>Jämtland</t>
  </si>
  <si>
    <t>mdb-3256</t>
  </si>
  <si>
    <t>Västerbotten</t>
  </si>
  <si>
    <t>mdb-3257</t>
  </si>
  <si>
    <t>Norrbotten</t>
  </si>
  <si>
    <t>mdb-326</t>
  </si>
  <si>
    <t>Pinellas Suncoast Transit Authority (PSTA)</t>
  </si>
  <si>
    <t>mdb-3261</t>
  </si>
  <si>
    <t>Flixbus</t>
  </si>
  <si>
    <t>mdb-3266</t>
  </si>
  <si>
    <t>Luleå Lokaltrafik</t>
  </si>
  <si>
    <t>mdb-327</t>
  </si>
  <si>
    <t>Sarasota County Area Transit</t>
  </si>
  <si>
    <t>mdb-3276</t>
  </si>
  <si>
    <t>Skellefteåbuss</t>
  </si>
  <si>
    <t>mdb-3287</t>
  </si>
  <si>
    <t>Vy Bus4You</t>
  </si>
  <si>
    <t>mdb-3288</t>
  </si>
  <si>
    <t>Vy Flygbussarna</t>
  </si>
  <si>
    <t>mdb-330</t>
  </si>
  <si>
    <t>Broward County Transit</t>
  </si>
  <si>
    <t>mdb-331</t>
  </si>
  <si>
    <t>Miami-Dade Transit</t>
  </si>
  <si>
    <t>mdb-332</t>
  </si>
  <si>
    <t>Palm Tran</t>
  </si>
  <si>
    <t>mdb-333</t>
  </si>
  <si>
    <t>South Florida Regional Transportation Authority (Tri-Rail)</t>
  </si>
  <si>
    <t>mdb-335</t>
  </si>
  <si>
    <t>Escambia County Area Transit (ECAT)</t>
  </si>
  <si>
    <t>mdb-3355</t>
  </si>
  <si>
    <t>Agyad, Box Paratransit, Cooperative paratransit 29 Seater (Grey Licenseplates), Cairo Transport Authority, Minibus licensed by CTA, Green Bus, El Masreya, Paratransit 8 Seater Suzuki Chevrolet or DMF (Blue Licenseplates), Paratransit 14 Seater Microbus (Orange Licenseplates)</t>
  </si>
  <si>
    <t>EG</t>
  </si>
  <si>
    <t>mdb-3356</t>
  </si>
  <si>
    <t>MIO Cali</t>
  </si>
  <si>
    <t>mdb-3357</t>
  </si>
  <si>
    <t>Red Metropolitana de Movilida, EFE Trenes de Chile, Bus de Acercamiento Aeropuerto, Metro de Santiago</t>
  </si>
  <si>
    <t>CL</t>
  </si>
  <si>
    <t>mdb-3358</t>
  </si>
  <si>
    <t>SIMUR Bogota</t>
  </si>
  <si>
    <t>mdb-3359</t>
  </si>
  <si>
    <t>Road and Transport Authority (RTA)</t>
  </si>
  <si>
    <t>AE</t>
  </si>
  <si>
    <t>mdb-336</t>
  </si>
  <si>
    <t>Emerald Coast Rider (ECR)</t>
  </si>
  <si>
    <t>mdb-3361</t>
  </si>
  <si>
    <t>Hyderabad TGSRTC Bus</t>
  </si>
  <si>
    <t>mdb-3362</t>
  </si>
  <si>
    <t>Hamburger Verkehrsverbund GmbH (HVV)</t>
  </si>
  <si>
    <t>mdb-3364</t>
  </si>
  <si>
    <t>Osaühing Bristol Takso, Papiniidu Projekt AS, Piiroja Invest OÜ, SEBE Aktsiaselts</t>
  </si>
  <si>
    <t>mdb-3365</t>
  </si>
  <si>
    <t>GoBus AS</t>
  </si>
  <si>
    <t>mdb-3366</t>
  </si>
  <si>
    <t>GoBus AS, NAJA OÜ, OSAÜHING FREMANTI, OV Ida-Bus OÜ</t>
  </si>
  <si>
    <t>mdb-3367</t>
  </si>
  <si>
    <t>HANSABUSS AS</t>
  </si>
  <si>
    <t>mdb-3369</t>
  </si>
  <si>
    <t>GoBus AS, MK Reis OÜ</t>
  </si>
  <si>
    <t>mdb-337</t>
  </si>
  <si>
    <t>Bay Town Trolley</t>
  </si>
  <si>
    <t>mdb-3375</t>
  </si>
  <si>
    <t>mdb-3378</t>
  </si>
  <si>
    <t>HANSABUSS AS, Kihnu Veeteed AS</t>
  </si>
  <si>
    <t>mdb-3379</t>
  </si>
  <si>
    <t>ATG Bussiliinid OÜ, GoBus AS</t>
  </si>
  <si>
    <t>mdb-338</t>
  </si>
  <si>
    <t>Montgomery Transit</t>
  </si>
  <si>
    <t>mdb-3386</t>
  </si>
  <si>
    <t>Cotral S.p.A.</t>
  </si>
  <si>
    <t>mdb-3392</t>
  </si>
  <si>
    <t>Jefferson County Public Transit (JCPT)</t>
  </si>
  <si>
    <t>mdb-3393</t>
  </si>
  <si>
    <t>KentKart Safranbolu</t>
  </si>
  <si>
    <t>mdb-3394</t>
  </si>
  <si>
    <t>KentKart Osmaniye</t>
  </si>
  <si>
    <t>mdb-3395</t>
  </si>
  <si>
    <t>KentKart Ordu</t>
  </si>
  <si>
    <t>mdb-3396</t>
  </si>
  <si>
    <t>KentKart Muğla</t>
  </si>
  <si>
    <t>mdb-3397</t>
  </si>
  <si>
    <t>KentKart Mardin</t>
  </si>
  <si>
    <t>mdb-3398</t>
  </si>
  <si>
    <t>KentKart Kocaeli</t>
  </si>
  <si>
    <t>mdb-3399</t>
  </si>
  <si>
    <t>KentKart Kirklareli</t>
  </si>
  <si>
    <t>mdb-3400</t>
  </si>
  <si>
    <t>KentKart Kastamonu</t>
  </si>
  <si>
    <t>mdb-3401</t>
  </si>
  <si>
    <t>KentKart Gaziantep</t>
  </si>
  <si>
    <t>mdb-3402</t>
  </si>
  <si>
    <t>KentKart Erzurum</t>
  </si>
  <si>
    <t>mdb-3403</t>
  </si>
  <si>
    <t>KentKart Duzce</t>
  </si>
  <si>
    <t>mdb-3404</t>
  </si>
  <si>
    <t>KentKart Canakkale</t>
  </si>
  <si>
    <t>mdb-3405</t>
  </si>
  <si>
    <t>KentKart Burdur</t>
  </si>
  <si>
    <t>mdb-3406</t>
  </si>
  <si>
    <t>KentKart Antalya</t>
  </si>
  <si>
    <t>mdb-3407</t>
  </si>
  <si>
    <t>KentKart Adana</t>
  </si>
  <si>
    <t>mdb-3408</t>
  </si>
  <si>
    <t>JAX Mass Transit District</t>
  </si>
  <si>
    <t>mdb-3409</t>
  </si>
  <si>
    <t>Singapore typical weekday</t>
  </si>
  <si>
    <t>mdb-341</t>
  </si>
  <si>
    <t>Hernando County Transit (TheBus)</t>
  </si>
  <si>
    <t>mdb-3412</t>
  </si>
  <si>
    <t>Transportes Metropolitanos de Lisboa (TML)</t>
  </si>
  <si>
    <t>mdb-343</t>
  </si>
  <si>
    <t>mdb-344</t>
  </si>
  <si>
    <t>StarMetro</t>
  </si>
  <si>
    <t>mdb-347</t>
  </si>
  <si>
    <t>Central Florida Regional Transit Authority (LYNX)</t>
  </si>
  <si>
    <t>mdb-348</t>
  </si>
  <si>
    <t>Sarasota County Area Transit (SCAT)</t>
  </si>
  <si>
    <t>mdb-349</t>
  </si>
  <si>
    <t>Votran</t>
  </si>
  <si>
    <t>mdb-35</t>
  </si>
  <si>
    <t>Palos Verdes Peninsula Transit Authority (PVPTA)</t>
  </si>
  <si>
    <t>mdb-350</t>
  </si>
  <si>
    <t>Sunshine Bus Company</t>
  </si>
  <si>
    <t>mdb-352</t>
  </si>
  <si>
    <t>Charleston Area Regional Transportation Authority (CARTA)</t>
  </si>
  <si>
    <t>mdb-36</t>
  </si>
  <si>
    <t>Lawndale Beat</t>
  </si>
  <si>
    <t>mdb-360</t>
  </si>
  <si>
    <t>Nashville MTA WeGo Public Transit</t>
  </si>
  <si>
    <t>mdb-362</t>
  </si>
  <si>
    <t>Blue Grass Community Action Partnership</t>
  </si>
  <si>
    <t>mdb-368</t>
  </si>
  <si>
    <t>Metropolitan Atlanta Rapid Transit Authority (MARTA)</t>
  </si>
  <si>
    <t>mdb-37</t>
  </si>
  <si>
    <t>Big Blue Bus</t>
  </si>
  <si>
    <t>mdb-373</t>
  </si>
  <si>
    <t>Piedmont Authority for Regional Transportation (PART)</t>
  </si>
  <si>
    <t>mdb-378</t>
  </si>
  <si>
    <t>Duke University</t>
  </si>
  <si>
    <t>mdb-38</t>
  </si>
  <si>
    <t>Culver City Bus</t>
  </si>
  <si>
    <t>mdb-381</t>
  </si>
  <si>
    <t>Greater Lynchburg Transit Co.</t>
  </si>
  <si>
    <t>mdb-382</t>
  </si>
  <si>
    <t>Harrisonburg Department of Public Transportation (HDPT)</t>
  </si>
  <si>
    <t>mdb-387</t>
  </si>
  <si>
    <t>Terre Haute Transit Utility</t>
  </si>
  <si>
    <t>mdb-389</t>
  </si>
  <si>
    <t>Chicago Transit Authority (CTA)</t>
  </si>
  <si>
    <t>mdb-391</t>
  </si>
  <si>
    <t>CityBus of Greater Lafayette Indiana (CityBus)</t>
  </si>
  <si>
    <t>mdb-393</t>
  </si>
  <si>
    <t>Janesville Transit System</t>
  </si>
  <si>
    <t>mdb-394</t>
  </si>
  <si>
    <t>Metro Transit - City of Madison</t>
  </si>
  <si>
    <t>mdb-396</t>
  </si>
  <si>
    <t>Waukesha Metro Transit</t>
  </si>
  <si>
    <t>mdb-397</t>
  </si>
  <si>
    <t>GO Transit</t>
  </si>
  <si>
    <t>mdb-399</t>
  </si>
  <si>
    <t>Shoreline Metro</t>
  </si>
  <si>
    <t>mdb-400</t>
  </si>
  <si>
    <t>The Rapid</t>
  </si>
  <si>
    <t>mdb-402</t>
  </si>
  <si>
    <t>Capital Area Transportation Authority (CATA)</t>
  </si>
  <si>
    <t>mdb-403</t>
  </si>
  <si>
    <t>Greater Dayton Regional Transit Authority (Greater Dayton RTA)</t>
  </si>
  <si>
    <t>mdb-404</t>
  </si>
  <si>
    <t>Central Ohio Transit Authority (COTA)</t>
  </si>
  <si>
    <t>mdb-406</t>
  </si>
  <si>
    <t>Greater Cleveland Regional Transit Authority</t>
  </si>
  <si>
    <t>mdb-407</t>
  </si>
  <si>
    <t>Mountain Line Transit Authority</t>
  </si>
  <si>
    <t>mdb-408</t>
  </si>
  <si>
    <t>Allegany County Transit</t>
  </si>
  <si>
    <t>mdb-409</t>
  </si>
  <si>
    <t>Port Authority of Allegheny County</t>
  </si>
  <si>
    <t>mdb-41</t>
  </si>
  <si>
    <t>Pasadena Transit</t>
  </si>
  <si>
    <t>mdb-410</t>
  </si>
  <si>
    <t>Laketran</t>
  </si>
  <si>
    <t>mdb-412</t>
  </si>
  <si>
    <t>Erie Metropolitan Transit Authority</t>
  </si>
  <si>
    <t>mdb-413</t>
  </si>
  <si>
    <t>Michigan Flyer</t>
  </si>
  <si>
    <t>mdb-414</t>
  </si>
  <si>
    <t>Suburban Mobility Authority for Regional Transit (SMART)</t>
  </si>
  <si>
    <t>mdb-415</t>
  </si>
  <si>
    <t>Ann Arbor Area Transportation Authority (TheRide)</t>
  </si>
  <si>
    <t>mdb-418</t>
  </si>
  <si>
    <t>Greater Attleboro Taunton Regional Transit Authority (GATRA)</t>
  </si>
  <si>
    <t>mdb-420</t>
  </si>
  <si>
    <t>Martha's Vineyard Transit Authority</t>
  </si>
  <si>
    <t>mdb-421</t>
  </si>
  <si>
    <t>Southeastern Regional Transit Authority (SRTA)</t>
  </si>
  <si>
    <t>mdb-422</t>
  </si>
  <si>
    <t>Brockton Area Transit Authority (BAT)</t>
  </si>
  <si>
    <t>mdb-426</t>
  </si>
  <si>
    <t>Nantucket Regional Transit Authority (WAVE)</t>
  </si>
  <si>
    <t>mdb-429</t>
  </si>
  <si>
    <t>Franklin Regional Transit Authority (FRTA)</t>
  </si>
  <si>
    <t>mdb-43</t>
  </si>
  <si>
    <t>San Luis Obispo Regional Transit Authority (SLORTA)</t>
  </si>
  <si>
    <t>mdb-432</t>
  </si>
  <si>
    <t>Worcester Regional Transit Authority (WRTA)</t>
  </si>
  <si>
    <t>mdb-433</t>
  </si>
  <si>
    <t>Montachusett Regional Transit Authority (MART)</t>
  </si>
  <si>
    <t>mdb-439</t>
  </si>
  <si>
    <t>MetroWest Regional Transit Authority (MWRTA)</t>
  </si>
  <si>
    <t>mdb-44</t>
  </si>
  <si>
    <t>City of San Luis Obispo Transit</t>
  </si>
  <si>
    <t>mdb-440</t>
  </si>
  <si>
    <t>128 Business Council</t>
  </si>
  <si>
    <t>mdb-441</t>
  </si>
  <si>
    <t>Massport</t>
  </si>
  <si>
    <t>mdb-444</t>
  </si>
  <si>
    <t>Lowell Regional Transit Authority (LRTA)</t>
  </si>
  <si>
    <t>mdb-445</t>
  </si>
  <si>
    <t>Merrimack Valley Regional Transit Authority (MVRTA)</t>
  </si>
  <si>
    <t>mdb-447</t>
  </si>
  <si>
    <t>Cape Ann Transportation Authority (CATA)</t>
  </si>
  <si>
    <t>mdb-456</t>
  </si>
  <si>
    <t>Durango Transit</t>
  </si>
  <si>
    <t>mdb-457</t>
  </si>
  <si>
    <t>Dutchess County</t>
  </si>
  <si>
    <t>mdb-46</t>
  </si>
  <si>
    <t>Golden Empire Transit District (GET)</t>
  </si>
  <si>
    <t>mdb-461</t>
  </si>
  <si>
    <t>Farmville Area Bus</t>
  </si>
  <si>
    <t>mdb-464</t>
  </si>
  <si>
    <t>Detroit Department of Transportation (DDOT)</t>
  </si>
  <si>
    <t>mdb-466</t>
  </si>
  <si>
    <t>Maryland Transit Administration</t>
  </si>
  <si>
    <t>mdb-47</t>
  </si>
  <si>
    <t>Kern Transit</t>
  </si>
  <si>
    <t>mdb-472</t>
  </si>
  <si>
    <t>Tar River Transit</t>
  </si>
  <si>
    <t>mdb-473</t>
  </si>
  <si>
    <t>Hampton Roads Transit (HRT)</t>
  </si>
  <si>
    <t>mdb-475</t>
  </si>
  <si>
    <t>Delmarva Community Transit</t>
  </si>
  <si>
    <t>mdb-477</t>
  </si>
  <si>
    <t>Prince George's County (The Bus)</t>
  </si>
  <si>
    <t>mdb-479</t>
  </si>
  <si>
    <t>Charles County VanGo</t>
  </si>
  <si>
    <t>mdb-48</t>
  </si>
  <si>
    <t>Porterville Transit</t>
  </si>
  <si>
    <t>mdb-480</t>
  </si>
  <si>
    <t>Calvert County Public Transportation</t>
  </si>
  <si>
    <t>mdb-482</t>
  </si>
  <si>
    <t>Alexandria Transit Company (DASH)</t>
  </si>
  <si>
    <t>mdb-483</t>
  </si>
  <si>
    <t>Fairfax Connector</t>
  </si>
  <si>
    <t>mdb-485</t>
  </si>
  <si>
    <t>Arlington Transit</t>
  </si>
  <si>
    <t>mdb-486</t>
  </si>
  <si>
    <t>DC Circulator</t>
  </si>
  <si>
    <t>mdb-488</t>
  </si>
  <si>
    <t>Montgomery County Department of Transportation (Ride On)</t>
  </si>
  <si>
    <t>mdb-489</t>
  </si>
  <si>
    <t>Regional Transportation Agency of Central Maryland (RTA)</t>
  </si>
  <si>
    <t>mdb-493</t>
  </si>
  <si>
    <t>Charm City Circulator</t>
  </si>
  <si>
    <t>mdb-495</t>
  </si>
  <si>
    <t>Ocean City Transportation</t>
  </si>
  <si>
    <t>mdb-496</t>
  </si>
  <si>
    <t>Peter Pan</t>
  </si>
  <si>
    <t>mdb-500</t>
  </si>
  <si>
    <t>Carroll Transit System</t>
  </si>
  <si>
    <t>mdb-501</t>
  </si>
  <si>
    <t>Harford Transit LINK</t>
  </si>
  <si>
    <t>mdb-502</t>
  </si>
  <si>
    <t>Southeastern Pennsylvania Transportation Authority (SEPTA)</t>
  </si>
  <si>
    <t>mdb-508</t>
  </si>
  <si>
    <t>New Jersey Transit (NJ Transit)</t>
  </si>
  <si>
    <t>mdb-51</t>
  </si>
  <si>
    <t>Mission Bay Transportation Management Association (TMA)</t>
  </si>
  <si>
    <t>mdb-512</t>
  </si>
  <si>
    <t>Metropolitan Transit Authority (MTA)</t>
  </si>
  <si>
    <t>mdb-515</t>
  </si>
  <si>
    <t>NYC Ferry</t>
  </si>
  <si>
    <t>mdb-519</t>
  </si>
  <si>
    <t>Downtown Alliance</t>
  </si>
  <si>
    <t>mdb-521</t>
  </si>
  <si>
    <t>Nassau Inter-County Express (NICE Bus)</t>
  </si>
  <si>
    <t>mdb-523</t>
  </si>
  <si>
    <t>Monroe County Transportation Authority (MCTA)</t>
  </si>
  <si>
    <t>mdb-526</t>
  </si>
  <si>
    <t>Ulster County Area Transit</t>
  </si>
  <si>
    <t>mdb-530</t>
  </si>
  <si>
    <t>Greater Bridgeport Transit</t>
  </si>
  <si>
    <t>mdb-531</t>
  </si>
  <si>
    <t>Access Allegany</t>
  </si>
  <si>
    <t>mdb-533</t>
  </si>
  <si>
    <t>Rochester-Genesee Regional Transportation Authority (RGRTA)</t>
  </si>
  <si>
    <t>mdb-534</t>
  </si>
  <si>
    <t>Centro</t>
  </si>
  <si>
    <t>mdb-535</t>
  </si>
  <si>
    <t>Tompkins Consolidated Area Transit Inc</t>
  </si>
  <si>
    <t>mdb-537</t>
  </si>
  <si>
    <t>Berkshire Regional Transit Authority (BRTA)</t>
  </si>
  <si>
    <t>mdb-538</t>
  </si>
  <si>
    <t>Capital District Transportation Authority (CDTA)</t>
  </si>
  <si>
    <t>mdb-539</t>
  </si>
  <si>
    <t>Green Mountain Community Network (GMCN)</t>
  </si>
  <si>
    <t>mdb-543</t>
  </si>
  <si>
    <t>Addison County Transit (ACTR)</t>
  </si>
  <si>
    <t>mdb-544</t>
  </si>
  <si>
    <t>Clinton County Public Transit (CCPT)</t>
  </si>
  <si>
    <t>mdb-551</t>
  </si>
  <si>
    <t>Middletown Area Transit (MAT)</t>
  </si>
  <si>
    <t>mdb-553</t>
  </si>
  <si>
    <t>Connecticut Transit</t>
  </si>
  <si>
    <t>mdb-559</t>
  </si>
  <si>
    <t>Iowa City Transit System</t>
  </si>
  <si>
    <t>mdb-56</t>
  </si>
  <si>
    <t>Monterey-Salinas Transit (MST)</t>
  </si>
  <si>
    <t>mdb-569</t>
  </si>
  <si>
    <t>mdb-570</t>
  </si>
  <si>
    <t>Lynwood Trolley / Breeze</t>
  </si>
  <si>
    <t>mdb-571</t>
  </si>
  <si>
    <t>Interurban Trolley</t>
  </si>
  <si>
    <t>mdb-579</t>
  </si>
  <si>
    <t>Morongo Basin Transit Authority</t>
  </si>
  <si>
    <t>mdb-59</t>
  </si>
  <si>
    <t>Stanford Marguerite Shuttle (SMS)</t>
  </si>
  <si>
    <t>mdb-591</t>
  </si>
  <si>
    <t>Petersburg Area Transit</t>
  </si>
  <si>
    <t>mdb-593</t>
  </si>
  <si>
    <t>mdb-599</t>
  </si>
  <si>
    <t>City Coach</t>
  </si>
  <si>
    <t>mdb-61</t>
  </si>
  <si>
    <t>Commute.org San Mateo County Shuttles</t>
  </si>
  <si>
    <t>mdb-615</t>
  </si>
  <si>
    <t>Greensboro Transit Authority (GTA)</t>
  </si>
  <si>
    <t>mdb-619</t>
  </si>
  <si>
    <t>Turlock Transit</t>
  </si>
  <si>
    <t>mdb-623</t>
  </si>
  <si>
    <t>Go West Shuttle</t>
  </si>
  <si>
    <t>mdb-624</t>
  </si>
  <si>
    <t>Rhode Island Public Transit Authority</t>
  </si>
  <si>
    <t>mdb-625</t>
  </si>
  <si>
    <t>mdb-628</t>
  </si>
  <si>
    <t>Union City Transit</t>
  </si>
  <si>
    <t>mdb-629</t>
  </si>
  <si>
    <t>Chittenden County Transportation Authority (CCTA)</t>
  </si>
  <si>
    <t>mdb-631</t>
  </si>
  <si>
    <t>Advance Transit</t>
  </si>
  <si>
    <t>mdb-64</t>
  </si>
  <si>
    <t>Livermore Amador Valley Transit Authority</t>
  </si>
  <si>
    <t>mdb-646</t>
  </si>
  <si>
    <t>Tulare County Area Transit (TCAT)</t>
  </si>
  <si>
    <t>mdb-648</t>
  </si>
  <si>
    <t>Wiener Lokalbahnen (WLB), Wiener Linien</t>
  </si>
  <si>
    <t>AT</t>
  </si>
  <si>
    <t>mdb-651</t>
  </si>
  <si>
    <t>TransLink Maryborough-Hervey Bay</t>
  </si>
  <si>
    <t>mdb-652</t>
  </si>
  <si>
    <t>TransLink North Stradbroke Island</t>
  </si>
  <si>
    <t>mdb-653</t>
  </si>
  <si>
    <t>Bus Queensland Toowoomba (Bus Qld Toowoomba)</t>
  </si>
  <si>
    <t>mdb-655</t>
  </si>
  <si>
    <t>Youngs Bus Service</t>
  </si>
  <si>
    <t>mdb-659</t>
  </si>
  <si>
    <t>Région Bourgogne-Franche-Comté</t>
  </si>
  <si>
    <t>mdb-660</t>
  </si>
  <si>
    <t>Adelaide Metro</t>
  </si>
  <si>
    <t>mdb-665</t>
  </si>
  <si>
    <t>MetroTas Hobart</t>
  </si>
  <si>
    <t>mdb-667</t>
  </si>
  <si>
    <t>Buslink Gladstone</t>
  </si>
  <si>
    <t>mdb-671</t>
  </si>
  <si>
    <t>Polleys Coaches</t>
  </si>
  <si>
    <t>mdb-672</t>
  </si>
  <si>
    <t>Duffy's Buses and Stewarts &amp; Sons Coaches</t>
  </si>
  <si>
    <t>mdb-674</t>
  </si>
  <si>
    <t>TransLink Sunbus Cairns</t>
  </si>
  <si>
    <t>mdb-676</t>
  </si>
  <si>
    <t>Whitsunday Transit</t>
  </si>
  <si>
    <t>mdb-677</t>
  </si>
  <si>
    <t>Sunbus Townsville</t>
  </si>
  <si>
    <t>mdb-678</t>
  </si>
  <si>
    <t>Mackay Transit Coaches</t>
  </si>
  <si>
    <t>mdb-68</t>
  </si>
  <si>
    <t>Lake Transit Authority (LTA)</t>
  </si>
  <si>
    <t>mdb-680</t>
  </si>
  <si>
    <t>Department of Transport, Public Transport</t>
  </si>
  <si>
    <t>mdb-681</t>
  </si>
  <si>
    <t>MetroTas Burnie</t>
  </si>
  <si>
    <t>mdb-682</t>
  </si>
  <si>
    <t>MetroTas Launceston</t>
  </si>
  <si>
    <t>mdb-684</t>
  </si>
  <si>
    <t>De Lijn</t>
  </si>
  <si>
    <t>mdb-686</t>
  </si>
  <si>
    <t>NL</t>
  </si>
  <si>
    <t>mdb-689</t>
  </si>
  <si>
    <t>Whitehorse Transit</t>
  </si>
  <si>
    <t>mdb-69</t>
  </si>
  <si>
    <t>Mendocino Transit Authority</t>
  </si>
  <si>
    <t>mdb-696</t>
  </si>
  <si>
    <t>TransLink Vancouver</t>
  </si>
  <si>
    <t>mdb-699</t>
  </si>
  <si>
    <t>BC Transit (Chilliwack)</t>
  </si>
  <si>
    <t>mdb-7</t>
  </si>
  <si>
    <t>Empresa Publica de Transportes e Circulação (EPTC)</t>
  </si>
  <si>
    <t>mdb-70</t>
  </si>
  <si>
    <t>Sonoma County Transit (SCT)</t>
  </si>
  <si>
    <t>mdb-708</t>
  </si>
  <si>
    <t>Prince George Transit</t>
  </si>
  <si>
    <t>mdb-711</t>
  </si>
  <si>
    <t>Roam Transit</t>
  </si>
  <si>
    <t>mdb-712</t>
  </si>
  <si>
    <t>Calgary Transit</t>
  </si>
  <si>
    <t>mdb-714</t>
  </si>
  <si>
    <t>Edmonton Transit System</t>
  </si>
  <si>
    <t>mdb-715</t>
  </si>
  <si>
    <t>City of Regina</t>
  </si>
  <si>
    <t>mdb-716</t>
  </si>
  <si>
    <t>Saskatoon Transit</t>
  </si>
  <si>
    <t>mdb-717</t>
  </si>
  <si>
    <t>Winnipeg Transit</t>
  </si>
  <si>
    <t>mdb-718</t>
  </si>
  <si>
    <t>Cornwall Transit</t>
  </si>
  <si>
    <t>mdb-719</t>
  </si>
  <si>
    <t>Muncie Indiana Transit System (MITS)</t>
  </si>
  <si>
    <t>mdb-720</t>
  </si>
  <si>
    <t>Transit Windsor</t>
  </si>
  <si>
    <t>mdb-721</t>
  </si>
  <si>
    <t>Grand River Transit</t>
  </si>
  <si>
    <t>mdb-724</t>
  </si>
  <si>
    <t>Burlington Transit</t>
  </si>
  <si>
    <t>mdb-725</t>
  </si>
  <si>
    <t>Oakville Transit</t>
  </si>
  <si>
    <t>mdb-726</t>
  </si>
  <si>
    <t>Durham Region Transit</t>
  </si>
  <si>
    <t>mdb-728</t>
  </si>
  <si>
    <t>York Region Transit</t>
  </si>
  <si>
    <t>mdb-730</t>
  </si>
  <si>
    <t>MiWay</t>
  </si>
  <si>
    <t>mdb-732</t>
  </si>
  <si>
    <t>Toronto Transit Commission (TTC)</t>
  </si>
  <si>
    <t>mdb-733</t>
  </si>
  <si>
    <t>Kingston Transit</t>
  </si>
  <si>
    <t>mdb-734</t>
  </si>
  <si>
    <t>Halifax Transit</t>
  </si>
  <si>
    <t>mdb-736</t>
  </si>
  <si>
    <t>Thunder Bay Transit</t>
  </si>
  <si>
    <t>mdb-737</t>
  </si>
  <si>
    <t>Greater Sudbury Transit</t>
  </si>
  <si>
    <t>mdb-740</t>
  </si>
  <si>
    <t>Société de transport de l'Outaouais</t>
  </si>
  <si>
    <t>mdb-741</t>
  </si>
  <si>
    <t>Exo Sorel-Varennes</t>
  </si>
  <si>
    <t>mdb-742</t>
  </si>
  <si>
    <t>Exo Sud-ouest</t>
  </si>
  <si>
    <t>mdb-743</t>
  </si>
  <si>
    <t>Exo La Presqu'île</t>
  </si>
  <si>
    <t>mdb-744</t>
  </si>
  <si>
    <t>Exo Laurentides</t>
  </si>
  <si>
    <t>mdb-745</t>
  </si>
  <si>
    <t>Exo Haut-Saint-Laurent</t>
  </si>
  <si>
    <t>mdb-75</t>
  </si>
  <si>
    <t>El Dorado Transit</t>
  </si>
  <si>
    <t>mdb-750</t>
  </si>
  <si>
    <t>Exo Chambly-Richelieu-Carignan</t>
  </si>
  <si>
    <t>mdb-751</t>
  </si>
  <si>
    <t>Réseau de transport de Longueuil</t>
  </si>
  <si>
    <t>mdb-752</t>
  </si>
  <si>
    <t>Exo Vallée du Richelieu</t>
  </si>
  <si>
    <t>mdb-753</t>
  </si>
  <si>
    <t>Exo Ville de Sainte-Julie</t>
  </si>
  <si>
    <t>mdb-754</t>
  </si>
  <si>
    <t>Terrebonne-Mascouche</t>
  </si>
  <si>
    <t>mdb-755</t>
  </si>
  <si>
    <t>Exo L'Assomption</t>
  </si>
  <si>
    <t>mdb-757</t>
  </si>
  <si>
    <t>Réseau de transport de la Capitale</t>
  </si>
  <si>
    <t>mdb-758</t>
  </si>
  <si>
    <t>Metrobus Transit</t>
  </si>
  <si>
    <t>mdb-759</t>
  </si>
  <si>
    <t>Milton Transit</t>
  </si>
  <si>
    <t>mdb-76</t>
  </si>
  <si>
    <t>Fairfield and Suisun Transit (FAST Transit)</t>
  </si>
  <si>
    <t>mdb-761</t>
  </si>
  <si>
    <t>Port Alberni</t>
  </si>
  <si>
    <t>mdb-763</t>
  </si>
  <si>
    <t>Société de transport de Lévis</t>
  </si>
  <si>
    <t>mdb-767</t>
  </si>
  <si>
    <t>Prazska integrovana doprava (PID)</t>
  </si>
  <si>
    <t>mdb-769</t>
  </si>
  <si>
    <t>bodo Verkehrsverbund</t>
  </si>
  <si>
    <t>mdb-77</t>
  </si>
  <si>
    <t>Placer County Transit</t>
  </si>
  <si>
    <t>mdb-770</t>
  </si>
  <si>
    <t>BBS Schapfl</t>
  </si>
  <si>
    <t>mdb-771</t>
  </si>
  <si>
    <t>naldo Verkehrsverbund</t>
  </si>
  <si>
    <t>mdb-772</t>
  </si>
  <si>
    <t>OVA-Aalen, OVA-Bopfingen, Beck+Schubert</t>
  </si>
  <si>
    <t>mdb-774</t>
  </si>
  <si>
    <t>Schweizer Reisen</t>
  </si>
  <si>
    <t>mdb-776</t>
  </si>
  <si>
    <t>SWU Verkehr GmbH (SWU)</t>
  </si>
  <si>
    <t>mdb-777</t>
  </si>
  <si>
    <t>Rhein-Neckar-Verkehr</t>
  </si>
  <si>
    <t>mdb-779</t>
  </si>
  <si>
    <t>Münchner Verkehrs- und Tarifverbund GmbH (MVV)</t>
  </si>
  <si>
    <t>mdb-78</t>
  </si>
  <si>
    <t>WestCAT</t>
  </si>
  <si>
    <t>mdb-781</t>
  </si>
  <si>
    <t>Leipziger Verkehrsbetriebe (LVB)</t>
  </si>
  <si>
    <t>mdb-783</t>
  </si>
  <si>
    <t>Stadtwerke Heilbronn (SWHN)</t>
  </si>
  <si>
    <t>mdb-787</t>
  </si>
  <si>
    <t>Transportes interurbanos de Tenerife (TITSA)</t>
  </si>
  <si>
    <t>mdb-79</t>
  </si>
  <si>
    <t>Yuba-Sutter Transit</t>
  </si>
  <si>
    <t>mdb-791</t>
  </si>
  <si>
    <t>Consorcio Regional de Transportes de Madrid CRTM Intercity Buses (Madrid Intercity Buses)</t>
  </si>
  <si>
    <t>mdb-793</t>
  </si>
  <si>
    <t>Empresa Municipal de Transportes de Madrid (EMT Madrid)</t>
  </si>
  <si>
    <t>mdb-795</t>
  </si>
  <si>
    <t>Empresa Municipal de Transportes de Valencia (EMT Valencia)</t>
  </si>
  <si>
    <t>mdb-797</t>
  </si>
  <si>
    <t>TUVISA (Transportes Urbanos de Vitoria)</t>
  </si>
  <si>
    <t>mdb-798</t>
  </si>
  <si>
    <t>Clemson Area Transit (CAT)</t>
  </si>
  <si>
    <t>mdb-8</t>
  </si>
  <si>
    <t>São Paulo Transporte (SPTrans)</t>
  </si>
  <si>
    <t>mdb-80</t>
  </si>
  <si>
    <t>SolTrans</t>
  </si>
  <si>
    <t>mdb-813</t>
  </si>
  <si>
    <t>Santa Ynez Valley Transit</t>
  </si>
  <si>
    <t>mdb-82</t>
  </si>
  <si>
    <t>Unitrans</t>
  </si>
  <si>
    <t>mdb-820</t>
  </si>
  <si>
    <t>Summit Stage</t>
  </si>
  <si>
    <t>mdb-838</t>
  </si>
  <si>
    <t>Jefferson Transit Authority</t>
  </si>
  <si>
    <t>mdb-839</t>
  </si>
  <si>
    <t>Santa Fe Trails</t>
  </si>
  <si>
    <t>mdb-84</t>
  </si>
  <si>
    <t>Nevada County Connects (Gold Country Stage)</t>
  </si>
  <si>
    <t>mdb-841</t>
  </si>
  <si>
    <t>Régie des Transports Métropolitains (RTM)</t>
  </si>
  <si>
    <t>mdb-842</t>
  </si>
  <si>
    <t>Marcoulines</t>
  </si>
  <si>
    <t>mdb-852</t>
  </si>
  <si>
    <t>Tri-Valley Transit</t>
  </si>
  <si>
    <t>mdb-854</t>
  </si>
  <si>
    <t>Azienda Trasporti Automobilistici Pubblici delle Province di Biella e Vercelli (ATAP)</t>
  </si>
  <si>
    <t>mdb-855</t>
  </si>
  <si>
    <t>Trenord</t>
  </si>
  <si>
    <t>mdb-857</t>
  </si>
  <si>
    <t>Augsburger Verkehrs- und Tarifverbund (AVV)</t>
  </si>
  <si>
    <t>mdb-858</t>
  </si>
  <si>
    <t>Ver­kehrs­ver­bund Groß­raum Nürn­berg (VGN)</t>
  </si>
  <si>
    <t>mdb-861</t>
  </si>
  <si>
    <t>BIOKOM</t>
  </si>
  <si>
    <t>mdb-862</t>
  </si>
  <si>
    <t>Weekendbus</t>
  </si>
  <si>
    <t>mdb-864</t>
  </si>
  <si>
    <t>Turku</t>
  </si>
  <si>
    <t>mdb-865</t>
  </si>
  <si>
    <t>Helsingin seudun liikenne (HSL)</t>
  </si>
  <si>
    <t>mdb-866</t>
  </si>
  <si>
    <t>Tampereen joukkoliikenne (JOLI)</t>
  </si>
  <si>
    <t>mdb-867</t>
  </si>
  <si>
    <t>Waltti - Jyväskylä</t>
  </si>
  <si>
    <t>mdb-868</t>
  </si>
  <si>
    <t>Kuopio</t>
  </si>
  <si>
    <t>mdb-869</t>
  </si>
  <si>
    <t>Waltti - Oulu</t>
  </si>
  <si>
    <t>mdb-873</t>
  </si>
  <si>
    <t>Yamanashi</t>
  </si>
  <si>
    <t>mdb-874</t>
  </si>
  <si>
    <t>mdb-881</t>
  </si>
  <si>
    <t>AMA Department of Transport</t>
  </si>
  <si>
    <t>mdb-883</t>
  </si>
  <si>
    <t>South Clackamas Transportation District</t>
  </si>
  <si>
    <t>mdb-885</t>
  </si>
  <si>
    <t>Fort Worth Transit Authority</t>
  </si>
  <si>
    <t>mdb-886</t>
  </si>
  <si>
    <t>San Joaquin Regional Transit District (RTD)</t>
  </si>
  <si>
    <t>mdb-887</t>
  </si>
  <si>
    <t>Szegedi Közlekedési Társaság</t>
  </si>
  <si>
    <t>mdb-888</t>
  </si>
  <si>
    <t>Aix en Bus</t>
  </si>
  <si>
    <t>mdb-892</t>
  </si>
  <si>
    <t>Àrea Metropolitana de Barcelona (AMB)</t>
  </si>
  <si>
    <t>mdb-893</t>
  </si>
  <si>
    <t>Azienda Napoletana Mobilità</t>
  </si>
  <si>
    <t>mdb-895</t>
  </si>
  <si>
    <t>ARST SpA - Trasporti Regionali Della Sardegna</t>
  </si>
  <si>
    <t>mdb-896</t>
  </si>
  <si>
    <t>Azienda Trasporti di Messina (ATM)</t>
  </si>
  <si>
    <t>mdb-899</t>
  </si>
  <si>
    <t>Cortland County Public Transportation</t>
  </si>
  <si>
    <t>mdb-9</t>
  </si>
  <si>
    <t>Empresa de Transportes e Transito de Belo Horizonte (BHTRANS)</t>
  </si>
  <si>
    <t>mdb-90</t>
  </si>
  <si>
    <t>Fresno Area Express (FAX)</t>
  </si>
  <si>
    <t>mdb-900</t>
  </si>
  <si>
    <t>TBO Offenburg</t>
  </si>
  <si>
    <t>mdb-902</t>
  </si>
  <si>
    <t>GRTC Transit System</t>
  </si>
  <si>
    <t>mdb-903</t>
  </si>
  <si>
    <t>Asheville Rides Transit</t>
  </si>
  <si>
    <t>mdb-905</t>
  </si>
  <si>
    <t>Huntington Area Rapid Transit (HART)</t>
  </si>
  <si>
    <t>mdb-906</t>
  </si>
  <si>
    <t>VOLZ</t>
  </si>
  <si>
    <t>mdb-907</t>
  </si>
  <si>
    <t>Sunbus Rockhampton</t>
  </si>
  <si>
    <t>mdb-91</t>
  </si>
  <si>
    <t>City of Madera</t>
  </si>
  <si>
    <t>mdb-911</t>
  </si>
  <si>
    <t>Clarkstown MiniTrans</t>
  </si>
  <si>
    <t>mdb-912</t>
  </si>
  <si>
    <t>Miccolis S.p.A.</t>
  </si>
  <si>
    <t>mdb-914</t>
  </si>
  <si>
    <t>NVBW</t>
  </si>
  <si>
    <t>mdb-915</t>
  </si>
  <si>
    <t>Lower Hudson Valley Transit</t>
  </si>
  <si>
    <t>mdb-916</t>
  </si>
  <si>
    <t>City of Long Beach Transportation</t>
  </si>
  <si>
    <t>mdb-917</t>
  </si>
  <si>
    <t>Green Bay Metro</t>
  </si>
  <si>
    <t>mdb-923</t>
  </si>
  <si>
    <t>CyRide</t>
  </si>
  <si>
    <t>mdb-928</t>
  </si>
  <si>
    <t>PART Putnam Area Rapid Transit</t>
  </si>
  <si>
    <t>mdb-929</t>
  </si>
  <si>
    <t>Lappeenranta</t>
  </si>
  <si>
    <t>mdb-930</t>
  </si>
  <si>
    <t>Prefeitura de Bage</t>
  </si>
  <si>
    <t>mdb-94</t>
  </si>
  <si>
    <t>Tahoe Area Regional Transit (TART), North Lake Tahoe Express</t>
  </si>
  <si>
    <t>mdb-97</t>
  </si>
  <si>
    <t>OmniTrans</t>
  </si>
  <si>
    <t>mdb-978</t>
  </si>
  <si>
    <t>Trentino Trasporti SpA (TT)</t>
  </si>
  <si>
    <t>mdb-98</t>
  </si>
  <si>
    <t>Riverside Transit Agency</t>
  </si>
  <si>
    <t>mdb-980</t>
  </si>
  <si>
    <t>MPK Wrocław</t>
  </si>
  <si>
    <t>mdb-981</t>
  </si>
  <si>
    <t>Zarząd Dróg i Transportu Miejskiego (ZDiTM)</t>
  </si>
  <si>
    <t>mdb-982</t>
  </si>
  <si>
    <t>Zarząd Transportu Miejskiego Poznań (ZTM Poznań)</t>
  </si>
  <si>
    <t>mdb-983</t>
  </si>
  <si>
    <t>Otago Regional Council (ORC)</t>
  </si>
  <si>
    <t>mdb-985</t>
  </si>
  <si>
    <t>Cars Région Auvergne-Rhône-Alpes (Transisère)</t>
  </si>
  <si>
    <t>mdb-99</t>
  </si>
  <si>
    <t>Victor Valley Transit Authority (VVTA)</t>
  </si>
  <si>
    <t>mdb-990</t>
  </si>
  <si>
    <t>Budapesti Közlekedési Központ (BKK)</t>
  </si>
  <si>
    <t>mdb-991</t>
  </si>
  <si>
    <t>ATP Nuoro</t>
  </si>
  <si>
    <t>mdb-994</t>
  </si>
  <si>
    <t>Commerce Municipal Bus Lines</t>
  </si>
  <si>
    <t>ntd-10002</t>
  </si>
  <si>
    <t>Manchester Transit Authority</t>
  </si>
  <si>
    <t>ntd-10015</t>
  </si>
  <si>
    <t>Lewiston-Auburn Transit Committee (Citylink)</t>
  </si>
  <si>
    <t>ntd-10087</t>
  </si>
  <si>
    <t>Nashua Transit System</t>
  </si>
  <si>
    <t>ntd-20005</t>
  </si>
  <si>
    <t>Chemung County (C-TRAN)</t>
  </si>
  <si>
    <t>ntd-20122</t>
  </si>
  <si>
    <t>Academy Lines</t>
  </si>
  <si>
    <t>ntd-20169</t>
  </si>
  <si>
    <t>Trans-Bridge Lines</t>
  </si>
  <si>
    <t>ntd-20209</t>
  </si>
  <si>
    <t>Somerset County</t>
  </si>
  <si>
    <t>ntd-294</t>
  </si>
  <si>
    <t>City of Pullman</t>
  </si>
  <si>
    <t>ntd-30002</t>
  </si>
  <si>
    <t>Tri-State Transit Authority</t>
  </si>
  <si>
    <t>ntd-30010</t>
  </si>
  <si>
    <t>Lehigh and Northampton Transportation Authority (LANTA)</t>
  </si>
  <si>
    <t>ntd-30129</t>
  </si>
  <si>
    <t>Anne Arundel County</t>
  </si>
  <si>
    <t>ntd-40024</t>
  </si>
  <si>
    <t>METRA</t>
  </si>
  <si>
    <t>ntd-40054</t>
  </si>
  <si>
    <t>Johnson City</t>
  </si>
  <si>
    <t>ntd-40056</t>
  </si>
  <si>
    <t>Pee Dee Regional Transportation Authority</t>
  </si>
  <si>
    <t>ntd-40060</t>
  </si>
  <si>
    <t>City of Hattiesburg</t>
  </si>
  <si>
    <t>ntd-40101</t>
  </si>
  <si>
    <t>Spartanburg Area Regional Transit Agency (SPARTA)</t>
  </si>
  <si>
    <t>ntd-41136</t>
  </si>
  <si>
    <t>City of Pigeon Forge</t>
  </si>
  <si>
    <t>ntd-41153</t>
  </si>
  <si>
    <t>Big Bend Transit</t>
  </si>
  <si>
    <t>ntd-50004</t>
  </si>
  <si>
    <t xml:space="preserve">City of La Crosse (Municipal Transit Utility) </t>
  </si>
  <si>
    <t>ntd-50020</t>
  </si>
  <si>
    <t>Springfield City Area Transit</t>
  </si>
  <si>
    <t>ntd-50028</t>
  </si>
  <si>
    <t>St. Cloud Metropolitan Transit Commission</t>
  </si>
  <si>
    <t>ntd-50029</t>
  </si>
  <si>
    <t>Bay Metropolitan Transit Authority</t>
  </si>
  <si>
    <t>ntd-50043</t>
  </si>
  <si>
    <t>City of Evansville</t>
  </si>
  <si>
    <t>ntd-50060</t>
  </si>
  <si>
    <t>Champaign-Urbana Mass Transit District</t>
  </si>
  <si>
    <t>ntd-50090</t>
  </si>
  <si>
    <t>Richland County Transit</t>
  </si>
  <si>
    <t>ntd-50142</t>
  </si>
  <si>
    <t>Steel Valley Regional Transit Authority</t>
  </si>
  <si>
    <t>ntd-50145</t>
  </si>
  <si>
    <t>City of Kokomo</t>
  </si>
  <si>
    <t>ntd-50163</t>
  </si>
  <si>
    <t>Licking County Transit</t>
  </si>
  <si>
    <t>ntd-50209</t>
  </si>
  <si>
    <t>Central Indiana Regional Transportation Authority, Access Johnson County</t>
  </si>
  <si>
    <t>ntd-50232</t>
  </si>
  <si>
    <t>Go West Transit</t>
  </si>
  <si>
    <t>ntd-50244</t>
  </si>
  <si>
    <t>Isabella County Transportation Commission (I-Ride)</t>
  </si>
  <si>
    <t>ntd-50327</t>
  </si>
  <si>
    <t>South Central Illinois Mass Transit District</t>
  </si>
  <si>
    <t>ntd-50485</t>
  </si>
  <si>
    <t>City of Marion</t>
  </si>
  <si>
    <t>ntd-50502</t>
  </si>
  <si>
    <t>City of Galesburg</t>
  </si>
  <si>
    <t>ntd-60023</t>
  </si>
  <si>
    <t>Lake Charles Transit</t>
  </si>
  <si>
    <t>ntd-60032</t>
  </si>
  <si>
    <t>New Orleans Regional Transit Authority (NORTA)</t>
  </si>
  <si>
    <t>ntd-60040</t>
  </si>
  <si>
    <t>City of Abilene</t>
  </si>
  <si>
    <t>ntd-60080</t>
  </si>
  <si>
    <t>Good Earth Transit</t>
  </si>
  <si>
    <t>ntd-60081</t>
  </si>
  <si>
    <t>City of Longview</t>
  </si>
  <si>
    <t>ntd-60086</t>
  </si>
  <si>
    <t>City of Fort Smith</t>
  </si>
  <si>
    <t>ntd-60091</t>
  </si>
  <si>
    <t>Hill Country Transit District</t>
  </si>
  <si>
    <t>ntd-60093</t>
  </si>
  <si>
    <t>Texarkana Urban Transit District (T-Line Bus)</t>
  </si>
  <si>
    <t>ntd-60099</t>
  </si>
  <si>
    <t>Metro McAllen</t>
  </si>
  <si>
    <t>ntd-60161</t>
  </si>
  <si>
    <t>Eureka Springs Transit</t>
  </si>
  <si>
    <t>ntd-66343</t>
  </si>
  <si>
    <t>San Marcos Transit</t>
  </si>
  <si>
    <t>ntd-70043</t>
  </si>
  <si>
    <t>City of Jefferson</t>
  </si>
  <si>
    <t>ntd-70046</t>
  </si>
  <si>
    <t>City of Independence</t>
  </si>
  <si>
    <t>ntd-80003</t>
  </si>
  <si>
    <t>City of Fargo</t>
  </si>
  <si>
    <t>ntd-80012</t>
  </si>
  <si>
    <t>Great Falls Transit District</t>
  </si>
  <si>
    <t>ntd-80013</t>
  </si>
  <si>
    <t>Casper Area Transit</t>
  </si>
  <si>
    <t>ntd-80028</t>
  </si>
  <si>
    <t>Cache Valley Transit District</t>
  </si>
  <si>
    <t>ntd-80188</t>
  </si>
  <si>
    <t>Southern Teton Area Rapid Transit (START Bus)</t>
  </si>
  <si>
    <t>ntd-80255</t>
  </si>
  <si>
    <t>Skyline Bus</t>
  </si>
  <si>
    <t>ntd-90091</t>
  </si>
  <si>
    <t>Visalia Transit</t>
  </si>
  <si>
    <t>ntd-90163</t>
  </si>
  <si>
    <t>City of Camarillo</t>
  </si>
  <si>
    <t>ntd-90208</t>
  </si>
  <si>
    <t>Butte Regional Transit (B-Line)</t>
  </si>
  <si>
    <t>ntd-90237</t>
  </si>
  <si>
    <t>The Kauai Bus</t>
  </si>
  <si>
    <t>ntd-90241</t>
  </si>
  <si>
    <t>Maui County Transit</t>
  </si>
  <si>
    <t>ntd-90247</t>
  </si>
  <si>
    <t>Alhambra Community Transit</t>
  </si>
  <si>
    <t>ntd-91122</t>
  </si>
  <si>
    <t>Regional Transportation Authority of Pima County</t>
  </si>
  <si>
    <t>tdg-11681</t>
  </si>
  <si>
    <t>Flixbus France</t>
  </si>
  <si>
    <t>tdg-11725</t>
  </si>
  <si>
    <t>Zenbus</t>
  </si>
  <si>
    <t>tdg-12601</t>
  </si>
  <si>
    <t>tdg-12616</t>
  </si>
  <si>
    <t>tdg-25381</t>
  </si>
  <si>
    <t>L'agglo Foix-Varilhes</t>
  </si>
  <si>
    <t>tdg-34265</t>
  </si>
  <si>
    <t>tdg-38888</t>
  </si>
  <si>
    <t>Région Auvergne-Rhône-Alpes</t>
  </si>
  <si>
    <t>tdg-38889</t>
  </si>
  <si>
    <t>tdg-39589</t>
  </si>
  <si>
    <t>Métropole d'Aix-Marseille-Provence</t>
  </si>
  <si>
    <t>tdg-39591</t>
  </si>
  <si>
    <t>tdg-39592</t>
  </si>
  <si>
    <t>tdg-39595</t>
  </si>
  <si>
    <t>tdg-39598</t>
  </si>
  <si>
    <t>tdg-39601</t>
  </si>
  <si>
    <t>tdg-39603</t>
  </si>
  <si>
    <t>tdg-43286</t>
  </si>
  <si>
    <t>Brest métropole</t>
  </si>
  <si>
    <t>tdg-51449</t>
  </si>
  <si>
    <t>Communauté d'agglomération du Boulonnais</t>
  </si>
  <si>
    <t>tdg-52605</t>
  </si>
  <si>
    <t>BlaBlaCar Bus</t>
  </si>
  <si>
    <t>tdg-52917</t>
  </si>
  <si>
    <t>Vienne Condrieu Agglomération</t>
  </si>
  <si>
    <t>tdg-52937</t>
  </si>
  <si>
    <t>Communauté d'agglomération Porte de l'Isère</t>
  </si>
  <si>
    <t>tdg-62323</t>
  </si>
  <si>
    <t>Montpellier Méditerranée Métropole</t>
  </si>
  <si>
    <t>tdg-64163</t>
  </si>
  <si>
    <t>Communauté d'Agglomération Hérault Méditerranée</t>
  </si>
  <si>
    <t>tdg-64973</t>
  </si>
  <si>
    <t>Métropole Rouen Normandie</t>
  </si>
  <si>
    <t>tdg-67655</t>
  </si>
  <si>
    <t>Saint-Brieuc Armor Agglomération</t>
  </si>
  <si>
    <t>tdg-71223</t>
  </si>
  <si>
    <t>Ondéa - COMPAGNIE DE TRANSPORT DU LAC DU BOURGET-CTLB</t>
  </si>
  <si>
    <t>tdg-72361</t>
  </si>
  <si>
    <t>Armor Argoat Mobilité • Guingamp-Paimpol Mobilité</t>
  </si>
  <si>
    <t>tdg-75062</t>
  </si>
  <si>
    <t>Syndicat Mixte du Bassin d'Alès - Réseau Ales'Y</t>
  </si>
  <si>
    <t>tdg-76779</t>
  </si>
  <si>
    <t>Communauté d'Agglomération Annemasse - les Voirons Agglomération</t>
  </si>
  <si>
    <t>tdg-78387</t>
  </si>
  <si>
    <t>tdg-78904</t>
  </si>
  <si>
    <t>Oùra</t>
  </si>
  <si>
    <t>tdg-78934</t>
  </si>
  <si>
    <t>Communauté d'Agglomération de l'Auxerrois</t>
  </si>
  <si>
    <t>tdg-79220</t>
  </si>
  <si>
    <t>CTS - Compagnie des Transports Strasbourgeois</t>
  </si>
  <si>
    <t>tdg-79272</t>
  </si>
  <si>
    <t>Communauté d'Agglomération Privas Centre Ardèche</t>
  </si>
  <si>
    <t>tdg-79352</t>
  </si>
  <si>
    <t>Transports Publics du Choletais</t>
  </si>
  <si>
    <t>tdg-79374</t>
  </si>
  <si>
    <t>Optymo - Belfort</t>
  </si>
  <si>
    <t>tdg-79420</t>
  </si>
  <si>
    <t>Palmbus</t>
  </si>
  <si>
    <t>tdg-79483</t>
  </si>
  <si>
    <t>Communauté d'agglomération du grand Gueret</t>
  </si>
  <si>
    <t>tdg-79508</t>
  </si>
  <si>
    <t>CA  de CASTRES - MAZAMET</t>
  </si>
  <si>
    <t>tdg-79520</t>
  </si>
  <si>
    <t>La Roche-sur-Yon Agglomération</t>
  </si>
  <si>
    <t>tdg-79528</t>
  </si>
  <si>
    <t xml:space="preserve">Transdev • Bretagne </t>
  </si>
  <si>
    <t>tdg-79544</t>
  </si>
  <si>
    <t>EVEOLE</t>
  </si>
  <si>
    <t>tdg-79545</t>
  </si>
  <si>
    <t>tdg-79559</t>
  </si>
  <si>
    <t>Keolis Menton Riviera</t>
  </si>
  <si>
    <t>tdg-79560</t>
  </si>
  <si>
    <t>Métropole Toulon Provence Méditerranée</t>
  </si>
  <si>
    <t>tdg-79601</t>
  </si>
  <si>
    <t>SETRAM</t>
  </si>
  <si>
    <t>tdg-79818</t>
  </si>
  <si>
    <t>Région des Pays de la Loire</t>
  </si>
  <si>
    <t>tdg-79822</t>
  </si>
  <si>
    <t>Communauté d'agglomération du Pays de Grasse</t>
  </si>
  <si>
    <t>tdg-79831</t>
  </si>
  <si>
    <t>Communauté d'agglomération Le Cotentin</t>
  </si>
  <si>
    <t>tdg-79847</t>
  </si>
  <si>
    <t>TCAT - Transports en Commun de l'Agglomération Troyenne</t>
  </si>
  <si>
    <t>tdg-79859</t>
  </si>
  <si>
    <t>tdg-79861</t>
  </si>
  <si>
    <t>tdg-79865</t>
  </si>
  <si>
    <t>tdg-79897</t>
  </si>
  <si>
    <t>Martinique Transport</t>
  </si>
  <si>
    <t>tdg-79898</t>
  </si>
  <si>
    <t>tdg-80036</t>
  </si>
  <si>
    <t>Angers Loire Métropole</t>
  </si>
  <si>
    <t>tdg-80092</t>
  </si>
  <si>
    <t>J'ybus</t>
  </si>
  <si>
    <t>tdg-80100</t>
  </si>
  <si>
    <t>Sibra</t>
  </si>
  <si>
    <t>tdg-80221</t>
  </si>
  <si>
    <t>Communauté d'agglomération Chauny-Tergnier-La Fère</t>
  </si>
  <si>
    <t>tdg-80223</t>
  </si>
  <si>
    <t>Ametis</t>
  </si>
  <si>
    <t>tdg-80245</t>
  </si>
  <si>
    <t>Tempo Bus</t>
  </si>
  <si>
    <t>tdg-80401</t>
  </si>
  <si>
    <t>Fluo Grand Est</t>
  </si>
  <si>
    <t>tdg-80417</t>
  </si>
  <si>
    <t>DZ</t>
  </si>
  <si>
    <t>tdg-80419</t>
  </si>
  <si>
    <t>tdg-80427</t>
  </si>
  <si>
    <t>tdg-80431</t>
  </si>
  <si>
    <t>tdg-80439</t>
  </si>
  <si>
    <t>tdg-80443</t>
  </si>
  <si>
    <t>tdg-80445</t>
  </si>
  <si>
    <t>tdg-80447</t>
  </si>
  <si>
    <t>tdg-80449</t>
  </si>
  <si>
    <t>tdg-80451</t>
  </si>
  <si>
    <t>tdg-80453</t>
  </si>
  <si>
    <t>tdg-80457</t>
  </si>
  <si>
    <t>tdg-80459</t>
  </si>
  <si>
    <t>tdg-80461</t>
  </si>
  <si>
    <t>tdg-80463</t>
  </si>
  <si>
    <t>tdg-80467</t>
  </si>
  <si>
    <t>tdg-80469</t>
  </si>
  <si>
    <t>tdg-80475</t>
  </si>
  <si>
    <t>tdg-80479</t>
  </si>
  <si>
    <t>tdg-80586</t>
  </si>
  <si>
    <t>Transdev • Pays de la Loire</t>
  </si>
  <si>
    <t>tdg-80587</t>
  </si>
  <si>
    <t>Filibus - Chartres Métropole Transports</t>
  </si>
  <si>
    <t>tdg-80590</t>
  </si>
  <si>
    <t>GRAND BESANCON METROPOLE</t>
  </si>
  <si>
    <t>tdg-80594</t>
  </si>
  <si>
    <t>tdg-80606</t>
  </si>
  <si>
    <t>tdg-80611</t>
  </si>
  <si>
    <t>Lorient Agglomération</t>
  </si>
  <si>
    <t>tdg-80613</t>
  </si>
  <si>
    <t>Syndicat mixte Atoumod</t>
  </si>
  <si>
    <t>tdg-80655</t>
  </si>
  <si>
    <t>tdg-80671</t>
  </si>
  <si>
    <t>TBK - Réseau de transports publics de Quimperlé</t>
  </si>
  <si>
    <t>tdg-80676</t>
  </si>
  <si>
    <t>ALTERNEO</t>
  </si>
  <si>
    <t>tdg-80680</t>
  </si>
  <si>
    <t>tdg-80694</t>
  </si>
  <si>
    <t>Tours Métropole Val de Loire</t>
  </si>
  <si>
    <t>tdg-80701</t>
  </si>
  <si>
    <t>Syndicat des Mobilités Pays Basque-Adour</t>
  </si>
  <si>
    <t>tdg-80707</t>
  </si>
  <si>
    <t>Communauté d'Agglomération du Pays de Laon</t>
  </si>
  <si>
    <t>tdg-80721</t>
  </si>
  <si>
    <t>tdg-80725</t>
  </si>
  <si>
    <t>Eurométropole de Metz</t>
  </si>
  <si>
    <t>tdg-80736</t>
  </si>
  <si>
    <t>tdg-80742</t>
  </si>
  <si>
    <t>DiviaMobilités</t>
  </si>
  <si>
    <t>tdg-80751</t>
  </si>
  <si>
    <t>Communauté d'Agglomération de Cambrai</t>
  </si>
  <si>
    <t>tdg-80772</t>
  </si>
  <si>
    <t>tdg-80787</t>
  </si>
  <si>
    <t>tdg-80921</t>
  </si>
  <si>
    <t>Île-de-France Mobilités</t>
  </si>
  <si>
    <t>tdg-80934</t>
  </si>
  <si>
    <t>Région Réunion</t>
  </si>
  <si>
    <t>tdg-80960</t>
  </si>
  <si>
    <t>tdg-80961</t>
  </si>
  <si>
    <t>tdg-80973</t>
  </si>
  <si>
    <t>Communauté de communes pays d'Evian - vallée d'Abondance</t>
  </si>
  <si>
    <t>tdg-81018</t>
  </si>
  <si>
    <t>LAVAL Agglomération</t>
  </si>
  <si>
    <t>tdg-81023</t>
  </si>
  <si>
    <t>Saint-Etienne Métropole</t>
  </si>
  <si>
    <t>tdg-81026</t>
  </si>
  <si>
    <t>Région Occitanie / Pyrénées Méditerranée</t>
  </si>
  <si>
    <t>tdg-81054</t>
  </si>
  <si>
    <t>Oise Mobilité - Syndicat mixte des transports collectifs de l'Oise</t>
  </si>
  <si>
    <t>tdg-81072</t>
  </si>
  <si>
    <t>tdg-81074</t>
  </si>
  <si>
    <t>tdg-81116</t>
  </si>
  <si>
    <t>SEMTO</t>
  </si>
  <si>
    <t>tdg-81175</t>
  </si>
  <si>
    <t>Open Data Rodez Agglomération</t>
  </si>
  <si>
    <t>tdg-81179</t>
  </si>
  <si>
    <t>tdg-81183</t>
  </si>
  <si>
    <t>Réseau CARSUD</t>
  </si>
  <si>
    <t>tdg-8119</t>
  </si>
  <si>
    <t>tdg-81222</t>
  </si>
  <si>
    <t>Réseau moova - Communauté d'Agglomération de Vesoul</t>
  </si>
  <si>
    <t>tdg-81227</t>
  </si>
  <si>
    <t>Communauté d'Agglomération de Nevers</t>
  </si>
  <si>
    <t>tdg-81252</t>
  </si>
  <si>
    <t>Communauté de Communes du Sud Corse</t>
  </si>
  <si>
    <t>tdg-81254</t>
  </si>
  <si>
    <t>Communauté d'Agglomération du Grand Dole</t>
  </si>
  <si>
    <t>tdg-81255</t>
  </si>
  <si>
    <t>Tout'enbus</t>
  </si>
  <si>
    <t>tdg-81338</t>
  </si>
  <si>
    <t>tdg-81342</t>
  </si>
  <si>
    <t>tdg-81346</t>
  </si>
  <si>
    <t>Métropole du Grand Nancy</t>
  </si>
  <si>
    <t>tdg-81365</t>
  </si>
  <si>
    <t>CHATEAUROUX METROPOLE</t>
  </si>
  <si>
    <t>tdg-81394</t>
  </si>
  <si>
    <t>tdg-81416</t>
  </si>
  <si>
    <t>tdg-81421</t>
  </si>
  <si>
    <t>tdg-81432</t>
  </si>
  <si>
    <t>Communauté d'Agglomération du Grand Cahors</t>
  </si>
  <si>
    <t>tdg-81455</t>
  </si>
  <si>
    <t>Communauté de Communes du Briançonnais</t>
  </si>
  <si>
    <t>tdg-81459</t>
  </si>
  <si>
    <t>Région Bretagne</t>
  </si>
  <si>
    <t>tdg-81461</t>
  </si>
  <si>
    <t>tdg-81462</t>
  </si>
  <si>
    <t>tdg-81476</t>
  </si>
  <si>
    <t>tdg-81522</t>
  </si>
  <si>
    <t>Communauté d'agglomération de l'Albigeois</t>
  </si>
  <si>
    <t>tdg-81547</t>
  </si>
  <si>
    <t>Communauté d'Agglomération Gap-Tallard-Durance</t>
  </si>
  <si>
    <t>tdg-81549</t>
  </si>
  <si>
    <t>Communauté de Communes des Montagnes du Giffre</t>
  </si>
  <si>
    <t>tdg-81559</t>
  </si>
  <si>
    <t>tdg-81575</t>
  </si>
  <si>
    <t>Sète Agglopole Méditerranée</t>
  </si>
  <si>
    <t>tdg-81585</t>
  </si>
  <si>
    <t>Pays de Gex Agglo</t>
  </si>
  <si>
    <t>tdg-81617</t>
  </si>
  <si>
    <t>Syndicat Mixte des Mobilités de l'Aire Grenobloise</t>
  </si>
  <si>
    <t>tdg-81678</t>
  </si>
  <si>
    <t>Toulouse métropole</t>
  </si>
  <si>
    <t>tdg-81705</t>
  </si>
  <si>
    <t>Communauté d’Agglomération du Centre Littoral de Guyane</t>
  </si>
  <si>
    <t>tdg-81770</t>
  </si>
  <si>
    <t>tdg-81794</t>
  </si>
  <si>
    <t>tdg-81876</t>
  </si>
  <si>
    <t>Carcassonne Agglo</t>
  </si>
  <si>
    <t>tdg-81898</t>
  </si>
  <si>
    <t>Communauté d'Agglomération du Grand Sénonais INTERCOM</t>
  </si>
  <si>
    <t>tdg-81907</t>
  </si>
  <si>
    <t>Dracénie Provence Verdon agglomération</t>
  </si>
  <si>
    <t>tdg-81924</t>
  </si>
  <si>
    <t>Alliance Atlantique</t>
  </si>
  <si>
    <t>tdg-81927</t>
  </si>
  <si>
    <t>tdg-81942</t>
  </si>
  <si>
    <t>tdg-81943</t>
  </si>
  <si>
    <t>SYTRAL Mobilités</t>
  </si>
  <si>
    <t>tdg-81944</t>
  </si>
  <si>
    <t>évolitY</t>
  </si>
  <si>
    <t>tdg-81969</t>
  </si>
  <si>
    <t>tdg-81975</t>
  </si>
  <si>
    <t>tdg-81995</t>
  </si>
  <si>
    <t xml:space="preserve">Métropole Européenne de Lille </t>
  </si>
  <si>
    <t>tdg-8201</t>
  </si>
  <si>
    <t>tdg-82093</t>
  </si>
  <si>
    <t>STGA - réseau Möbius</t>
  </si>
  <si>
    <t>tdg-82094</t>
  </si>
  <si>
    <t>NEMUS (Réseau de transports de Flers Agglo)</t>
  </si>
  <si>
    <t>tdg-82136</t>
  </si>
  <si>
    <t>Région Provence-Alpes-Côte-d'Azur</t>
  </si>
  <si>
    <t>tdg-82137</t>
  </si>
  <si>
    <t>tdg-82140</t>
  </si>
  <si>
    <t>tdg-82148</t>
  </si>
  <si>
    <t>Valence Romans Mobilités</t>
  </si>
  <si>
    <t>tdg-82154</t>
  </si>
  <si>
    <t>Syndicat intercommunal des Transports Urbains Soissonnais</t>
  </si>
  <si>
    <t>tdg-82155</t>
  </si>
  <si>
    <t>tdg-82166</t>
  </si>
  <si>
    <t>Transports de l'Agglomération Châtelleraudaise</t>
  </si>
  <si>
    <t>tdg-82168</t>
  </si>
  <si>
    <t>Transp'Or - Pays de l'Or Agglomération</t>
  </si>
  <si>
    <t>tdg-82178</t>
  </si>
  <si>
    <t>Thonon Agglomération</t>
  </si>
  <si>
    <t>tdg-82189</t>
  </si>
  <si>
    <t>Communauté d'Agglomération du Grand Villeneuvois</t>
  </si>
  <si>
    <t>tdg-82272</t>
  </si>
  <si>
    <t>Grand Chambéry</t>
  </si>
  <si>
    <t>tdg-82285</t>
  </si>
  <si>
    <t>tdg-82289</t>
  </si>
  <si>
    <t>tdg-82291</t>
  </si>
  <si>
    <t>tdg-82294</t>
  </si>
  <si>
    <t>Estérel Côte d'Azur Agglomération</t>
  </si>
  <si>
    <t>tdg-82309</t>
  </si>
  <si>
    <t>tdg-82311</t>
  </si>
  <si>
    <t>tdg-82312</t>
  </si>
  <si>
    <t>tdg-82315</t>
  </si>
  <si>
    <t>tdg-82317</t>
  </si>
  <si>
    <t>tdg-82319</t>
  </si>
  <si>
    <t>tdg-82330</t>
  </si>
  <si>
    <t>tdg-82338</t>
  </si>
  <si>
    <t>tdg-82342</t>
  </si>
  <si>
    <t>tdg-82348</t>
  </si>
  <si>
    <t>tdg-82350</t>
  </si>
  <si>
    <t>tdg-82352</t>
  </si>
  <si>
    <t>tdg-82355</t>
  </si>
  <si>
    <t>tdg-82357</t>
  </si>
  <si>
    <t>tdg-82359</t>
  </si>
  <si>
    <t>tdg-82361</t>
  </si>
  <si>
    <t>tdg-82365</t>
  </si>
  <si>
    <t>tdg-82367</t>
  </si>
  <si>
    <t>tdg-82370</t>
  </si>
  <si>
    <t>tdg-82373</t>
  </si>
  <si>
    <t>tdg-82375</t>
  </si>
  <si>
    <t>tdg-82377</t>
  </si>
  <si>
    <t>tdg-82379</t>
  </si>
  <si>
    <t>tdg-82413</t>
  </si>
  <si>
    <t>tdg-82415</t>
  </si>
  <si>
    <t>Espace Communautaire Lons Agglomération</t>
  </si>
  <si>
    <t>tdg-82442</t>
  </si>
  <si>
    <t>Syndicat Intercommunal de Mobilité et d'Organisation Urbaine du Valenciennois</t>
  </si>
  <si>
    <t>tdg-82545</t>
  </si>
  <si>
    <t>Montélibus</t>
  </si>
  <si>
    <t>tdg-82547</t>
  </si>
  <si>
    <t>Keolis RIOM</t>
  </si>
  <si>
    <t>tdg-82553</t>
  </si>
  <si>
    <t>Transdev GMVA Mobilités • Kicéo</t>
  </si>
  <si>
    <t>tdg-82554</t>
  </si>
  <si>
    <t>Transdev Vierzon Mobilités • Le Vib</t>
  </si>
  <si>
    <t>tdg-82555</t>
  </si>
  <si>
    <t>Transdev SMA Mobilités • MAT</t>
  </si>
  <si>
    <t>tdg-82583</t>
  </si>
  <si>
    <t>Communauté d'Agglomération Gaillac Graulhet</t>
  </si>
  <si>
    <t>tdg-82604</t>
  </si>
  <si>
    <t>Communauté de communes du Guillestrois et du Queyras</t>
  </si>
  <si>
    <t>tdg-82660</t>
  </si>
  <si>
    <t>Communauté d'Agglomération Beaune Côte et Sud</t>
  </si>
  <si>
    <t>tdg-82661</t>
  </si>
  <si>
    <t>Le Grand Narbonne Communauté d'Agglomération</t>
  </si>
  <si>
    <t>tdg-82662</t>
  </si>
  <si>
    <t>ENVIA</t>
  </si>
  <si>
    <t>tdg-82663</t>
  </si>
  <si>
    <t>Transdev Chamonix</t>
  </si>
  <si>
    <t>tdg-82664</t>
  </si>
  <si>
    <t>Le Grand Chalon</t>
  </si>
  <si>
    <t>tdg-82682</t>
  </si>
  <si>
    <t>Transdev Savoie</t>
  </si>
  <si>
    <t>tdg-82683</t>
  </si>
  <si>
    <t>Communauté Urbaine de Dunkerque / Réseau Dk Bus</t>
  </si>
  <si>
    <t>tdg-82689</t>
  </si>
  <si>
    <t>Communauté de communes Retz-en-Valois</t>
  </si>
  <si>
    <t>tdg-82704</t>
  </si>
  <si>
    <t>PASTEL</t>
  </si>
  <si>
    <t>tdg-82711</t>
  </si>
  <si>
    <t>tdg-82721</t>
  </si>
  <si>
    <t>tdg-82727</t>
  </si>
  <si>
    <t>Syndicat Mixte des Transports du Petit Cul de Sac Marin</t>
  </si>
  <si>
    <t>tdg-82780</t>
  </si>
  <si>
    <t>Syndicat Mixte des Transports Urbains du grand Nouméa</t>
  </si>
  <si>
    <t>tdg-82832</t>
  </si>
  <si>
    <t>tdg-82879</t>
  </si>
  <si>
    <t>CITALIS</t>
  </si>
  <si>
    <t>tdg-82900</t>
  </si>
  <si>
    <t>Sankéo</t>
  </si>
  <si>
    <t>tdg-82911</t>
  </si>
  <si>
    <t>Tango</t>
  </si>
  <si>
    <t>tdg-82997</t>
  </si>
  <si>
    <t>Collectivité de Corse</t>
  </si>
  <si>
    <t>tdg-82999</t>
  </si>
  <si>
    <t>monRéZO</t>
  </si>
  <si>
    <t>tdg-83020</t>
  </si>
  <si>
    <t>Communauté d'Agglomération du Nord Grande-Terre</t>
  </si>
  <si>
    <t>tdg-83024</t>
  </si>
  <si>
    <t>Bordeaux Métropole</t>
  </si>
  <si>
    <t>tdg-83042</t>
  </si>
  <si>
    <t>AGGLOMERATION DU GARD RHODANIEN</t>
  </si>
  <si>
    <t>tdg-83112</t>
  </si>
  <si>
    <t>tdg-83113</t>
  </si>
  <si>
    <t>tdg-83114</t>
  </si>
  <si>
    <t>tdg-83126</t>
  </si>
  <si>
    <t>REDON Agglomération</t>
  </si>
  <si>
    <t>tdg-83134</t>
  </si>
  <si>
    <t>TLP Mobilités</t>
  </si>
  <si>
    <t>tdg-83178</t>
  </si>
  <si>
    <t>Métropole Nice Côte d'Azur</t>
  </si>
  <si>
    <t>tdg-83202</t>
  </si>
  <si>
    <t>Coeur de Flandre Agglo</t>
  </si>
  <si>
    <t>tdg-83210</t>
  </si>
  <si>
    <t>Transport du Grand Longwy</t>
  </si>
  <si>
    <t>tdg-83251</t>
  </si>
  <si>
    <t>Nantes Métropole</t>
  </si>
  <si>
    <t>tdg-83258</t>
  </si>
  <si>
    <t>COMMUNAUTE DE COMMUNES COEUR DE MAURIENNE ARVAN</t>
  </si>
  <si>
    <t>tdg-83276</t>
  </si>
  <si>
    <t>VITRE COMMUNAUTE</t>
  </si>
  <si>
    <t>tdg-83277</t>
  </si>
  <si>
    <t>tdg-83280</t>
  </si>
  <si>
    <t>tdg-83281</t>
  </si>
  <si>
    <t>STAR</t>
  </si>
  <si>
    <t>tdg-83300</t>
  </si>
  <si>
    <t>Auray Quiberon Terre Atlantique</t>
  </si>
  <si>
    <t>tdg-83304</t>
  </si>
  <si>
    <t>tdg-83310</t>
  </si>
  <si>
    <t>VICHY COMMUNAUTE</t>
  </si>
  <si>
    <t>tdg-83315</t>
  </si>
  <si>
    <t>COMMUNAUTE D'AGGLOMERATION DES 2 BAIES EN MONTREUILLOIS</t>
  </si>
  <si>
    <t>tdg-83326</t>
  </si>
  <si>
    <t>Agglomération Montargoise Et rives du loing</t>
  </si>
  <si>
    <t>tdg-83330</t>
  </si>
  <si>
    <t>Grand Avignon</t>
  </si>
  <si>
    <t>tdg-83364</t>
  </si>
  <si>
    <t>Communauté de communes de Serre-Ponçon</t>
  </si>
  <si>
    <t>tdg-83368</t>
  </si>
  <si>
    <t>Réseau beeMob - Transports en commun de l'Agglomération Béziers Méditerranée</t>
  </si>
  <si>
    <t>tdg-83372</t>
  </si>
  <si>
    <t>Communauté Urbaine d'Arras</t>
  </si>
  <si>
    <t>tdg-83389</t>
  </si>
  <si>
    <t>Grand Poitiers Open Data</t>
  </si>
  <si>
    <t>tdg-83394</t>
  </si>
  <si>
    <t>CA Luberon Monts de Vaucluse</t>
  </si>
  <si>
    <t>tdg-83405</t>
  </si>
  <si>
    <t>Flibco.com</t>
  </si>
  <si>
    <t>tdg-83408</t>
  </si>
  <si>
    <t>Quimper Bretagne Occidentale</t>
  </si>
  <si>
    <t>tdg-83416</t>
  </si>
  <si>
    <t>Trans-Landes</t>
  </si>
  <si>
    <t>tdg-83418</t>
  </si>
  <si>
    <t>tdg-83429</t>
  </si>
  <si>
    <t>Communauté d'Agglomération Provence Verte</t>
  </si>
  <si>
    <t>tdg-83459</t>
  </si>
  <si>
    <t>tdg-83462</t>
  </si>
  <si>
    <t>tdg-83465</t>
  </si>
  <si>
    <t>Clermont Auvergne Métropole</t>
  </si>
  <si>
    <t>tdg-83507</t>
  </si>
  <si>
    <t>Mâconnais Beaujolais Agglomération</t>
  </si>
  <si>
    <t>tdg-83509</t>
  </si>
  <si>
    <t>Lulu en Bus (Ex. Lunéo)</t>
  </si>
  <si>
    <t>tdg-83512</t>
  </si>
  <si>
    <t>tdg-83519</t>
  </si>
  <si>
    <t>JVMALIN</t>
  </si>
  <si>
    <t>tdg-83521</t>
  </si>
  <si>
    <t>tdg-83526</t>
  </si>
  <si>
    <t>tdg-83529</t>
  </si>
  <si>
    <t>tdg-83530</t>
  </si>
  <si>
    <t>tdg-83578</t>
  </si>
  <si>
    <t>Communauté de communes Cluses Arve et Montagne</t>
  </si>
  <si>
    <t>tdg-83582</t>
  </si>
  <si>
    <t>SNCF</t>
  </si>
  <si>
    <t>tdg-83626</t>
  </si>
  <si>
    <t>Communauté de Communes Haute-Tarentaise</t>
  </si>
  <si>
    <t>tdg-83627</t>
  </si>
  <si>
    <t>tdg-83629</t>
  </si>
  <si>
    <t>tdg-83632</t>
  </si>
  <si>
    <t>Pau Béarn Pyrénées Mobilités</t>
  </si>
  <si>
    <t>tdg-83633</t>
  </si>
  <si>
    <t>tdg-83634</t>
  </si>
  <si>
    <t>tdg-83635</t>
  </si>
  <si>
    <t>tdg-83642</t>
  </si>
  <si>
    <t>tdg-83643</t>
  </si>
  <si>
    <t>TADAO</t>
  </si>
  <si>
    <t>tdg-83710</t>
  </si>
  <si>
    <t>tdg-83716</t>
  </si>
  <si>
    <t>CA ANNONAY RHONE AGGLO</t>
  </si>
  <si>
    <t>tdg-83725</t>
  </si>
  <si>
    <t>tdg-83750</t>
  </si>
  <si>
    <t>Société d'économie Mixte des Transports Montalbanais</t>
  </si>
  <si>
    <t>tdg-83751</t>
  </si>
  <si>
    <t>Orléans Métropole</t>
  </si>
  <si>
    <t>tdg-83756</t>
  </si>
  <si>
    <t>COMPAGNIE AUTOBUS DE MONACO</t>
  </si>
  <si>
    <t>MC</t>
  </si>
  <si>
    <t>tdg-83757</t>
  </si>
  <si>
    <t>Communauté d'agglomération de la Baie de Somme</t>
  </si>
  <si>
    <t>tdg-83762</t>
  </si>
  <si>
    <t>Transdev CapAtlantique Mobilités • Lila Presqu'île</t>
  </si>
  <si>
    <t>tdg-83774</t>
  </si>
  <si>
    <t xml:space="preserve">SPL Estival/ Cirest </t>
  </si>
  <si>
    <t>tdg-83781</t>
  </si>
  <si>
    <t>tdg-83782</t>
  </si>
  <si>
    <t>tdg-83783</t>
  </si>
  <si>
    <t>Transdev • Normandie</t>
  </si>
  <si>
    <t>tdg-83785</t>
  </si>
  <si>
    <t>Communauté d'Agglomération Ventoux Comtat Venaissin</t>
  </si>
  <si>
    <t>tdg-83789</t>
  </si>
  <si>
    <t>Durance Luberon Verdon Agglomération</t>
  </si>
  <si>
    <t>tdg-83793</t>
  </si>
  <si>
    <t>Communauté d'Agglomération de la Région de Château-Thierry</t>
  </si>
  <si>
    <t>tdg-83794</t>
  </si>
  <si>
    <t>tdg-83807</t>
  </si>
  <si>
    <t>Syndicat Intercommunal des Transports urbains de l’Agglomération du Calaisis</t>
  </si>
  <si>
    <t>tdg-83821</t>
  </si>
  <si>
    <t>tdg-83836</t>
  </si>
  <si>
    <t>Communauté d'Agglomération du Pays Ajaccien</t>
  </si>
  <si>
    <t>tdg-83839</t>
  </si>
  <si>
    <t>ALEO</t>
  </si>
  <si>
    <t>tdg-83842</t>
  </si>
  <si>
    <t>Grand Bourg Agglomération</t>
  </si>
  <si>
    <t>tdg-83852</t>
  </si>
  <si>
    <t>Communauté d'Agglomération Lunel Agglo</t>
  </si>
  <si>
    <t>tdg-83853</t>
  </si>
  <si>
    <t>tdg-83870</t>
  </si>
  <si>
    <t>tdg-83881</t>
  </si>
  <si>
    <t>Saint-Nazaire agglo - La CARENE</t>
  </si>
  <si>
    <t>tdg-83891</t>
  </si>
  <si>
    <t>Communauté de Communes du Centre-Ouest</t>
  </si>
  <si>
    <t>tdg-83893</t>
  </si>
  <si>
    <t>Agglomération Sud Sainte Baume</t>
  </si>
  <si>
    <t>tdg-83915</t>
  </si>
  <si>
    <t>PROVENCE-ALPES-AGGLOMERATION</t>
  </si>
  <si>
    <t>tdg-83931</t>
  </si>
  <si>
    <t>tdg-83962</t>
  </si>
  <si>
    <t>Communauté d'Agglomération de Bastia</t>
  </si>
  <si>
    <t>tdg-83978</t>
  </si>
  <si>
    <t>Communauté de communes de Millau Grands Causses</t>
  </si>
  <si>
    <t>tdg-83988</t>
  </si>
  <si>
    <t>Communauté d'Agglomération du Pays de Saint-Omer</t>
  </si>
  <si>
    <t>tdg-83990</t>
  </si>
  <si>
    <t>tdg-84032</t>
  </si>
  <si>
    <t>tdg-84037</t>
  </si>
  <si>
    <t>Réseau de transport en commun Le Havre Seine Métropole LiA</t>
  </si>
  <si>
    <t>tdg-84055</t>
  </si>
  <si>
    <t>ARAVIS Bus</t>
  </si>
  <si>
    <t>tdg-84078</t>
  </si>
  <si>
    <t>tdg-84087</t>
  </si>
  <si>
    <t>SPL D'UN POINT A L'AUTRE</t>
  </si>
  <si>
    <t>tdg-8487</t>
  </si>
  <si>
    <t>tdg-8597</t>
  </si>
  <si>
    <t>tfs-135</t>
  </si>
  <si>
    <t>CIT Le Richelain GTFS</t>
  </si>
  <si>
    <t>tfs-136</t>
  </si>
  <si>
    <t>CIT Roussillon GTFS</t>
  </si>
  <si>
    <t>tfs-224</t>
  </si>
  <si>
    <t>Transport for Greater Manchester GTFS</t>
  </si>
  <si>
    <t>tfs-237</t>
  </si>
  <si>
    <t>Greater Sydney GTFS</t>
  </si>
  <si>
    <t>tfs-240</t>
  </si>
  <si>
    <t>Ruter GTFS</t>
  </si>
  <si>
    <t>tfs-28</t>
  </si>
  <si>
    <t>BC Transit GTFS</t>
  </si>
  <si>
    <t>tfs-284</t>
  </si>
  <si>
    <t>ATOC GTFS</t>
  </si>
  <si>
    <t>tfs-301</t>
  </si>
  <si>
    <t>Unitrans GTFS Feed</t>
  </si>
  <si>
    <t>tfs-319</t>
  </si>
  <si>
    <t>CT Transit New Britain GTFS</t>
  </si>
  <si>
    <t>tfs-320</t>
  </si>
  <si>
    <t>CT Transit Waterbury GTFS</t>
  </si>
  <si>
    <t>tfs-321</t>
  </si>
  <si>
    <t>CT Transit Stamford GTFS</t>
  </si>
  <si>
    <t>tfs-322</t>
  </si>
  <si>
    <t>CT Transit New Haven GTFS</t>
  </si>
  <si>
    <t>tfs-334</t>
  </si>
  <si>
    <t>CATA GTFS</t>
  </si>
  <si>
    <t>tfs-388</t>
  </si>
  <si>
    <t>Torrance Transit GTFS</t>
  </si>
  <si>
    <t>tfs-41</t>
  </si>
  <si>
    <t>Metro GTFS</t>
  </si>
  <si>
    <t>tfs-410</t>
  </si>
  <si>
    <t>ART GTFS</t>
  </si>
  <si>
    <t>tfs-413</t>
  </si>
  <si>
    <t>RATP GTFS</t>
  </si>
  <si>
    <t>tfs-417</t>
  </si>
  <si>
    <t>MAX GTFS</t>
  </si>
  <si>
    <t>tfs-477</t>
  </si>
  <si>
    <t>Ride Connection GTFS</t>
  </si>
  <si>
    <t>tfs-498</t>
  </si>
  <si>
    <t>St Albert Transit GTFS</t>
  </si>
  <si>
    <t>tfs-499</t>
  </si>
  <si>
    <t>TCC GTFS</t>
  </si>
  <si>
    <t>tfs-519</t>
  </si>
  <si>
    <t>iDBUS GTFS</t>
  </si>
  <si>
    <t>tfs-54</t>
  </si>
  <si>
    <t>Kolumbus GTFS</t>
  </si>
  <si>
    <t>tfs-625</t>
  </si>
  <si>
    <t>DAKK GTFS</t>
  </si>
  <si>
    <t>tfs-658</t>
  </si>
  <si>
    <t>La Burundesa GTFS</t>
  </si>
  <si>
    <t>tfs-686</t>
  </si>
  <si>
    <t>Central Fraser Valley GTFS</t>
  </si>
  <si>
    <t>tfs-70</t>
  </si>
  <si>
    <t>Mexico City GTFS</t>
  </si>
  <si>
    <t>tfs-710</t>
  </si>
  <si>
    <t>San Luis Obispo RTA GTFS</t>
  </si>
  <si>
    <t>tfs-739</t>
  </si>
  <si>
    <t>ATAF GTFS</t>
  </si>
  <si>
    <t>tfs-749</t>
  </si>
  <si>
    <t>Gold Country Stage GTFS</t>
  </si>
  <si>
    <t>tfs-793</t>
  </si>
  <si>
    <t>SBB CFF FFS GTFS</t>
  </si>
  <si>
    <t>tfs-795</t>
  </si>
  <si>
    <t>FlixBus GTFS</t>
  </si>
  <si>
    <t>tfs-850</t>
  </si>
  <si>
    <t>Metz GTFS</t>
  </si>
  <si>
    <t>tfs-873</t>
  </si>
  <si>
    <t>Carabus GTFS</t>
  </si>
  <si>
    <t>tld-1039</t>
  </si>
  <si>
    <t>KU on Wheels &amp; Lawrence Transit System</t>
  </si>
  <si>
    <t>tld-1048</t>
  </si>
  <si>
    <t>Vestfold Kollektivtrafikk, Bastø Fosen</t>
  </si>
  <si>
    <t>tld-1071</t>
  </si>
  <si>
    <t>Zagrebački Električni Tramvaj</t>
  </si>
  <si>
    <t>tld-1162</t>
  </si>
  <si>
    <t>Budaörs Város Önkormányzata</t>
  </si>
  <si>
    <t>tld-1213_1</t>
  </si>
  <si>
    <t>Sandusky Transit System</t>
  </si>
  <si>
    <t>tld-1253</t>
  </si>
  <si>
    <t>Los Angeles County Shuttles</t>
  </si>
  <si>
    <t>tld-1256</t>
  </si>
  <si>
    <t>City of Santa Clarita Transit</t>
  </si>
  <si>
    <t>tld-1319</t>
  </si>
  <si>
    <t>North Central Regional Transit District</t>
  </si>
  <si>
    <t>tld-1325</t>
  </si>
  <si>
    <t>Park City Transit</t>
  </si>
  <si>
    <t>tld-1655</t>
  </si>
  <si>
    <t>Memphis Area Transit Authority, Trolly</t>
  </si>
  <si>
    <t>tld-1660_1</t>
  </si>
  <si>
    <t>Topeka Metro</t>
  </si>
  <si>
    <t>tld-170</t>
  </si>
  <si>
    <t>Cascades East Transit</t>
  </si>
  <si>
    <t>tld-1716_1</t>
  </si>
  <si>
    <t>Toledo Area Regional Transit Authority</t>
  </si>
  <si>
    <t>tld-1717</t>
  </si>
  <si>
    <t>Western Reserve Transit Authority</t>
  </si>
  <si>
    <t>tld-217</t>
  </si>
  <si>
    <t>VIA Metropolitan Transit</t>
  </si>
  <si>
    <t>tld-223</t>
  </si>
  <si>
    <t>rabbittransit</t>
  </si>
  <si>
    <t>tld-2236</t>
  </si>
  <si>
    <t>STAV Vigevano S.p.A.</t>
  </si>
  <si>
    <t>tld-2276</t>
  </si>
  <si>
    <t>University of Georgia</t>
  </si>
  <si>
    <t>tld-235</t>
  </si>
  <si>
    <t>Metropolitan Tulsa Transit Authority</t>
  </si>
  <si>
    <t>tld-319</t>
  </si>
  <si>
    <t>Autoridad de Transporte Integrado</t>
  </si>
  <si>
    <t>tld-3363</t>
  </si>
  <si>
    <t>Dopravný podnik Bratislava, a.s.</t>
  </si>
  <si>
    <t>tld-3364</t>
  </si>
  <si>
    <t>Roosevelt Island Operating Corporation Tramway</t>
  </si>
  <si>
    <t>tld-3368</t>
  </si>
  <si>
    <t>Transport of Rockland</t>
  </si>
  <si>
    <t>tld-3390</t>
  </si>
  <si>
    <t>Jefferson Parish Transit</t>
  </si>
  <si>
    <t>tld-395</t>
  </si>
  <si>
    <t>Wichita Transit</t>
  </si>
  <si>
    <t>tld-4056</t>
  </si>
  <si>
    <t>Strætó BS, Reykjanesbær, Akureyri</t>
  </si>
  <si>
    <t>IS</t>
  </si>
  <si>
    <t>tld-4129</t>
  </si>
  <si>
    <t>Gary Public Transportation Corporation</t>
  </si>
  <si>
    <t>tld-4131</t>
  </si>
  <si>
    <t>Clarksville Transit</t>
  </si>
  <si>
    <t>tld-4134</t>
  </si>
  <si>
    <t>Freedom Transit</t>
  </si>
  <si>
    <t>tld-4135</t>
  </si>
  <si>
    <t>High Point Transit</t>
  </si>
  <si>
    <t>tld-4136</t>
  </si>
  <si>
    <t>Madison County Transit</t>
  </si>
  <si>
    <t>tld-4273</t>
  </si>
  <si>
    <t>Flint Hills Area Transportation Agency</t>
  </si>
  <si>
    <t>tld-4298</t>
  </si>
  <si>
    <t>Capital Area Transit</t>
  </si>
  <si>
    <t>tld-4315</t>
  </si>
  <si>
    <t>Vamus Transportes do Algarve</t>
  </si>
  <si>
    <t>tld-4316</t>
  </si>
  <si>
    <t>A Onda - Mobilidade Urbana</t>
  </si>
  <si>
    <t>tld-4317</t>
  </si>
  <si>
    <t>Vai e Vem - Circuito Urbano</t>
  </si>
  <si>
    <t>tld-4318</t>
  </si>
  <si>
    <t>Apanha-me! - Transportes Urbanos</t>
  </si>
  <si>
    <t>tld-4319</t>
  </si>
  <si>
    <t>Circuito Olhão</t>
  </si>
  <si>
    <t>tld-4320</t>
  </si>
  <si>
    <t>GIRO - Transportes Urbanos</t>
  </si>
  <si>
    <t>tld-4321</t>
  </si>
  <si>
    <t>Próximo - Transportes Urbanos de Faro</t>
  </si>
  <si>
    <t>tld-4327</t>
  </si>
  <si>
    <t>LAX Flyaway</t>
  </si>
  <si>
    <t>tld-4385</t>
  </si>
  <si>
    <t>Housatonic Area Regional Transit</t>
  </si>
  <si>
    <t>tld-4459</t>
  </si>
  <si>
    <t>Eastern Panhandle Transit Authority</t>
  </si>
  <si>
    <t>tld-4462</t>
  </si>
  <si>
    <t>Harvard University</t>
  </si>
  <si>
    <t>tld-4465</t>
  </si>
  <si>
    <t>Mercy College</t>
  </si>
  <si>
    <t>tld-4469</t>
  </si>
  <si>
    <t>North Fork Area Transit</t>
  </si>
  <si>
    <t>tld-4470</t>
  </si>
  <si>
    <t>Ozark Regional Transit</t>
  </si>
  <si>
    <t>tld-4472</t>
  </si>
  <si>
    <t>University of Chicago</t>
  </si>
  <si>
    <t>tld-4473</t>
  </si>
  <si>
    <t>University of Connecticut (UCONN / WRTD)</t>
  </si>
  <si>
    <t>tld-4477</t>
  </si>
  <si>
    <t>Lietuvos transporto saugos administracija, Lazdijų r. sav., Utenos r. sav., Šalčininkų rajono savivaldybės administracija, Širvintų r. sav., Šiaulių r. sav., Jurbarko r. sav., Alytaus r. sav., Vilniaus r. sav., Ignalinos r. sav., Neringos sav., Akcinė bendrovė "SMILTYNĖS PERKĖLA", UAB "Joniškio autobusų parkas", Rokiškio r. sav., Uždaroji akcinė bendrovė "UKMERGĖS AUTOBUSŲ PARKAS", Anykščių r. sav., Kaišiadorių r. sav., Kauno m. sav., Marijampolės savivaldybės administracija, Mažeikių r. sav., Molėtų r. sav., Pakruojo r. sav., Biržų r. sav., Jonavos r. sav., Klaipėdos r. sav., Kretingos r. sav., Kupiškio r. sav., Šiaulių m. sav., Šilutės r. sav., Kelmės r. sav., Plungės r. sav., Švenčionių r. sav., Ukmergės r. sav., Varėnos r. sav., Zarasų r. sav., Vilniaus m. sav., Akmenės r. sav., Alytaus m. sav., Pasvalio r. sav., Uždaroji akcinė bendrovė Kuršėnų autobusų parkas, UŽDAROJI AKCINĖ BENDROVĖ "EMTRA", Uždaroji akcinė bendrovė Širvintų autobusų parkas</t>
  </si>
  <si>
    <t>tld-4506</t>
  </si>
  <si>
    <t>Martin County Public Transit</t>
  </si>
  <si>
    <t>tld-4534</t>
  </si>
  <si>
    <t>Ashbourne Connect</t>
  </si>
  <si>
    <t>tld-4548</t>
  </si>
  <si>
    <t>River Valley Transit</t>
  </si>
  <si>
    <t>tld-4551</t>
  </si>
  <si>
    <t>Area Transit Authority</t>
  </si>
  <si>
    <t>tld-4553</t>
  </si>
  <si>
    <t>County of Lackawanna Transit System</t>
  </si>
  <si>
    <t>tld-4555</t>
  </si>
  <si>
    <t>Luzerne County Transportation Authority</t>
  </si>
  <si>
    <t>tld-461</t>
  </si>
  <si>
    <t>SunLine Transit Agency</t>
  </si>
  <si>
    <t>tld-4659</t>
  </si>
  <si>
    <t>Butler Transit Authority</t>
  </si>
  <si>
    <t>tld-4661</t>
  </si>
  <si>
    <t>Indiana County Transit Authority</t>
  </si>
  <si>
    <t>tld-4665</t>
  </si>
  <si>
    <t>Hazleton Public Transit</t>
  </si>
  <si>
    <t>tld-4668</t>
  </si>
  <si>
    <t>Cooperative Alliance For Seacoast Transportation</t>
  </si>
  <si>
    <t>tld-4669</t>
  </si>
  <si>
    <t>Altoona Metro Transit</t>
  </si>
  <si>
    <t>tld-4671</t>
  </si>
  <si>
    <t>Cambria County Transit Authority</t>
  </si>
  <si>
    <t>tld-4674</t>
  </si>
  <si>
    <t>Crawford Area Transportation Authority</t>
  </si>
  <si>
    <t>tld-4683</t>
  </si>
  <si>
    <t>Orillia Transit</t>
  </si>
  <si>
    <t>tld-4688</t>
  </si>
  <si>
    <t>Schuylkill Transportation System</t>
  </si>
  <si>
    <t>tld-4690</t>
  </si>
  <si>
    <t>Regional Municipality of Wood Buffalo Transit</t>
  </si>
  <si>
    <t>tld-4700</t>
  </si>
  <si>
    <t>North Bay Transit</t>
  </si>
  <si>
    <t>tld-4708</t>
  </si>
  <si>
    <t>Yellowknife Transit</t>
  </si>
  <si>
    <t>tld-4728</t>
  </si>
  <si>
    <t>Lexpress</t>
  </si>
  <si>
    <t>tld-4732</t>
  </si>
  <si>
    <t>Lindsay Transit</t>
  </si>
  <si>
    <t>tld-4738</t>
  </si>
  <si>
    <t>Sarnia Transit</t>
  </si>
  <si>
    <t>tld-4740</t>
  </si>
  <si>
    <t>Sault Ste. Marie Transit</t>
  </si>
  <si>
    <t>tld-4742</t>
  </si>
  <si>
    <t>Simcoe County LINX</t>
  </si>
  <si>
    <t>tld-4744</t>
  </si>
  <si>
    <t>Stratford Transit</t>
  </si>
  <si>
    <t>tld-4746</t>
  </si>
  <si>
    <t>Railway City Transit</t>
  </si>
  <si>
    <t>tld-4750</t>
  </si>
  <si>
    <t>Timmins Transit</t>
  </si>
  <si>
    <t>tld-4756</t>
  </si>
  <si>
    <t>Biddeford Saco Old Orchard Beach Transit</t>
  </si>
  <si>
    <t>tld-4771</t>
  </si>
  <si>
    <t>Centre County Transit Authority</t>
  </si>
  <si>
    <t>tld-4777</t>
  </si>
  <si>
    <t>Athens Clarke County Transit</t>
  </si>
  <si>
    <t>tld-4820</t>
  </si>
  <si>
    <t>Brandon Transit</t>
  </si>
  <si>
    <t>tld-4821</t>
  </si>
  <si>
    <t>Grande Prairie Transit</t>
  </si>
  <si>
    <t>tld-4831</t>
  </si>
  <si>
    <t>Muskegon Area Transit System</t>
  </si>
  <si>
    <t>tld-4833</t>
  </si>
  <si>
    <t>Ente Autonomo Volturno  S.r.l., Prova</t>
  </si>
  <si>
    <t>tld-4834_1</t>
  </si>
  <si>
    <t>Bobcat Transit</t>
  </si>
  <si>
    <t>tld-490</t>
  </si>
  <si>
    <t>Greenlink</t>
  </si>
  <si>
    <t>tld-5503</t>
  </si>
  <si>
    <t>Mid Mon Valley Transit Authority</t>
  </si>
  <si>
    <t>tld-5528</t>
  </si>
  <si>
    <t>Koskilinjat Oy</t>
  </si>
  <si>
    <t>tld-5529</t>
  </si>
  <si>
    <t>J. Vainion Liikenne Oy, LS-Liikennelinjat Oy, Salon Tilausmatkat Oy</t>
  </si>
  <si>
    <t>tld-5531</t>
  </si>
  <si>
    <t>Lebanon Transit</t>
  </si>
  <si>
    <t>tld-5537</t>
  </si>
  <si>
    <t>NMDOT Park and Ride</t>
  </si>
  <si>
    <t>tld-5547</t>
  </si>
  <si>
    <t>Imperial Valley Transit</t>
  </si>
  <si>
    <t>tld-5551</t>
  </si>
  <si>
    <t>Connect Douglas</t>
  </si>
  <si>
    <t>tld-5552</t>
  </si>
  <si>
    <t>Chatham Kent Transit (Ride CK)</t>
  </si>
  <si>
    <t>tld-5576</t>
  </si>
  <si>
    <t>Catherine Madigan, Kelly Travel, Donal Harrington Coach Service, Farragher International Travel Services, Burkesbus, Collins Coaches, Halpenny Transport, McGonagle Bus &amp; Coach Hire, Tralee Peoples Bus Service, Flight Link Limited, Keelings Retail UC, Eugene Deffely, Island Ferries Teoranta, St.Kevin's Bus Service, Treacy Coaches, Pat Naughton, Dave Long Coach Travel Limited, Finnegan-Bray Ltd, Joseph Foley, Mangan Tours, McGeehan Coaches, Michael Gray Coach Hire, John Paul Healy, Galway Bus Ltd, Barrys Coaches, Bus4u, Dunnes Coaches, K. Buggy Coaches Llimited, Matthew Whelan Mini Bus Hire, Patrick Gallagher Travel, Gleneagle Hotel (Killarney) Ltd, James Carolan, Flagline Coaches, National Express, Bus Feda Teoranta, Michael Kilbride, Doherty's Coach Travel, Mc Ginley Coach Travel, Martin Leydon Coaches, McConnon Travel, Joe Moroney Coach Hire Ltd, Gorey Coach &amp; Bus Co. Ltd., Ardcavan Coach Tours, Kennedy Coaches, Martin Callinan, Michael Moran, Patrick Slevin &amp; Sons (Coach Hire), Streamline Coaches, Barrett Travel, Eamon McEntee, Caroline O'Donoghue, Seamus O'Reilly, Royal Breffni Tours Ltd, TU Dublin Blancahrdstown, Patrick Keenan, Hallahans Bus and Coach Hire, Francis Finegan Coach Hire, Blueline Coaches Ltd, Allen's Bus Hire, McCaffrey Coaches Limited, MCD Minibus Hire, Walsh's Executive Travel, Andrew Wharton, City Direct, Lally Tours, Piltown Coaches, Michael O'Reilly</t>
  </si>
  <si>
    <t>tld-5579</t>
  </si>
  <si>
    <t>Twin Transit</t>
  </si>
  <si>
    <t>tld-5630</t>
  </si>
  <si>
    <t>Saint Jean Sur Richelieu</t>
  </si>
  <si>
    <t>tld-5721</t>
  </si>
  <si>
    <t>Orléans Express</t>
  </si>
  <si>
    <t>tld-5741</t>
  </si>
  <si>
    <t>Coach USA Erie, Orange Westchester Link, ShortLine Hudson, Suburban Transit, Community Coach, Rockland Coaches, Newark Airport Express, Wisconsin Coach Lines, Van Galder (Coach USA), Coach Suburban Transit Corporation, Coach Community Coach, Coach Hudson Transit Lines, Coach Newark Express, Waukesha County Transit</t>
  </si>
  <si>
    <t>tld-5748</t>
  </si>
  <si>
    <t>Port Arthur Transit</t>
  </si>
  <si>
    <t>tld-5753</t>
  </si>
  <si>
    <t>SMART</t>
  </si>
  <si>
    <t>tld-5757</t>
  </si>
  <si>
    <t>Steamboat Springs Transit, Yellow Zone</t>
  </si>
  <si>
    <t>tld-576</t>
  </si>
  <si>
    <t>CTM SpA Cagliari</t>
  </si>
  <si>
    <t>tld-5762</t>
  </si>
  <si>
    <t>Valley Express</t>
  </si>
  <si>
    <t>tld-5769</t>
  </si>
  <si>
    <t>Kanawha Valley Regional Transportation Authority</t>
  </si>
  <si>
    <t>tld-5772</t>
  </si>
  <si>
    <t>EMEL (Limassol)</t>
  </si>
  <si>
    <t>tld-5780</t>
  </si>
  <si>
    <t>Augusta Transit</t>
  </si>
  <si>
    <t>tld-5781</t>
  </si>
  <si>
    <t>Adirondack Trailways</t>
  </si>
  <si>
    <t>tld-5862</t>
  </si>
  <si>
    <t>VOLÁNBUSZ - Balatonfűzfő, VOLÁNBUSZ - Balmazújváros, VOLÁNBUSZ - Dunaújváros, VOLÁNBUSZ - Baja, VOLÁNBUSZ - Mezőtúr, VOLÁNBUSZ - Mórahalom, VOLÁNBUSZ - Mosonmagyaróvár, VOLÁNBUSZ - Karcag, VOLÁNBUSZ - Gyula, VOLÁNBUSZ - Csongrád, VOLÁNBUSZ - Hajdúszoboszló, VOLÁNBUSZ - Gyöngyös, VOLÁNBUSZ - Komárom, VOLÁNBUSZ - Siklós, VOLÁNBUSZ - Bonyhád, VOLÁNBUSZ - Ajka, VOLÁNBUSZ - Kazincbarcika, VOLÁNBUSZ - Makó, VOLÁNBUSZ - Sopron, VOLÁNBUSZ - Bátaszék, VOLÁNBUSZ - Békés, VOLÁNBUSZ - Várpalota, VOLÁNBUSZ - Lenti, VOLÁNBUSZ - Körmend, VOLÁNBUSZ - Balassagyarmat, VOLÁNBUSZ - Szentes, VOLÁNBUSZ - Ózd, VOLÁNBUSZ - Fonyód, VOLÁNBUSZ - Székesfehérvár, VOLÁNBUSZ - Békéscsaba, VOLÁNBUSZ - Újszász, VOLÁNBUSZ - Nyíregyháza, VOLÁNBUSZ - Siófok, VOLÁNBUSZ - Nagyatád, VOLÁNBUSZ - Jászberény, VOLÁNBUSZ - Keszthely, VOLÁNBUSZ - Mezőberény, VOLÁNBUSZ - Tata, VOLÁNBUSZ - Eger, VOLÁNBUSZ - Balatonfüred, VOLÁNBUSZ - Csurgó, VOLÁNBUSZ - Szekszárd, VOLÁNBUSZ - Orosháza, VOLÁNBUSZ - Ercsi, VOLÁNBUSZ - Mohács, VOLÁNBUSZ - Vác, VOLÁNBUSZ - Esztergom, VOLÁNBUSZ - Győr, VOLÁNBUSZ - Salgótarján, VOLÁNBUSZ - Komló, VOLÁNBUSZ - Szigetvár, VOLÁNBUSZ - Szolnok, VOLÁNBUSZ - Tiszaújváros, VOLÁNBUSZ - Tiszafüred, VOLÁNBUSZ - Oroszlány, VOLÁNBUSZ - Nagykanizsa, VOLÁNBUSZ - Érd, VOLÁNBUSZ - Pápa, VOLÁNBUSZ - Zalaegerszeg, VOLÁNBUSZ - Gödöllő, VOLÁNBUSZ - Szeged, VOLÁNBUSZ - Bátonyterenye</t>
  </si>
  <si>
    <t>tld-5863</t>
  </si>
  <si>
    <t>Rochester Institute of Technology</t>
  </si>
  <si>
    <t>tld-5864</t>
  </si>
  <si>
    <t>Concho Valley Transit District</t>
  </si>
  <si>
    <t>tld-5873</t>
  </si>
  <si>
    <t>Macatawa Area Express</t>
  </si>
  <si>
    <t>tld-5878</t>
  </si>
  <si>
    <t>Jefferson Lines - Minneapolis, MN</t>
  </si>
  <si>
    <t>tld-5893</t>
  </si>
  <si>
    <t>Billings Metropolitan Transit</t>
  </si>
  <si>
    <t>tld-5895</t>
  </si>
  <si>
    <t>Skagit Transit</t>
  </si>
  <si>
    <t>tld-6055</t>
  </si>
  <si>
    <t>Koleje Małopolskie</t>
  </si>
  <si>
    <t>tld-6064</t>
  </si>
  <si>
    <t>Zarząd Transportu Miejskiego w Kielcach</t>
  </si>
  <si>
    <t>tld-6078</t>
  </si>
  <si>
    <t>Miejski Zakład Komunikacji w Gorzowie Wielkopolskim sp. z o.o.</t>
  </si>
  <si>
    <t>tld-6079</t>
  </si>
  <si>
    <t>MPK-Łódź Sp. z o.o.</t>
  </si>
  <si>
    <t>tld-6095</t>
  </si>
  <si>
    <t>Bis-Man Transit</t>
  </si>
  <si>
    <t>tld-611</t>
  </si>
  <si>
    <t>Swords Express</t>
  </si>
  <si>
    <t>tld-613</t>
  </si>
  <si>
    <t>Slieve Bloom Coach Tours</t>
  </si>
  <si>
    <t>tld-616</t>
  </si>
  <si>
    <t>Wexford Bus</t>
  </si>
  <si>
    <t>tld-617</t>
  </si>
  <si>
    <t>Matthews Coach Hire</t>
  </si>
  <si>
    <t>tld-620</t>
  </si>
  <si>
    <t>J.J Kavanagh &amp; Sons</t>
  </si>
  <si>
    <t>tld-626</t>
  </si>
  <si>
    <t>Dublin Coach</t>
  </si>
  <si>
    <t>tld-637</t>
  </si>
  <si>
    <t>Citylink</t>
  </si>
  <si>
    <t>tld-641</t>
  </si>
  <si>
    <t>TFI Local Link Mayo, TFI Local Link Kerry, TFI Local Link Cork, TFI Local Link Galway, TFI Local Link Longford Westmeath Roscommon, TFI Local Link Cavan Monaghan, TFI Local Link Tipperary, TFI Local Link Waterford, TFI Local Link Louth Meath Fingal, TFI Local Link Carlow Kilkenny Wicklow, TFI Local Link Limerick Clare, TFI Local Link Donegal Sligo Leitrim, TFI Local Link Wexford, TFI Local Link Kildare South Dublin, TFI Local Link Laois Offaly</t>
  </si>
  <si>
    <t>tld-650</t>
  </si>
  <si>
    <t>Conda, INTER-ARRIAGA  S.L., La Burundesa</t>
  </si>
  <si>
    <t>tld-6670</t>
  </si>
  <si>
    <t>Reno County Area Transit</t>
  </si>
  <si>
    <t>tld-6675</t>
  </si>
  <si>
    <t>Bryce Canyon National Park Shuttle</t>
  </si>
  <si>
    <t>tld-6684</t>
  </si>
  <si>
    <t>Bermuda Department of Public Transportation</t>
  </si>
  <si>
    <t>BM</t>
  </si>
  <si>
    <t>tld-6694</t>
  </si>
  <si>
    <t>Ville de Saint-Hyacinthe</t>
  </si>
  <si>
    <t>tld-6711</t>
  </si>
  <si>
    <t>Ville de Drummondville</t>
  </si>
  <si>
    <t>tld-6712</t>
  </si>
  <si>
    <t>Société de transport de Trois-Rivières</t>
  </si>
  <si>
    <t>tld-6713</t>
  </si>
  <si>
    <t>New River Transit Authority</t>
  </si>
  <si>
    <t>tld-6738</t>
  </si>
  <si>
    <t>Waikato Regional Council</t>
  </si>
  <si>
    <t>tld-674</t>
  </si>
  <si>
    <t>Kalamazoo Metro Transit</t>
  </si>
  <si>
    <t>tld-6740</t>
  </si>
  <si>
    <t>Mississippi Coast Transportation Authority</t>
  </si>
  <si>
    <t>tld-6767</t>
  </si>
  <si>
    <t>Prasarana Malaysia</t>
  </si>
  <si>
    <t>tld-6768</t>
  </si>
  <si>
    <t>tld-6769</t>
  </si>
  <si>
    <t>tld-6773</t>
  </si>
  <si>
    <t>City of Mobile</t>
  </si>
  <si>
    <t>tld-6775</t>
  </si>
  <si>
    <t>City of Gatlinburg Trolley</t>
  </si>
  <si>
    <t>tld-6777</t>
  </si>
  <si>
    <t>Oneonta Public Transit</t>
  </si>
  <si>
    <t>tld-6782</t>
  </si>
  <si>
    <t>Addis Ababa Transport (all)</t>
  </si>
  <si>
    <t>tld-6785</t>
  </si>
  <si>
    <t>Westmoreland County Transit Authority</t>
  </si>
  <si>
    <t>tld-6861</t>
  </si>
  <si>
    <t>Oman National Transport Company</t>
  </si>
  <si>
    <t>OM</t>
  </si>
  <si>
    <t>tld-6883</t>
  </si>
  <si>
    <t>Lake Erie Transit</t>
  </si>
  <si>
    <t>tld-6900</t>
  </si>
  <si>
    <t>Acadia National Park</t>
  </si>
  <si>
    <t>tld-6904</t>
  </si>
  <si>
    <t>National Park Service</t>
  </si>
  <si>
    <t>tld-6907</t>
  </si>
  <si>
    <t>Sequoia &amp; Kings Canyon National Parks</t>
  </si>
  <si>
    <t>tld-6908</t>
  </si>
  <si>
    <t>Glacier National Park</t>
  </si>
  <si>
    <t>tld-6949</t>
  </si>
  <si>
    <t>Autolinee Toscane - AT Scolastico</t>
  </si>
  <si>
    <t>tld-6950</t>
  </si>
  <si>
    <t>Colbus R.t.i. - Non Scolastico</t>
  </si>
  <si>
    <t>tld-6952</t>
  </si>
  <si>
    <t>Autolinee Toscane - ExtraUrbano Arezzo</t>
  </si>
  <si>
    <t>tld-6953</t>
  </si>
  <si>
    <t>Autolinee Toscane - ExtraUrbano Firenze</t>
  </si>
  <si>
    <t>tld-6955</t>
  </si>
  <si>
    <t>Autolinee Toscane - ExtraUrbano Siena</t>
  </si>
  <si>
    <t>tld-6957</t>
  </si>
  <si>
    <t>Autolinee Toscane - Linee Regionali</t>
  </si>
  <si>
    <t>tld-6959</t>
  </si>
  <si>
    <t>Autolinee Toscane - Urbano Area Metropolitana Fiorentina</t>
  </si>
  <si>
    <t>tld-6962</t>
  </si>
  <si>
    <t>Autolinee Toscane - Emg Extraurbano Massa</t>
  </si>
  <si>
    <t>tld-6963</t>
  </si>
  <si>
    <t>Autolinee Toscane - Emg Extraurbano Pisa</t>
  </si>
  <si>
    <t>tld-6966</t>
  </si>
  <si>
    <t>Autolinee Toscane - ExtraUrbano Massa Carrara</t>
  </si>
  <si>
    <t>tld-6967</t>
  </si>
  <si>
    <t>Autolinee Toscane - ExtraUrbano Pisa</t>
  </si>
  <si>
    <t>tld-6969</t>
  </si>
  <si>
    <t>Autolinee Toscane - Urbano Livorno</t>
  </si>
  <si>
    <t>tld-6970</t>
  </si>
  <si>
    <t>Autolinee Toscane - Urbano Pisa</t>
  </si>
  <si>
    <t>tld-6971</t>
  </si>
  <si>
    <t>AMITOUR di Amici Giuseppe</t>
  </si>
  <si>
    <t>tld-6972</t>
  </si>
  <si>
    <t>Autolinee Toscane - Servizi Area Poggibonsi</t>
  </si>
  <si>
    <t>tld-6973</t>
  </si>
  <si>
    <t>Autolinee Toscane - Urbano Cecina</t>
  </si>
  <si>
    <t>tld-6974</t>
  </si>
  <si>
    <t>Autolinee Toscane - Urbano Colle Valdelsa</t>
  </si>
  <si>
    <t>tld-6975</t>
  </si>
  <si>
    <t>Autolinee Toscane - Urbano Piombino</t>
  </si>
  <si>
    <t>tld-6976</t>
  </si>
  <si>
    <t>Autolinee Toscane - Urbano Rosignano Marittimo</t>
  </si>
  <si>
    <t>tld-6977</t>
  </si>
  <si>
    <t>Autolinee Toscane - Urbano San Gimignano</t>
  </si>
  <si>
    <t>tld-6978</t>
  </si>
  <si>
    <t>Autolinee Toscane - Urbano Portoferraio</t>
  </si>
  <si>
    <t>tld-6979</t>
  </si>
  <si>
    <t>Autolinee Toscane - Urbano Grosseto</t>
  </si>
  <si>
    <t>tld-6983</t>
  </si>
  <si>
    <t>Autolinee Toscane - Debole Extraurbano Pistoia</t>
  </si>
  <si>
    <t>tld-6984</t>
  </si>
  <si>
    <t>Autolinee Toscane - Debole Extraurbano Prato</t>
  </si>
  <si>
    <t>tld-6985</t>
  </si>
  <si>
    <t>Autolinee Toscane - Debole Urbano Pisa</t>
  </si>
  <si>
    <t>tld-6986</t>
  </si>
  <si>
    <t>Autolinee Toscane - Emg Extraurbano Lucca</t>
  </si>
  <si>
    <t>tld-6987</t>
  </si>
  <si>
    <t>Autolinee Toscane - ExtraUrbano Lucca</t>
  </si>
  <si>
    <t>tld-6988</t>
  </si>
  <si>
    <t>Autolinee Toscane - ExtraUrbano Pistoia</t>
  </si>
  <si>
    <t>tld-6989</t>
  </si>
  <si>
    <t>Autolinee Toscane - ExtraUrbano Prato</t>
  </si>
  <si>
    <t>tld-6990</t>
  </si>
  <si>
    <t>Autolinee Toscane - Urbano Empoli</t>
  </si>
  <si>
    <t>tld-6991</t>
  </si>
  <si>
    <t>Autolinee Toscane - Urbano Lucca</t>
  </si>
  <si>
    <t>tld-6992</t>
  </si>
  <si>
    <t>Autolinee Toscane - Urbano Massa</t>
  </si>
  <si>
    <t>tld-6993</t>
  </si>
  <si>
    <t>Autolinee Toscane - Urbano Pistoia</t>
  </si>
  <si>
    <t>tld-6994</t>
  </si>
  <si>
    <t>Autolinee Toscane - Urbano Viareggio</t>
  </si>
  <si>
    <t>tld-6995</t>
  </si>
  <si>
    <t>Autolinee Toscane - Urbano Carrara</t>
  </si>
  <si>
    <t>tld-6996</t>
  </si>
  <si>
    <t>Autolinee Toscane - Urbano Massa e Carrara</t>
  </si>
  <si>
    <t>tld-6997</t>
  </si>
  <si>
    <t>Autolinee Toscane - Emg Urbano Pontedera</t>
  </si>
  <si>
    <t>tld-6998</t>
  </si>
  <si>
    <t>Autolinee Toscane - Emg Urbano San Miniato</t>
  </si>
  <si>
    <t>tld-7000</t>
  </si>
  <si>
    <t>Autolinee Toscane - Urbano Pescia</t>
  </si>
  <si>
    <t>tld-7004</t>
  </si>
  <si>
    <t>Autolinee Toscane - Emg Extraurbano Uninone Comuni del Casentino</t>
  </si>
  <si>
    <t>tld-7005</t>
  </si>
  <si>
    <t>Trasporto Ferroviario Toscano</t>
  </si>
  <si>
    <t>tld-7006</t>
  </si>
  <si>
    <t>Autolinee Toscane - Urbano Intercomunale Valdarno Aretino</t>
  </si>
  <si>
    <t>tld-7009</t>
  </si>
  <si>
    <t>Autolinee Toscane - Emg Extraurbano Siena</t>
  </si>
  <si>
    <t>tld-7010</t>
  </si>
  <si>
    <t>Autolinee Toscane - Urbano Arezzo</t>
  </si>
  <si>
    <t>tld-7014</t>
  </si>
  <si>
    <t>Autolinee Toscane - Urbano Siena</t>
  </si>
  <si>
    <t>tld-7019</t>
  </si>
  <si>
    <t>South Bend Public Transportation Corporation</t>
  </si>
  <si>
    <t>tld-7021</t>
  </si>
  <si>
    <t>Endless Mountains Transportation Authority</t>
  </si>
  <si>
    <t>tld-7025</t>
  </si>
  <si>
    <t>Pottstown Area Rapid Transit</t>
  </si>
  <si>
    <t>tld-7027</t>
  </si>
  <si>
    <t>Fayette Area Coordinated Transportation</t>
  </si>
  <si>
    <t>tld-7030</t>
  </si>
  <si>
    <t>New Castle Area Transit Authority</t>
  </si>
  <si>
    <t>tld-7035</t>
  </si>
  <si>
    <t>Blue Water Area Transit</t>
  </si>
  <si>
    <t>tld-7036</t>
  </si>
  <si>
    <t>Decatur Public Transit System</t>
  </si>
  <si>
    <t>tld-7037</t>
  </si>
  <si>
    <t>High Valley Transit</t>
  </si>
  <si>
    <t>tld-7038</t>
  </si>
  <si>
    <t>El Metro Transit</t>
  </si>
  <si>
    <t>tld-7040</t>
  </si>
  <si>
    <t>Rochester-Genesee Regional Transportation Authority</t>
  </si>
  <si>
    <t>tld-7045</t>
  </si>
  <si>
    <t>Marquette County Transit Authority</t>
  </si>
  <si>
    <t>tld-7046</t>
  </si>
  <si>
    <t>Tuscaloosa Transit Authority</t>
  </si>
  <si>
    <t>tld-7056</t>
  </si>
  <si>
    <t>AppalCART</t>
  </si>
  <si>
    <t>tld-7066</t>
  </si>
  <si>
    <t>Eastern Band of Cherokee Indians Public Transit</t>
  </si>
  <si>
    <t>tld-725</t>
  </si>
  <si>
    <t>tld-7489</t>
  </si>
  <si>
    <t>Public Company Subotica-trans</t>
  </si>
  <si>
    <t>tld-764</t>
  </si>
  <si>
    <t>Jacksonville Transportation Authority</t>
  </si>
  <si>
    <t>tld-767</t>
  </si>
  <si>
    <t>Guaguas Municipales</t>
  </si>
  <si>
    <t>tld-77</t>
  </si>
  <si>
    <t>Beloit Transit System</t>
  </si>
  <si>
    <t>tld-7824</t>
  </si>
  <si>
    <t>Bangor Community Connector</t>
  </si>
  <si>
    <t>tld-7827</t>
  </si>
  <si>
    <t>Cleveland Urban Area Transit System</t>
  </si>
  <si>
    <t>tld-7829</t>
  </si>
  <si>
    <t>Lawrence County Transit</t>
  </si>
  <si>
    <t>tld-7846</t>
  </si>
  <si>
    <t>Macon-Bibb County Transit Authority</t>
  </si>
  <si>
    <t>tld-7875</t>
  </si>
  <si>
    <t>Blaguss Agora Hungary Kft.</t>
  </si>
  <si>
    <t>tld-7899</t>
  </si>
  <si>
    <t>Weir Bros, Pickering Motors, Tranzit</t>
  </si>
  <si>
    <t>tld-7912</t>
  </si>
  <si>
    <t>Connect - Horizons Regional Transport, Connect - Horizons Regional Transport</t>
  </si>
  <si>
    <t>tld-7926</t>
  </si>
  <si>
    <t>Plzeňské městské dopravní podniky a.s.</t>
  </si>
  <si>
    <t>tld-820</t>
  </si>
  <si>
    <t>Valley Transit</t>
  </si>
  <si>
    <t>tld-829</t>
  </si>
  <si>
    <t>Vekka Liikenne Oy, Kainuun Tilausliikenne P. Jääskeläinen Ky, Oulaisten Liikenne Oy</t>
  </si>
  <si>
    <t>tld-859</t>
  </si>
  <si>
    <t>Niagara Region Transit</t>
  </si>
  <si>
    <t>tld-881</t>
  </si>
  <si>
    <t>Norwalk Transit System</t>
  </si>
  <si>
    <t>tld-883</t>
  </si>
  <si>
    <t>Miskolc Városi Közlekedési</t>
  </si>
  <si>
    <t>tld-89</t>
  </si>
  <si>
    <t>Chapel Hill Transit</t>
  </si>
  <si>
    <t>tld-958</t>
  </si>
  <si>
    <t>Azienda Mobilità e Trasporti</t>
  </si>
  <si>
    <t>tld-962</t>
  </si>
  <si>
    <t>Greenway Public Transportation</t>
  </si>
  <si>
    <t>tld-98</t>
  </si>
  <si>
    <t>GoDurham</t>
  </si>
  <si>
    <t>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</si>
</sst>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b/>
      <sz val="11"/>
      <name val="Calibri"/>
      <family val="2"/>
    </font>
    <font>
      <i/>
      <sz val="11"/>
      <name val="Calibri"/>
      <family val="2"/>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17">
    <xf numFmtId="0" fontId="0" fillId="0" borderId="0" xfId="0"/>
    <xf numFmtId="0" fontId="1" fillId="0" borderId="0" xfId="0" applyFont="1"/>
    <xf numFmtId="0" fontId="1" fillId="0" borderId="1" xfId="0" applyFont="1" applyBorder="1" applyAlignment="1">
      <alignment vertical="top" wrapText="1"/>
    </xf>
    <xf numFmtId="0" fontId="1" fillId="0" borderId="1" xfId="0" applyFont="1" applyBorder="1" applyAlignment="1">
      <alignment vertical="top"/>
    </xf>
    <xf numFmtId="0" fontId="0" fillId="0" borderId="0" xfId="0" applyAlignment="1">
      <alignment vertical="top" wrapText="1"/>
    </xf>
    <xf numFmtId="3" fontId="0" fillId="0" borderId="0" xfId="0" applyNumberFormat="1" applyAlignment="1">
      <alignment vertical="top"/>
    </xf>
    <xf numFmtId="0" fontId="0" fillId="0" borderId="0" xfId="0" applyAlignment="1">
      <alignment vertical="top"/>
    </xf>
    <xf numFmtId="0" fontId="2" fillId="0" borderId="0" xfId="0" applyFont="1" applyAlignment="1">
      <alignment vertical="top" wrapText="1"/>
    </xf>
    <xf numFmtId="9" fontId="0" fillId="0" borderId="0" xfId="0" applyNumberFormat="1" applyAlignment="1">
      <alignment vertical="top"/>
    </xf>
    <xf numFmtId="164" fontId="0" fillId="0" borderId="0" xfId="0" applyNumberFormat="1" applyAlignment="1">
      <alignment vertical="top"/>
    </xf>
    <xf numFmtId="2" fontId="0" fillId="0" borderId="0" xfId="0" applyNumberFormat="1" applyAlignment="1">
      <alignment vertical="top"/>
    </xf>
    <xf numFmtId="0" fontId="0" fillId="0" borderId="2" xfId="0" applyBorder="1" applyAlignment="1">
      <alignment vertical="top" wrapText="1"/>
    </xf>
    <xf numFmtId="3" fontId="0" fillId="0" borderId="2" xfId="0" applyNumberFormat="1" applyBorder="1" applyAlignment="1">
      <alignment vertical="top"/>
    </xf>
    <xf numFmtId="0" fontId="0" fillId="0" borderId="2" xfId="0" applyBorder="1" applyAlignment="1">
      <alignment vertical="top"/>
    </xf>
    <xf numFmtId="0" fontId="1" fillId="0" borderId="0" xfId="0" applyFont="1" applyAlignment="1">
      <alignment vertical="top" wrapText="1"/>
    </xf>
    <xf numFmtId="165" fontId="0" fillId="0" borderId="0" xfId="0" applyNumberFormat="1" applyAlignment="1">
      <alignment vertical="top"/>
    </xf>
    <xf numFmtId="1"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workbookViewId="0">
      <pane ySplit="3" topLeftCell="A22" activePane="bottomLeft" state="frozen"/>
      <selection pane="bottomLeft" activeCell="A38" sqref="A38"/>
    </sheetView>
  </sheetViews>
  <sheetFormatPr defaultRowHeight="14.4" x14ac:dyDescent="0.3"/>
  <cols>
    <col min="1" max="1" width="70" customWidth="1"/>
    <col min="2" max="5" width="11" customWidth="1"/>
    <col min="6" max="6" width="52" customWidth="1"/>
  </cols>
  <sheetData>
    <row r="1" spans="1:6" x14ac:dyDescent="0.3">
      <c r="A1" s="1" t="s">
        <v>0</v>
      </c>
    </row>
    <row r="3" spans="1:6" x14ac:dyDescent="0.3">
      <c r="A3" s="2" t="s">
        <v>1</v>
      </c>
      <c r="B3" s="3" t="s">
        <v>2</v>
      </c>
      <c r="C3" s="3" t="s">
        <v>3</v>
      </c>
      <c r="D3" s="3" t="s">
        <v>4</v>
      </c>
      <c r="E3" s="3" t="s">
        <v>5</v>
      </c>
      <c r="F3" s="3" t="s">
        <v>6</v>
      </c>
    </row>
    <row r="4" spans="1:6" x14ac:dyDescent="0.3">
      <c r="A4" s="4" t="s">
        <v>7</v>
      </c>
      <c r="B4" s="5">
        <f>COUNTA(feed_data_v2!$A$2:$A$1866)</f>
        <v>1865</v>
      </c>
      <c r="C4" s="5"/>
      <c r="D4" s="5"/>
      <c r="E4" s="5"/>
      <c r="F4" s="6" t="s">
        <v>8</v>
      </c>
    </row>
    <row r="5" spans="1:6" x14ac:dyDescent="0.3">
      <c r="A5" s="4" t="s">
        <v>9</v>
      </c>
      <c r="B5" s="5">
        <f>ROUND(SUMPRODUCT((feed_data_v2!$C$2:$C$1866&lt;&gt;"")/COUNTIF(feed_data_v2!$C$2:$C$1866,feed_data_v2!$C$2:$C$1866&amp;"")),0)</f>
        <v>78</v>
      </c>
      <c r="C5" s="5"/>
      <c r="D5" s="5"/>
      <c r="E5" s="5"/>
      <c r="F5" s="6" t="s">
        <v>10</v>
      </c>
    </row>
    <row r="6" spans="1:6" x14ac:dyDescent="0.3">
      <c r="A6" s="7" t="s">
        <v>11</v>
      </c>
      <c r="B6" s="6"/>
      <c r="C6" s="6"/>
      <c r="D6" s="6"/>
      <c r="E6" s="5"/>
      <c r="F6" s="6"/>
    </row>
    <row r="7" spans="1:6" x14ac:dyDescent="0.3">
      <c r="A7" s="4" t="s">
        <v>12</v>
      </c>
      <c r="B7" s="8">
        <f>(COUNTIF(feed_data_v2!$I$2:$I$1866,"&gt;=0.95"))/E7</f>
        <v>0.63270777479892759</v>
      </c>
      <c r="C7" s="8">
        <f>MAX(0,B7-1.96*SQRT(B7*(1-B7)/E7))</f>
        <v>0.61082894415708133</v>
      </c>
      <c r="D7" s="8">
        <f>MIN(1,B7+1.96*SQRT(B7*(1-B7)/E7))</f>
        <v>0.65458660544077385</v>
      </c>
      <c r="E7" s="5">
        <f>COUNT(feed_data_v2!$I$2:$I$1866)</f>
        <v>1865</v>
      </c>
      <c r="F7" s="6" t="s">
        <v>13</v>
      </c>
    </row>
    <row r="8" spans="1:6" x14ac:dyDescent="0.3">
      <c r="A8" s="4" t="s">
        <v>14</v>
      </c>
      <c r="B8" s="8">
        <f>(COUNTIF(feed_data_v2!$I$2:$I$1866,"&lt;0.05"))/E8</f>
        <v>0.20857908847184986</v>
      </c>
      <c r="C8" s="8">
        <f>MAX(0,B8-1.96*SQRT(B8*(1-B8)/E8))</f>
        <v>0.19013930587136998</v>
      </c>
      <c r="D8" s="8">
        <f>MIN(1,B8+1.96*SQRT(B8*(1-B8)/E8))</f>
        <v>0.22701887107232974</v>
      </c>
      <c r="E8" s="5">
        <f>COUNT(feed_data_v2!$I$2:$I$1866)</f>
        <v>1865</v>
      </c>
      <c r="F8" s="6" t="s">
        <v>13</v>
      </c>
    </row>
    <row r="9" spans="1:6" x14ac:dyDescent="0.3">
      <c r="A9" s="4" t="s">
        <v>15</v>
      </c>
      <c r="B9" s="8">
        <f>(COUNTIF(feed_data_v2!$J$2:$J$1866,"&gt;=0.95"))/E9</f>
        <v>0.63753351206434317</v>
      </c>
      <c r="C9" s="8">
        <f>MAX(0,B9-1.96*SQRT(B9*(1-B9)/E9))</f>
        <v>0.61571615735926277</v>
      </c>
      <c r="D9" s="8">
        <f>MIN(1,B9+1.96*SQRT(B9*(1-B9)/E9))</f>
        <v>0.65935086676942356</v>
      </c>
      <c r="E9" s="5">
        <f>COUNT(feed_data_v2!$J$2:$J$1866)</f>
        <v>1865</v>
      </c>
      <c r="F9" s="6" t="s">
        <v>16</v>
      </c>
    </row>
    <row r="10" spans="1:6" x14ac:dyDescent="0.3">
      <c r="A10" s="4" t="s">
        <v>17</v>
      </c>
      <c r="B10" s="8">
        <f>MEDIAN(feed_data_v2!$J$2:$J$1866)</f>
        <v>1</v>
      </c>
      <c r="C10" s="8"/>
      <c r="D10" s="8"/>
      <c r="E10" s="5">
        <f>COUNT(feed_data_v2!$J$2:$J$1866)</f>
        <v>1865</v>
      </c>
      <c r="F10" s="6" t="s">
        <v>16</v>
      </c>
    </row>
    <row r="11" spans="1:6" x14ac:dyDescent="0.3">
      <c r="A11" s="7" t="s">
        <v>18</v>
      </c>
      <c r="B11" s="6"/>
      <c r="C11" s="6"/>
      <c r="D11" s="6"/>
      <c r="E11" s="5"/>
      <c r="F11" s="6"/>
    </row>
    <row r="12" spans="1:6" x14ac:dyDescent="0.3">
      <c r="A12" s="4" t="s">
        <v>19</v>
      </c>
      <c r="B12" s="5">
        <f>COUNTIF(feed_data_v2!$K$2:$K$1866,"declared")</f>
        <v>760</v>
      </c>
      <c r="C12" s="5"/>
      <c r="D12" s="5"/>
      <c r="E12" s="5">
        <f>COUNTA(feed_data_v2!$A$2:$A$1866)</f>
        <v>1865</v>
      </c>
      <c r="F12" s="6" t="s">
        <v>20</v>
      </c>
    </row>
    <row r="13" spans="1:6" x14ac:dyDescent="0.3">
      <c r="A13" s="4" t="s">
        <v>21</v>
      </c>
      <c r="B13" s="8">
        <f>MEDIAN(feed_data_v2!$L$2:$L$1866)</f>
        <v>0.79299646855261119</v>
      </c>
      <c r="C13" s="8">
        <f>SMALL(feed_data_v2!$L$2:$L$1866,MAX(1,FLOOR(E13/2-1.96*SQRT(E13)/2,1)))</f>
        <v>0.77919216646266831</v>
      </c>
      <c r="D13" s="8">
        <f>SMALL(feed_data_v2!$L$2:$L$1866,MIN(E13,CEILING(E13/2+1.96*SQRT(E13)/2,1)))</f>
        <v>0.80426229508196723</v>
      </c>
      <c r="E13" s="5">
        <f>COUNT(feed_data_v2!$L$2:$L$1866)</f>
        <v>760</v>
      </c>
      <c r="F13" s="6" t="s">
        <v>22</v>
      </c>
    </row>
    <row r="14" spans="1:6" ht="28.8" x14ac:dyDescent="0.3">
      <c r="A14" s="4" t="s">
        <v>23</v>
      </c>
      <c r="B14" s="8">
        <f>MEDIAN(feed_data_v2!$Q$2:$Q$1866)</f>
        <v>0.42297405252734277</v>
      </c>
      <c r="C14" s="8">
        <f>SMALL(feed_data_v2!$Q$2:$Q$1866,MAX(1,FLOOR(E14/2-1.96*SQRT(E14)/2,1)))</f>
        <v>0.30888769057306731</v>
      </c>
      <c r="D14" s="8">
        <f>SMALL(feed_data_v2!$Q$2:$Q$1866,MIN(E14,CEILING(E14/2+1.96*SQRT(E14)/2,1)))</f>
        <v>0.58547919741949594</v>
      </c>
      <c r="E14" s="5">
        <f>COUNT(feed_data_v2!$Q$2:$Q$1866)</f>
        <v>444</v>
      </c>
      <c r="F14" s="6" t="s">
        <v>24</v>
      </c>
    </row>
    <row r="15" spans="1:6" x14ac:dyDescent="0.3">
      <c r="A15" s="4" t="s">
        <v>25</v>
      </c>
      <c r="B15" s="9">
        <f>MEDIAN(feed_data_v2!$S$2:$S$1866)</f>
        <v>4.7231512448903503E-3</v>
      </c>
      <c r="C15" s="9">
        <f>SMALL(feed_data_v2!$S$2:$S$1866,MAX(1,FLOOR(E15/2-1.96*SQRT(E15)/2,1)))</f>
        <v>0</v>
      </c>
      <c r="D15" s="9">
        <f>SMALL(feed_data_v2!$S$2:$S$1866,MIN(E15,CEILING(E15/2+1.96*SQRT(E15)/2,1)))</f>
        <v>3.2223415682062301E-2</v>
      </c>
      <c r="E15" s="5">
        <f>COUNT(feed_data_v2!$S$2:$S$1866)</f>
        <v>118</v>
      </c>
      <c r="F15" s="6" t="s">
        <v>26</v>
      </c>
    </row>
    <row r="16" spans="1:6" ht="28.8" x14ac:dyDescent="0.3">
      <c r="A16" s="4" t="s">
        <v>27</v>
      </c>
      <c r="B16" s="8">
        <f>(COUNTIFS(feed_data_v2!$L$2:$L$1866,"&gt;0.5",feed_data_v2!$N$2:$N$1866,"&gt;=0.95"))/E16</f>
        <v>0.28026315789473683</v>
      </c>
      <c r="C16" s="8">
        <f>MAX(0,B16-1.96*SQRT(B16*(1-B16)/E16))</f>
        <v>0.24833167057209629</v>
      </c>
      <c r="D16" s="8">
        <f>MIN(1,B16+1.96*SQRT(B16*(1-B16)/E16))</f>
        <v>0.31219464521737733</v>
      </c>
      <c r="E16" s="5">
        <f>COUNTIF(feed_data_v2!$K$2:$K$1866,"declared")</f>
        <v>760</v>
      </c>
      <c r="F16" s="6" t="s">
        <v>28</v>
      </c>
    </row>
    <row r="17" spans="1:6" x14ac:dyDescent="0.3">
      <c r="A17" s="4" t="s">
        <v>29</v>
      </c>
      <c r="B17" s="10">
        <f t="array" ref="B17">CORREL(1-feed_data_v2!$J$2:$J$1866,feed_data_v2!$L$2:$L$1866)</f>
        <v>0.38502410060976899</v>
      </c>
      <c r="C17" s="10"/>
      <c r="D17" s="10"/>
      <c r="E17" s="5">
        <f>COUNT(feed_data_v2!$L$2:$L$1866)</f>
        <v>760</v>
      </c>
      <c r="F17" s="6" t="s">
        <v>30</v>
      </c>
    </row>
    <row r="18" spans="1:6" x14ac:dyDescent="0.3">
      <c r="A18" s="7" t="s">
        <v>31</v>
      </c>
      <c r="B18" s="6"/>
      <c r="C18" s="6"/>
      <c r="D18" s="6"/>
      <c r="E18" s="5"/>
      <c r="F18" s="6"/>
    </row>
    <row r="19" spans="1:6" x14ac:dyDescent="0.3">
      <c r="A19" s="4" t="s">
        <v>32</v>
      </c>
      <c r="B19" s="9">
        <f t="array" ref="B19">MEDIAN(IF(feed_data_v2!$Z$2:$Z$1866&gt;=20,feed_data_v2!$AA$2:$AA$1866))</f>
        <v>1.4465410598806E-3</v>
      </c>
      <c r="C19" s="9">
        <f t="array" ref="C19">SMALL(IF(feed_data_v2!$Z$2:$Z$1866&gt;=20,feed_data_v2!$AA$2:$AA$1866),MAX(1,FLOOR(E19/2-1.96*SQRT(E19)/2,1)))</f>
        <v>6.202561052738E-4</v>
      </c>
      <c r="D19" s="9">
        <f t="array" ref="D19">SMALL(IF(feed_data_v2!$Z$2:$Z$1866&gt;=20,feed_data_v2!$AA$2:$AA$1866),MIN(E19,CEILING(E19/2+1.96*SQRT(E19)/2,1)))</f>
        <v>2.3021354539793999E-3</v>
      </c>
      <c r="E19" s="5">
        <f>COUNTIFS(feed_data_v2!$Z$2:$Z$1866,"&gt;=20")</f>
        <v>1546</v>
      </c>
      <c r="F19" s="6" t="s">
        <v>33</v>
      </c>
    </row>
    <row r="20" spans="1:6" x14ac:dyDescent="0.3">
      <c r="A20" s="4" t="s">
        <v>34</v>
      </c>
      <c r="B20" s="8">
        <f>(COUNTIFS(feed_data_v2!$Z$2:$Z$1866,"&gt;=20",feed_data_v2!$AA$2:$AA$1866,"&gt;-0.02",feed_data_v2!$AA$2:$AA$1866,"&lt;0.02"))/E20</f>
        <v>0.68111254851228975</v>
      </c>
      <c r="C20" s="8">
        <f>MAX(0,B20-1.96*SQRT(B20*(1-B20)/E20))</f>
        <v>0.65788092921312857</v>
      </c>
      <c r="D20" s="8">
        <f>MIN(1,B20+1.96*SQRT(B20*(1-B20)/E20))</f>
        <v>0.70434416781145093</v>
      </c>
      <c r="E20" s="5">
        <f>COUNTIF(feed_data_v2!$Z$2:$Z$1866,"&gt;=20")</f>
        <v>1546</v>
      </c>
      <c r="F20" s="6" t="s">
        <v>33</v>
      </c>
    </row>
    <row r="21" spans="1:6" x14ac:dyDescent="0.3">
      <c r="A21" s="4" t="s">
        <v>35</v>
      </c>
      <c r="B21" s="9">
        <f t="array" ref="B21">MEDIAN(IF(feed_data_v2!$AF$2:$AF$1866=TRUE,feed_data_v2!$AA$2:$AA$1866))</f>
        <v>1.8773085595554202E-2</v>
      </c>
      <c r="C21" s="9">
        <f t="array" ref="C21">SMALL(IF(feed_data_v2!$AF$2:$AF$1866=TRUE,feed_data_v2!$AA$2:$AA$1866),MAX(1,FLOOR(E21/2-1.96*SQRT(E21)/2,1)))</f>
        <v>1.1999512016414599E-2</v>
      </c>
      <c r="D21" s="9">
        <f t="array" ref="D21">SMALL(IF(feed_data_v2!$AF$2:$AF$1866=TRUE,feed_data_v2!$AA$2:$AA$1866),MIN(E21,CEILING(E21/2+1.96*SQRT(E21)/2,1)))</f>
        <v>2.6477032980359499E-2</v>
      </c>
      <c r="E21" s="5">
        <f>COUNTIFS(feed_data_v2!$AF$2:$AF$1866,TRUE)</f>
        <v>203</v>
      </c>
      <c r="F21" s="6" t="s">
        <v>36</v>
      </c>
    </row>
    <row r="22" spans="1:6" x14ac:dyDescent="0.3">
      <c r="A22" s="4" t="s">
        <v>37</v>
      </c>
      <c r="B22" s="9">
        <f t="array" ref="B22">MEDIAN(IF(feed_data_v2!$AF$2:$AF$1866=TRUE,feed_data_v2!$AG$2:$AG$1866))</f>
        <v>6.7069081153579998E-4</v>
      </c>
      <c r="C22" s="9">
        <f t="array" ref="C22">SMALL(IF(feed_data_v2!$AF$2:$AF$1866=TRUE,feed_data_v2!$AG$2:$AG$1866),MAX(1,FLOOR(E22/2-1.96*SQRT(E22)/2,1)))</f>
        <v>0</v>
      </c>
      <c r="D22" s="9">
        <f t="array" ref="D22">SMALL(IF(feed_data_v2!$AF$2:$AF$1866=TRUE,feed_data_v2!$AG$2:$AG$1866),MIN(E22,CEILING(E22/2+1.96*SQRT(E22)/2,1)))</f>
        <v>2.2990899632082998E-3</v>
      </c>
      <c r="E22" s="5">
        <f>COUNTIFS(feed_data_v2!$AF$2:$AF$1866,TRUE)</f>
        <v>203</v>
      </c>
      <c r="F22" s="6" t="s">
        <v>38</v>
      </c>
    </row>
    <row r="23" spans="1:6" x14ac:dyDescent="0.3">
      <c r="A23" s="11" t="s">
        <v>39</v>
      </c>
      <c r="B23" s="12">
        <f>COUNTIFS(feed_data_v2!$AF$2:$AF$1866,TRUE,feed_data_v2!$AI$2:$AI$1866,TRUE)</f>
        <v>151</v>
      </c>
      <c r="C23" s="12"/>
      <c r="D23" s="12"/>
      <c r="E23" s="12">
        <f>COUNTIF(feed_data_v2!$AF$2:$AF$1866,TRUE)</f>
        <v>203</v>
      </c>
      <c r="F23" s="13" t="s">
        <v>40</v>
      </c>
    </row>
    <row r="24" spans="1:6" x14ac:dyDescent="0.3">
      <c r="A24" s="4"/>
      <c r="B24" s="6"/>
      <c r="C24" s="6"/>
      <c r="D24" s="6"/>
      <c r="E24" s="6"/>
      <c r="F24" s="6"/>
    </row>
    <row r="25" spans="1:6" x14ac:dyDescent="0.3">
      <c r="A25" s="14" t="s">
        <v>3745</v>
      </c>
      <c r="B25" s="6"/>
      <c r="C25" s="6"/>
      <c r="D25" s="6"/>
      <c r="E25" s="6"/>
      <c r="F25" s="6"/>
    </row>
    <row r="26" spans="1:6" ht="28.8" x14ac:dyDescent="0.3">
      <c r="A26" s="4" t="s">
        <v>41</v>
      </c>
      <c r="B26" s="8">
        <f>COUNTIF(feed_data_v2!$M$2:$M$1866,"&gt;=0.95")/E26</f>
        <v>0.93684210526315792</v>
      </c>
      <c r="C26" s="8"/>
      <c r="D26" s="8"/>
      <c r="E26" s="5">
        <f>COUNT(feed_data_v2!$M$2:$M$1866)</f>
        <v>760</v>
      </c>
      <c r="F26" s="6" t="s">
        <v>42</v>
      </c>
    </row>
    <row r="27" spans="1:6" x14ac:dyDescent="0.3">
      <c r="A27" s="4" t="s">
        <v>43</v>
      </c>
      <c r="B27" s="8">
        <f>MEDIAN(feed_data_v2!$N$2:$N$1866)</f>
        <v>0.10753277228042145</v>
      </c>
      <c r="C27" s="8"/>
      <c r="D27" s="8"/>
      <c r="E27" s="5">
        <f>COUNT(feed_data_v2!$N$2:$N$1866)</f>
        <v>712</v>
      </c>
      <c r="F27" s="6" t="s">
        <v>44</v>
      </c>
    </row>
    <row r="28" spans="1:6" x14ac:dyDescent="0.3">
      <c r="A28" s="4" t="s">
        <v>45</v>
      </c>
      <c r="B28" s="5">
        <f>COUNTIF(feed_data_v2!$P$2:$P$1866,"&gt;0")</f>
        <v>444</v>
      </c>
      <c r="C28" s="5"/>
      <c r="D28" s="5"/>
      <c r="E28" s="5"/>
      <c r="F28" s="6" t="s">
        <v>46</v>
      </c>
    </row>
    <row r="29" spans="1:6" x14ac:dyDescent="0.3">
      <c r="A29" s="4" t="s">
        <v>47</v>
      </c>
      <c r="B29" s="5">
        <f>COUNTIF(feed_data_v2!$Q$2:$Q$1866,"&gt;=0.9")</f>
        <v>160</v>
      </c>
      <c r="C29" s="5"/>
      <c r="D29" s="5"/>
      <c r="E29" s="5">
        <f>COUNTIF(feed_data_v2!$P$2:$P$1866,"&gt;0")</f>
        <v>444</v>
      </c>
      <c r="F29" s="6" t="s">
        <v>24</v>
      </c>
    </row>
    <row r="30" spans="1:6" x14ac:dyDescent="0.3">
      <c r="A30" s="4" t="s">
        <v>48</v>
      </c>
      <c r="B30" s="5">
        <f>COUNTIF(feed_data_v2!$R$2:$R$1866,"&gt;0")</f>
        <v>118</v>
      </c>
      <c r="C30" s="5"/>
      <c r="D30" s="5"/>
      <c r="E30" s="5"/>
      <c r="F30" s="6" t="s">
        <v>49</v>
      </c>
    </row>
    <row r="31" spans="1:6" ht="28.8" x14ac:dyDescent="0.3">
      <c r="A31" s="4" t="s">
        <v>50</v>
      </c>
      <c r="B31" s="5">
        <f>COUNTIFS(feed_data_v2!$L$2:$L$1866,"&gt;0.5",feed_data_v2!$N$2:$N$1866,"&gt;=0.95")</f>
        <v>213</v>
      </c>
      <c r="C31" s="5"/>
      <c r="D31" s="5"/>
      <c r="E31" s="5">
        <f>COUNTIF(feed_data_v2!$K$2:$K$1866,"declared")</f>
        <v>760</v>
      </c>
      <c r="F31" s="6" t="s">
        <v>28</v>
      </c>
    </row>
    <row r="32" spans="1:6" x14ac:dyDescent="0.3">
      <c r="A32" s="4" t="s">
        <v>51</v>
      </c>
      <c r="B32" s="5">
        <f>COUNTIF(feed_data_v2!$Z$2:$Z$1866,"&gt;=20")</f>
        <v>1546</v>
      </c>
      <c r="C32" s="5"/>
      <c r="D32" s="5"/>
      <c r="E32" s="5"/>
      <c r="F32" s="6" t="s">
        <v>52</v>
      </c>
    </row>
    <row r="33" spans="1:6" x14ac:dyDescent="0.3">
      <c r="A33" s="4" t="s">
        <v>53</v>
      </c>
      <c r="B33" s="5">
        <f>COUNTIF(feed_data_v2!$AF$2:$AF$1866,TRUE)</f>
        <v>203</v>
      </c>
      <c r="C33" s="5"/>
      <c r="D33" s="5"/>
      <c r="E33" s="5"/>
      <c r="F33" s="6" t="s">
        <v>54</v>
      </c>
    </row>
    <row r="34" spans="1:6" x14ac:dyDescent="0.3">
      <c r="A34" s="4" t="s">
        <v>55</v>
      </c>
      <c r="B34" s="5">
        <f t="array" ref="B34">MEDIAN(IF(feed_data_v2!$AF$2:$AF$1866=TRUE,feed_data_v2!$D$2:$D$1866))</f>
        <v>7104</v>
      </c>
      <c r="C34" s="5"/>
      <c r="D34" s="5"/>
      <c r="E34" s="5">
        <f>COUNTIF(feed_data_v2!$AF$2:$AF$1866,TRUE)</f>
        <v>203</v>
      </c>
      <c r="F34" s="6" t="s">
        <v>56</v>
      </c>
    </row>
    <row r="35" spans="1:6" x14ac:dyDescent="0.3">
      <c r="A35" s="4" t="s">
        <v>57</v>
      </c>
      <c r="B35" s="5">
        <f t="array" ref="B35">MEDIAN(IF(feed_data_v2!$Z$2:$Z$1866&gt;=20,feed_data_v2!$D$2:$D$1866))</f>
        <v>533.5</v>
      </c>
      <c r="C35" s="5"/>
      <c r="D35" s="5"/>
      <c r="E35" s="5">
        <f>COUNTIF(feed_data_v2!$Z$2:$Z$1866,"&gt;=20")</f>
        <v>1546</v>
      </c>
      <c r="F35" s="6" t="s">
        <v>58</v>
      </c>
    </row>
    <row r="36" spans="1:6" ht="28.8" x14ac:dyDescent="0.3">
      <c r="A36" s="4" t="s">
        <v>59</v>
      </c>
      <c r="B36" s="15">
        <f t="array" ref="B36">MEDIAN(IF(feed_data_v2!$AF$2:$AF$1866=TRUE,feed_data_v2!$AB$2:$AB$1866))</f>
        <v>1.8183406863311611</v>
      </c>
      <c r="C36" s="15"/>
      <c r="D36" s="15"/>
      <c r="E36" s="5">
        <f>COUNTIF(feed_data_v2!$AF$2:$AF$1866,TRUE)</f>
        <v>203</v>
      </c>
      <c r="F36" s="6" t="s">
        <v>60</v>
      </c>
    </row>
    <row r="37" spans="1:6" ht="28.8" x14ac:dyDescent="0.3">
      <c r="A37" s="4" t="s">
        <v>61</v>
      </c>
      <c r="B37" s="16">
        <f t="array" ref="B37">MEDIAN(IF(feed_data_v2!$I$2:$I$1866&lt;0.05,feed_data_v2!$G$2:$G$1866))</f>
        <v>53</v>
      </c>
      <c r="C37" s="16"/>
      <c r="D37" s="16"/>
      <c r="E37" s="5">
        <f>COUNTIF(feed_data_v2!$I$2:$I$1866,"&lt;0.05")</f>
        <v>389</v>
      </c>
      <c r="F37" s="6"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866"/>
  <sheetViews>
    <sheetView workbookViewId="0">
      <pane xSplit="1" ySplit="1" topLeftCell="B2" activePane="bottomRight" state="frozen"/>
      <selection pane="topRight"/>
      <selection pane="bottomLeft"/>
      <selection pane="bottomRight"/>
    </sheetView>
  </sheetViews>
  <sheetFormatPr defaultRowHeight="14.4" x14ac:dyDescent="0.3"/>
  <sheetData>
    <row r="1" spans="1:35" x14ac:dyDescent="0.3">
      <c r="A1" s="1" t="s">
        <v>8</v>
      </c>
      <c r="B1" s="1" t="s">
        <v>63</v>
      </c>
      <c r="C1" s="1" t="s">
        <v>10</v>
      </c>
      <c r="D1" s="1" t="s">
        <v>64</v>
      </c>
      <c r="E1" s="1" t="s">
        <v>65</v>
      </c>
      <c r="F1" s="1" t="s">
        <v>66</v>
      </c>
      <c r="G1" s="1" t="s">
        <v>67</v>
      </c>
      <c r="H1" s="1" t="s">
        <v>68</v>
      </c>
      <c r="I1" s="1" t="s">
        <v>13</v>
      </c>
      <c r="J1" s="1" t="s">
        <v>16</v>
      </c>
      <c r="K1" s="1" t="s">
        <v>20</v>
      </c>
      <c r="L1" s="1" t="s">
        <v>22</v>
      </c>
      <c r="M1" s="1" t="s">
        <v>42</v>
      </c>
      <c r="N1" s="1" t="s">
        <v>44</v>
      </c>
      <c r="O1" s="1" t="s">
        <v>69</v>
      </c>
      <c r="P1" s="1" t="s">
        <v>46</v>
      </c>
      <c r="Q1" s="1" t="s">
        <v>24</v>
      </c>
      <c r="R1" s="1" t="s">
        <v>49</v>
      </c>
      <c r="S1" s="1" t="s">
        <v>26</v>
      </c>
      <c r="T1" s="1" t="s">
        <v>70</v>
      </c>
      <c r="U1" s="1" t="s">
        <v>71</v>
      </c>
      <c r="V1" s="1" t="s">
        <v>72</v>
      </c>
      <c r="W1" s="1" t="s">
        <v>73</v>
      </c>
      <c r="X1" s="1" t="s">
        <v>74</v>
      </c>
      <c r="Y1" s="1" t="s">
        <v>75</v>
      </c>
      <c r="Z1" s="1" t="s">
        <v>52</v>
      </c>
      <c r="AA1" s="1" t="s">
        <v>76</v>
      </c>
      <c r="AB1" s="1" t="s">
        <v>77</v>
      </c>
      <c r="AC1" s="1" t="s">
        <v>78</v>
      </c>
      <c r="AD1" s="1" t="s">
        <v>79</v>
      </c>
      <c r="AE1" s="1" t="s">
        <v>80</v>
      </c>
      <c r="AF1" s="1" t="s">
        <v>54</v>
      </c>
      <c r="AG1" s="1" t="s">
        <v>81</v>
      </c>
      <c r="AH1" s="1" t="s">
        <v>82</v>
      </c>
      <c r="AI1" s="1" t="s">
        <v>40</v>
      </c>
    </row>
    <row r="2" spans="1:35" x14ac:dyDescent="0.3">
      <c r="A2" t="s">
        <v>83</v>
      </c>
      <c r="B2" t="s">
        <v>84</v>
      </c>
      <c r="C2" t="s">
        <v>85</v>
      </c>
      <c r="D2">
        <v>92</v>
      </c>
      <c r="E2">
        <v>2831</v>
      </c>
      <c r="F2">
        <v>10</v>
      </c>
      <c r="G2">
        <v>60</v>
      </c>
      <c r="H2">
        <v>60</v>
      </c>
      <c r="I2">
        <v>1</v>
      </c>
      <c r="J2">
        <v>1</v>
      </c>
      <c r="K2" t="s">
        <v>86</v>
      </c>
      <c r="P2">
        <v>0</v>
      </c>
      <c r="R2">
        <v>0</v>
      </c>
      <c r="T2">
        <v>0</v>
      </c>
      <c r="U2" t="b">
        <v>0</v>
      </c>
      <c r="Y2">
        <v>0</v>
      </c>
      <c r="Z2">
        <v>176</v>
      </c>
      <c r="AA2">
        <v>1.4906832298136601E-2</v>
      </c>
      <c r="AB2">
        <v>1.636363636363636</v>
      </c>
      <c r="AC2">
        <v>8.3333333333333301E-2</v>
      </c>
      <c r="AE2">
        <v>0</v>
      </c>
      <c r="AF2" t="b">
        <v>0</v>
      </c>
    </row>
    <row r="3" spans="1:35" x14ac:dyDescent="0.3">
      <c r="A3" t="s">
        <v>87</v>
      </c>
      <c r="B3" t="s">
        <v>88</v>
      </c>
      <c r="C3" t="s">
        <v>85</v>
      </c>
      <c r="D3">
        <v>229</v>
      </c>
      <c r="E3">
        <v>4262</v>
      </c>
      <c r="F3">
        <v>9</v>
      </c>
      <c r="G3">
        <v>60</v>
      </c>
      <c r="H3">
        <v>60</v>
      </c>
      <c r="I3">
        <v>1</v>
      </c>
      <c r="J3">
        <v>1</v>
      </c>
      <c r="K3" t="s">
        <v>86</v>
      </c>
      <c r="P3">
        <v>0</v>
      </c>
      <c r="R3">
        <v>0</v>
      </c>
      <c r="T3">
        <v>0</v>
      </c>
      <c r="U3" t="b">
        <v>0</v>
      </c>
      <c r="V3">
        <v>0</v>
      </c>
      <c r="Y3">
        <v>0</v>
      </c>
      <c r="Z3">
        <v>261</v>
      </c>
      <c r="AA3">
        <v>1.42936349523175E-2</v>
      </c>
      <c r="AB3">
        <v>1.4110563765736179</v>
      </c>
      <c r="AC3">
        <v>1.8315018315018299E-2</v>
      </c>
      <c r="AD3">
        <v>-1.42118863049095E-2</v>
      </c>
      <c r="AE3">
        <v>0</v>
      </c>
      <c r="AF3" t="b">
        <v>0</v>
      </c>
    </row>
    <row r="4" spans="1:35" x14ac:dyDescent="0.3">
      <c r="A4" t="s">
        <v>89</v>
      </c>
      <c r="B4" t="s">
        <v>90</v>
      </c>
      <c r="C4" t="s">
        <v>85</v>
      </c>
      <c r="D4">
        <v>126</v>
      </c>
      <c r="E4">
        <v>2758</v>
      </c>
      <c r="F4">
        <v>10</v>
      </c>
      <c r="G4">
        <v>60</v>
      </c>
      <c r="H4">
        <v>60</v>
      </c>
      <c r="I4">
        <v>1</v>
      </c>
      <c r="J4">
        <v>1</v>
      </c>
      <c r="K4" t="s">
        <v>86</v>
      </c>
      <c r="P4">
        <v>0</v>
      </c>
      <c r="R4">
        <v>0</v>
      </c>
      <c r="T4">
        <v>0</v>
      </c>
      <c r="U4" t="b">
        <v>0</v>
      </c>
      <c r="Y4">
        <v>0</v>
      </c>
      <c r="Z4">
        <v>42</v>
      </c>
      <c r="AA4">
        <v>1.2707722385141699E-2</v>
      </c>
      <c r="AB4">
        <v>1.5476190476190479</v>
      </c>
      <c r="AE4">
        <v>0</v>
      </c>
      <c r="AF4" t="b">
        <v>0</v>
      </c>
    </row>
    <row r="5" spans="1:35" x14ac:dyDescent="0.3">
      <c r="A5" t="s">
        <v>91</v>
      </c>
      <c r="B5" t="s">
        <v>92</v>
      </c>
      <c r="C5" t="s">
        <v>85</v>
      </c>
      <c r="D5">
        <v>58</v>
      </c>
      <c r="E5">
        <v>1912</v>
      </c>
      <c r="F5">
        <v>5</v>
      </c>
      <c r="G5">
        <v>60</v>
      </c>
      <c r="H5">
        <v>60</v>
      </c>
      <c r="I5">
        <v>1</v>
      </c>
      <c r="J5">
        <v>1</v>
      </c>
      <c r="K5" t="s">
        <v>86</v>
      </c>
      <c r="P5">
        <v>0</v>
      </c>
      <c r="R5">
        <v>0</v>
      </c>
      <c r="T5">
        <v>0</v>
      </c>
      <c r="U5" t="b">
        <v>0</v>
      </c>
      <c r="Y5">
        <v>0</v>
      </c>
      <c r="Z5">
        <v>120</v>
      </c>
      <c r="AA5">
        <v>0</v>
      </c>
      <c r="AB5">
        <v>0</v>
      </c>
      <c r="AC5">
        <v>0</v>
      </c>
      <c r="AD5">
        <v>0</v>
      </c>
      <c r="AE5">
        <v>0</v>
      </c>
      <c r="AF5" t="b">
        <v>0</v>
      </c>
    </row>
    <row r="6" spans="1:35" x14ac:dyDescent="0.3">
      <c r="A6" t="s">
        <v>93</v>
      </c>
      <c r="B6" t="s">
        <v>94</v>
      </c>
      <c r="C6" t="s">
        <v>85</v>
      </c>
      <c r="D6">
        <v>147</v>
      </c>
      <c r="E6">
        <v>1948</v>
      </c>
      <c r="F6">
        <v>13</v>
      </c>
      <c r="G6">
        <v>120</v>
      </c>
      <c r="H6">
        <v>60</v>
      </c>
      <c r="I6">
        <v>1</v>
      </c>
      <c r="J6">
        <v>1</v>
      </c>
      <c r="K6" t="s">
        <v>86</v>
      </c>
      <c r="P6">
        <v>0</v>
      </c>
      <c r="R6">
        <v>0</v>
      </c>
      <c r="T6">
        <v>0</v>
      </c>
      <c r="U6" t="b">
        <v>0</v>
      </c>
      <c r="V6">
        <v>12.97674418604651</v>
      </c>
      <c r="Y6">
        <v>0</v>
      </c>
      <c r="Z6">
        <v>43</v>
      </c>
      <c r="AA6">
        <v>6.6148775894538603E-2</v>
      </c>
      <c r="AB6">
        <v>10.891472868217051</v>
      </c>
      <c r="AC6">
        <v>9.1525423728813504E-2</v>
      </c>
      <c r="AD6">
        <v>3.5310734463276802E-2</v>
      </c>
      <c r="AE6">
        <v>0</v>
      </c>
      <c r="AF6" t="b">
        <v>0</v>
      </c>
    </row>
    <row r="7" spans="1:35" x14ac:dyDescent="0.3">
      <c r="A7" t="s">
        <v>95</v>
      </c>
      <c r="B7" t="s">
        <v>96</v>
      </c>
      <c r="C7" t="s">
        <v>85</v>
      </c>
      <c r="D7">
        <v>67</v>
      </c>
      <c r="E7">
        <v>925</v>
      </c>
      <c r="F7">
        <v>4</v>
      </c>
      <c r="G7">
        <v>60</v>
      </c>
      <c r="H7">
        <v>60</v>
      </c>
      <c r="I7">
        <v>1</v>
      </c>
      <c r="J7">
        <v>1</v>
      </c>
      <c r="K7" t="s">
        <v>86</v>
      </c>
      <c r="P7">
        <v>0</v>
      </c>
      <c r="R7">
        <v>0</v>
      </c>
      <c r="T7">
        <v>0</v>
      </c>
      <c r="U7" t="b">
        <v>0</v>
      </c>
      <c r="V7">
        <v>5.4545454545454541</v>
      </c>
      <c r="Y7">
        <v>0</v>
      </c>
      <c r="Z7">
        <v>25</v>
      </c>
      <c r="AA7">
        <v>2.1367521367521299E-2</v>
      </c>
      <c r="AB7">
        <v>2</v>
      </c>
      <c r="AC7">
        <v>7.69230769230769E-2</v>
      </c>
      <c r="AD7">
        <v>0</v>
      </c>
      <c r="AE7">
        <v>0</v>
      </c>
      <c r="AF7" t="b">
        <v>0</v>
      </c>
    </row>
    <row r="8" spans="1:35" x14ac:dyDescent="0.3">
      <c r="A8" t="s">
        <v>97</v>
      </c>
      <c r="B8" t="s">
        <v>98</v>
      </c>
      <c r="C8" t="s">
        <v>85</v>
      </c>
      <c r="D8">
        <v>67</v>
      </c>
      <c r="E8">
        <v>3035</v>
      </c>
      <c r="F8">
        <v>12</v>
      </c>
      <c r="G8">
        <v>60</v>
      </c>
      <c r="H8">
        <v>60</v>
      </c>
      <c r="I8">
        <v>1</v>
      </c>
      <c r="J8">
        <v>1</v>
      </c>
      <c r="K8" t="s">
        <v>86</v>
      </c>
      <c r="P8">
        <v>0</v>
      </c>
      <c r="R8">
        <v>0</v>
      </c>
      <c r="T8">
        <v>0</v>
      </c>
      <c r="U8" t="b">
        <v>0</v>
      </c>
      <c r="Y8">
        <v>0</v>
      </c>
      <c r="Z8">
        <v>177</v>
      </c>
      <c r="AA8">
        <v>0</v>
      </c>
      <c r="AB8">
        <v>0</v>
      </c>
      <c r="AC8">
        <v>0</v>
      </c>
      <c r="AD8">
        <v>0</v>
      </c>
      <c r="AE8">
        <v>0</v>
      </c>
      <c r="AF8" t="b">
        <v>0</v>
      </c>
    </row>
    <row r="9" spans="1:35" x14ac:dyDescent="0.3">
      <c r="A9" t="s">
        <v>99</v>
      </c>
      <c r="B9" t="s">
        <v>100</v>
      </c>
      <c r="C9" t="s">
        <v>85</v>
      </c>
      <c r="D9">
        <v>63</v>
      </c>
      <c r="E9">
        <v>1886</v>
      </c>
      <c r="F9">
        <v>4</v>
      </c>
      <c r="G9">
        <v>60</v>
      </c>
      <c r="H9">
        <v>60</v>
      </c>
      <c r="I9">
        <v>1</v>
      </c>
      <c r="J9">
        <v>1</v>
      </c>
      <c r="K9" t="s">
        <v>86</v>
      </c>
      <c r="P9">
        <v>0</v>
      </c>
      <c r="R9">
        <v>0</v>
      </c>
      <c r="T9">
        <v>0</v>
      </c>
      <c r="U9" t="b">
        <v>0</v>
      </c>
      <c r="V9">
        <v>0</v>
      </c>
      <c r="Y9">
        <v>0</v>
      </c>
      <c r="Z9">
        <v>74</v>
      </c>
      <c r="AA9">
        <v>0</v>
      </c>
      <c r="AB9">
        <v>0</v>
      </c>
      <c r="AC9">
        <v>0</v>
      </c>
      <c r="AD9">
        <v>0</v>
      </c>
      <c r="AE9">
        <v>0</v>
      </c>
      <c r="AF9" t="b">
        <v>0</v>
      </c>
    </row>
    <row r="10" spans="1:35" x14ac:dyDescent="0.3">
      <c r="A10" t="s">
        <v>101</v>
      </c>
      <c r="B10" t="s">
        <v>102</v>
      </c>
      <c r="C10" t="s">
        <v>85</v>
      </c>
      <c r="D10">
        <v>61</v>
      </c>
      <c r="E10">
        <v>2023</v>
      </c>
      <c r="F10">
        <v>8</v>
      </c>
      <c r="G10">
        <v>60</v>
      </c>
      <c r="H10">
        <v>60</v>
      </c>
      <c r="I10">
        <v>1</v>
      </c>
      <c r="J10">
        <v>1</v>
      </c>
      <c r="K10" t="s">
        <v>86</v>
      </c>
      <c r="P10">
        <v>0</v>
      </c>
      <c r="R10">
        <v>0</v>
      </c>
      <c r="T10">
        <v>0</v>
      </c>
      <c r="U10" t="b">
        <v>0</v>
      </c>
      <c r="Y10">
        <v>0</v>
      </c>
      <c r="Z10">
        <v>72</v>
      </c>
      <c r="AA10">
        <v>0</v>
      </c>
      <c r="AB10">
        <v>0</v>
      </c>
      <c r="AC10">
        <v>0</v>
      </c>
      <c r="AD10">
        <v>0</v>
      </c>
      <c r="AE10">
        <v>0</v>
      </c>
      <c r="AF10" t="b">
        <v>0</v>
      </c>
    </row>
    <row r="11" spans="1:35" x14ac:dyDescent="0.3">
      <c r="A11" t="s">
        <v>103</v>
      </c>
      <c r="B11" t="s">
        <v>104</v>
      </c>
      <c r="C11" t="s">
        <v>85</v>
      </c>
      <c r="D11">
        <v>99</v>
      </c>
      <c r="E11">
        <v>3979</v>
      </c>
      <c r="F11">
        <v>9</v>
      </c>
      <c r="G11">
        <v>60</v>
      </c>
      <c r="H11">
        <v>60</v>
      </c>
      <c r="I11">
        <v>1</v>
      </c>
      <c r="J11">
        <v>1</v>
      </c>
      <c r="K11" t="s">
        <v>86</v>
      </c>
      <c r="P11">
        <v>0</v>
      </c>
      <c r="R11">
        <v>0</v>
      </c>
      <c r="T11">
        <v>0</v>
      </c>
      <c r="U11" t="b">
        <v>0</v>
      </c>
      <c r="Y11">
        <v>0</v>
      </c>
      <c r="Z11">
        <v>155</v>
      </c>
      <c r="AA11">
        <v>0</v>
      </c>
      <c r="AB11">
        <v>0</v>
      </c>
      <c r="AC11">
        <v>0</v>
      </c>
      <c r="AD11">
        <v>0</v>
      </c>
      <c r="AE11">
        <v>0</v>
      </c>
      <c r="AF11" t="b">
        <v>0</v>
      </c>
    </row>
    <row r="12" spans="1:35" x14ac:dyDescent="0.3">
      <c r="A12" t="s">
        <v>105</v>
      </c>
      <c r="B12" t="s">
        <v>106</v>
      </c>
      <c r="C12" t="s">
        <v>85</v>
      </c>
      <c r="D12">
        <v>62</v>
      </c>
      <c r="E12">
        <v>1954</v>
      </c>
      <c r="F12">
        <v>8</v>
      </c>
      <c r="G12">
        <v>60</v>
      </c>
      <c r="H12">
        <v>60</v>
      </c>
      <c r="I12">
        <v>1</v>
      </c>
      <c r="J12">
        <v>1</v>
      </c>
      <c r="K12" t="s">
        <v>86</v>
      </c>
      <c r="P12">
        <v>0</v>
      </c>
      <c r="R12">
        <v>0</v>
      </c>
      <c r="T12">
        <v>0</v>
      </c>
      <c r="U12" t="b">
        <v>0</v>
      </c>
      <c r="Y12">
        <v>0</v>
      </c>
      <c r="Z12">
        <v>24</v>
      </c>
      <c r="AA12">
        <v>0</v>
      </c>
      <c r="AB12">
        <v>0</v>
      </c>
      <c r="AE12">
        <v>0</v>
      </c>
      <c r="AF12" t="b">
        <v>0</v>
      </c>
    </row>
    <row r="13" spans="1:35" x14ac:dyDescent="0.3">
      <c r="A13" t="s">
        <v>107</v>
      </c>
      <c r="B13" t="s">
        <v>108</v>
      </c>
      <c r="C13" t="s">
        <v>85</v>
      </c>
      <c r="D13">
        <v>50</v>
      </c>
      <c r="E13">
        <v>1381</v>
      </c>
      <c r="F13">
        <v>10</v>
      </c>
      <c r="G13">
        <v>60</v>
      </c>
      <c r="H13">
        <v>60</v>
      </c>
      <c r="I13">
        <v>1</v>
      </c>
      <c r="J13">
        <v>1</v>
      </c>
      <c r="K13" t="s">
        <v>86</v>
      </c>
      <c r="P13">
        <v>0</v>
      </c>
      <c r="R13">
        <v>0</v>
      </c>
      <c r="T13">
        <v>0</v>
      </c>
      <c r="U13" t="b">
        <v>0</v>
      </c>
      <c r="V13">
        <v>0</v>
      </c>
      <c r="Y13">
        <v>0</v>
      </c>
      <c r="Z13">
        <v>90</v>
      </c>
      <c r="AA13">
        <v>3.7677304964538999E-2</v>
      </c>
      <c r="AB13">
        <v>4.7222222222222223</v>
      </c>
      <c r="AC13">
        <v>0</v>
      </c>
      <c r="AD13">
        <v>0</v>
      </c>
      <c r="AE13">
        <v>0</v>
      </c>
      <c r="AF13" t="b">
        <v>0</v>
      </c>
    </row>
    <row r="14" spans="1:35" x14ac:dyDescent="0.3">
      <c r="A14" t="s">
        <v>109</v>
      </c>
      <c r="B14" t="s">
        <v>110</v>
      </c>
      <c r="C14" t="s">
        <v>85</v>
      </c>
      <c r="D14">
        <v>258</v>
      </c>
      <c r="E14">
        <v>3841</v>
      </c>
      <c r="F14">
        <v>19</v>
      </c>
      <c r="G14">
        <v>60</v>
      </c>
      <c r="H14">
        <v>60</v>
      </c>
      <c r="I14">
        <v>1</v>
      </c>
      <c r="J14">
        <v>1</v>
      </c>
      <c r="K14" t="s">
        <v>86</v>
      </c>
      <c r="P14">
        <v>0</v>
      </c>
      <c r="R14">
        <v>0</v>
      </c>
      <c r="T14">
        <v>0</v>
      </c>
      <c r="U14" t="b">
        <v>0</v>
      </c>
      <c r="V14">
        <v>5.0847457627118642</v>
      </c>
      <c r="Y14">
        <v>0</v>
      </c>
      <c r="Z14">
        <v>123</v>
      </c>
      <c r="AA14">
        <v>3.4737766074171603E-2</v>
      </c>
      <c r="AB14">
        <v>3.677119628339141</v>
      </c>
      <c r="AC14">
        <v>6.37681159420289E-2</v>
      </c>
      <c r="AD14">
        <v>2.0833333333333301E-2</v>
      </c>
      <c r="AE14">
        <v>0</v>
      </c>
      <c r="AF14" t="b">
        <v>0</v>
      </c>
    </row>
    <row r="15" spans="1:35" x14ac:dyDescent="0.3">
      <c r="A15" t="s">
        <v>111</v>
      </c>
      <c r="B15" t="s">
        <v>112</v>
      </c>
      <c r="C15" t="s">
        <v>85</v>
      </c>
      <c r="D15">
        <v>851</v>
      </c>
      <c r="E15">
        <v>18512</v>
      </c>
      <c r="F15">
        <v>26</v>
      </c>
      <c r="G15">
        <v>60</v>
      </c>
      <c r="H15">
        <v>60</v>
      </c>
      <c r="I15">
        <v>1</v>
      </c>
      <c r="J15">
        <v>1</v>
      </c>
      <c r="K15" t="s">
        <v>86</v>
      </c>
      <c r="P15">
        <v>0</v>
      </c>
      <c r="R15">
        <v>0</v>
      </c>
      <c r="T15">
        <v>0</v>
      </c>
      <c r="U15" t="b">
        <v>0</v>
      </c>
      <c r="Y15">
        <v>0</v>
      </c>
      <c r="Z15">
        <v>366</v>
      </c>
      <c r="AA15">
        <v>8.0285415978723296E-2</v>
      </c>
      <c r="AB15">
        <v>7.7303229557327917</v>
      </c>
      <c r="AC15">
        <v>5.61246084821806E-2</v>
      </c>
      <c r="AD15">
        <v>3.4377052769870797E-2</v>
      </c>
      <c r="AE15">
        <v>0</v>
      </c>
      <c r="AF15" t="b">
        <v>0</v>
      </c>
    </row>
    <row r="16" spans="1:35" x14ac:dyDescent="0.3">
      <c r="A16" t="s">
        <v>113</v>
      </c>
      <c r="B16" t="s">
        <v>114</v>
      </c>
      <c r="C16" t="s">
        <v>85</v>
      </c>
      <c r="D16">
        <v>50</v>
      </c>
      <c r="E16">
        <v>713</v>
      </c>
      <c r="F16">
        <v>8</v>
      </c>
      <c r="G16">
        <v>60</v>
      </c>
      <c r="H16">
        <v>60</v>
      </c>
      <c r="I16">
        <v>1</v>
      </c>
      <c r="J16">
        <v>1</v>
      </c>
      <c r="K16" t="s">
        <v>86</v>
      </c>
      <c r="P16">
        <v>0</v>
      </c>
      <c r="R16">
        <v>0</v>
      </c>
      <c r="T16">
        <v>0</v>
      </c>
      <c r="U16" t="b">
        <v>0</v>
      </c>
      <c r="Y16">
        <v>0</v>
      </c>
      <c r="Z16">
        <v>1</v>
      </c>
      <c r="AA16">
        <v>0.1111111111111111</v>
      </c>
      <c r="AB16">
        <v>10</v>
      </c>
      <c r="AC16">
        <v>0.1111111111111111</v>
      </c>
      <c r="AE16">
        <v>0</v>
      </c>
      <c r="AF16" t="b">
        <v>0</v>
      </c>
    </row>
    <row r="17" spans="1:32" x14ac:dyDescent="0.3">
      <c r="A17" t="s">
        <v>115</v>
      </c>
      <c r="B17" t="s">
        <v>116</v>
      </c>
      <c r="C17" t="s">
        <v>85</v>
      </c>
      <c r="D17">
        <v>208</v>
      </c>
      <c r="E17">
        <v>861</v>
      </c>
      <c r="F17">
        <v>5</v>
      </c>
      <c r="G17">
        <v>60</v>
      </c>
      <c r="H17">
        <v>60</v>
      </c>
      <c r="I17">
        <v>1</v>
      </c>
      <c r="J17">
        <v>1</v>
      </c>
      <c r="K17" t="s">
        <v>86</v>
      </c>
      <c r="P17">
        <v>0</v>
      </c>
      <c r="R17">
        <v>0</v>
      </c>
      <c r="T17">
        <v>0</v>
      </c>
      <c r="U17" t="b">
        <v>0</v>
      </c>
      <c r="V17">
        <v>7.5</v>
      </c>
      <c r="Y17">
        <v>0</v>
      </c>
      <c r="Z17">
        <v>4</v>
      </c>
      <c r="AA17">
        <v>7.6628352490421395E-2</v>
      </c>
      <c r="AB17">
        <v>10.34482758620689</v>
      </c>
      <c r="AC17">
        <v>0.1111111111111111</v>
      </c>
      <c r="AD17">
        <v>0</v>
      </c>
      <c r="AE17">
        <v>0</v>
      </c>
      <c r="AF17" t="b">
        <v>0</v>
      </c>
    </row>
    <row r="18" spans="1:32" x14ac:dyDescent="0.3">
      <c r="A18" t="s">
        <v>117</v>
      </c>
      <c r="B18" t="s">
        <v>118</v>
      </c>
      <c r="C18" t="s">
        <v>85</v>
      </c>
      <c r="D18">
        <v>167</v>
      </c>
      <c r="E18">
        <v>3098</v>
      </c>
      <c r="F18">
        <v>8</v>
      </c>
      <c r="G18">
        <v>60</v>
      </c>
      <c r="H18">
        <v>60</v>
      </c>
      <c r="I18">
        <v>1</v>
      </c>
      <c r="J18">
        <v>1</v>
      </c>
      <c r="K18" t="s">
        <v>86</v>
      </c>
      <c r="P18">
        <v>0</v>
      </c>
      <c r="R18">
        <v>0</v>
      </c>
      <c r="T18">
        <v>0</v>
      </c>
      <c r="U18" t="b">
        <v>0</v>
      </c>
      <c r="Y18">
        <v>0</v>
      </c>
      <c r="Z18">
        <v>7</v>
      </c>
      <c r="AA18">
        <v>2.77777777777777E-2</v>
      </c>
      <c r="AB18">
        <v>2.8571428571428572</v>
      </c>
      <c r="AE18">
        <v>0</v>
      </c>
      <c r="AF18" t="b">
        <v>0</v>
      </c>
    </row>
    <row r="19" spans="1:32" x14ac:dyDescent="0.3">
      <c r="A19" t="s">
        <v>119</v>
      </c>
      <c r="B19" t="s">
        <v>120</v>
      </c>
      <c r="C19" t="s">
        <v>85</v>
      </c>
      <c r="D19">
        <v>95</v>
      </c>
      <c r="E19">
        <v>1675</v>
      </c>
      <c r="F19">
        <v>11</v>
      </c>
      <c r="G19">
        <v>60</v>
      </c>
      <c r="H19">
        <v>60</v>
      </c>
      <c r="I19">
        <v>1</v>
      </c>
      <c r="J19">
        <v>1</v>
      </c>
      <c r="K19" t="s">
        <v>86</v>
      </c>
      <c r="P19">
        <v>0</v>
      </c>
      <c r="R19">
        <v>0</v>
      </c>
      <c r="T19">
        <v>0</v>
      </c>
      <c r="U19" t="b">
        <v>0</v>
      </c>
      <c r="Y19">
        <v>0</v>
      </c>
      <c r="Z19">
        <v>24</v>
      </c>
      <c r="AA19">
        <v>0</v>
      </c>
      <c r="AB19">
        <v>0</v>
      </c>
      <c r="AC19">
        <v>0</v>
      </c>
      <c r="AE19">
        <v>0</v>
      </c>
      <c r="AF19" t="b">
        <v>0</v>
      </c>
    </row>
    <row r="20" spans="1:32" x14ac:dyDescent="0.3">
      <c r="A20" t="s">
        <v>121</v>
      </c>
      <c r="B20" t="s">
        <v>122</v>
      </c>
      <c r="C20" t="s">
        <v>85</v>
      </c>
      <c r="D20">
        <v>196</v>
      </c>
      <c r="E20">
        <v>5636</v>
      </c>
      <c r="F20">
        <v>8</v>
      </c>
      <c r="G20">
        <v>60</v>
      </c>
      <c r="H20">
        <v>60</v>
      </c>
      <c r="I20">
        <v>1</v>
      </c>
      <c r="J20">
        <v>1</v>
      </c>
      <c r="K20" t="s">
        <v>86</v>
      </c>
      <c r="P20">
        <v>0</v>
      </c>
      <c r="R20">
        <v>0</v>
      </c>
      <c r="T20">
        <v>0</v>
      </c>
      <c r="U20" t="b">
        <v>0</v>
      </c>
      <c r="Y20">
        <v>0</v>
      </c>
      <c r="Z20">
        <v>46</v>
      </c>
      <c r="AA20">
        <v>-1.9512195121951199E-2</v>
      </c>
      <c r="AB20">
        <v>-1.7391304347826091</v>
      </c>
      <c r="AD20">
        <v>0</v>
      </c>
      <c r="AE20">
        <v>0</v>
      </c>
      <c r="AF20" t="b">
        <v>0</v>
      </c>
    </row>
    <row r="21" spans="1:32" x14ac:dyDescent="0.3">
      <c r="A21" t="s">
        <v>123</v>
      </c>
      <c r="B21" t="s">
        <v>124</v>
      </c>
      <c r="C21" t="s">
        <v>85</v>
      </c>
      <c r="D21">
        <v>69</v>
      </c>
      <c r="E21">
        <v>1558</v>
      </c>
      <c r="F21">
        <v>12</v>
      </c>
      <c r="G21">
        <v>60</v>
      </c>
      <c r="H21">
        <v>60</v>
      </c>
      <c r="I21">
        <v>1</v>
      </c>
      <c r="J21">
        <v>1</v>
      </c>
      <c r="K21" t="s">
        <v>86</v>
      </c>
      <c r="P21">
        <v>0</v>
      </c>
      <c r="R21">
        <v>0</v>
      </c>
      <c r="T21">
        <v>0</v>
      </c>
      <c r="U21" t="b">
        <v>0</v>
      </c>
      <c r="Y21">
        <v>0</v>
      </c>
      <c r="Z21">
        <v>2</v>
      </c>
      <c r="AA21">
        <v>0</v>
      </c>
      <c r="AB21">
        <v>0</v>
      </c>
      <c r="AE21">
        <v>0</v>
      </c>
      <c r="AF21" t="b">
        <v>0</v>
      </c>
    </row>
    <row r="22" spans="1:32" x14ac:dyDescent="0.3">
      <c r="A22" t="s">
        <v>125</v>
      </c>
      <c r="B22" t="s">
        <v>126</v>
      </c>
      <c r="C22" t="s">
        <v>85</v>
      </c>
      <c r="D22">
        <v>97</v>
      </c>
      <c r="E22">
        <v>1536</v>
      </c>
      <c r="F22">
        <v>11</v>
      </c>
      <c r="G22">
        <v>120</v>
      </c>
      <c r="H22">
        <v>60</v>
      </c>
      <c r="I22">
        <v>1</v>
      </c>
      <c r="J22">
        <v>1</v>
      </c>
      <c r="K22" t="s">
        <v>86</v>
      </c>
      <c r="P22">
        <v>0</v>
      </c>
      <c r="R22">
        <v>0</v>
      </c>
      <c r="T22">
        <v>0</v>
      </c>
      <c r="U22" t="b">
        <v>0</v>
      </c>
      <c r="Y22">
        <v>0</v>
      </c>
      <c r="Z22">
        <v>54</v>
      </c>
      <c r="AA22">
        <v>6.0273972602739E-3</v>
      </c>
      <c r="AB22">
        <v>0.81481481481481477</v>
      </c>
      <c r="AC22">
        <v>1.7543859649122799E-2</v>
      </c>
      <c r="AE22">
        <v>0</v>
      </c>
      <c r="AF22" t="b">
        <v>0</v>
      </c>
    </row>
    <row r="23" spans="1:32" x14ac:dyDescent="0.3">
      <c r="A23" t="s">
        <v>127</v>
      </c>
      <c r="B23" t="s">
        <v>128</v>
      </c>
      <c r="C23" t="s">
        <v>85</v>
      </c>
      <c r="D23">
        <v>778</v>
      </c>
      <c r="E23">
        <v>20360</v>
      </c>
      <c r="F23">
        <v>6</v>
      </c>
      <c r="G23">
        <v>60</v>
      </c>
      <c r="H23">
        <v>60</v>
      </c>
      <c r="I23">
        <v>1</v>
      </c>
      <c r="J23">
        <v>1</v>
      </c>
      <c r="K23" t="s">
        <v>86</v>
      </c>
      <c r="P23">
        <v>0</v>
      </c>
      <c r="R23">
        <v>0</v>
      </c>
      <c r="T23">
        <v>0</v>
      </c>
      <c r="U23" t="b">
        <v>0</v>
      </c>
      <c r="V23">
        <v>4.8794826572604357</v>
      </c>
      <c r="Y23">
        <v>0</v>
      </c>
      <c r="Z23">
        <v>663</v>
      </c>
      <c r="AA23">
        <v>2.9426046688797398E-2</v>
      </c>
      <c r="AB23">
        <v>2.6854485383897151</v>
      </c>
      <c r="AC23">
        <v>3.1696256271709702E-2</v>
      </c>
      <c r="AD23">
        <v>2.5978777899743798E-2</v>
      </c>
      <c r="AE23">
        <v>0</v>
      </c>
      <c r="AF23" t="b">
        <v>0</v>
      </c>
    </row>
    <row r="24" spans="1:32" x14ac:dyDescent="0.3">
      <c r="A24" t="s">
        <v>129</v>
      </c>
      <c r="B24" t="s">
        <v>130</v>
      </c>
      <c r="C24" t="s">
        <v>85</v>
      </c>
      <c r="D24">
        <v>70</v>
      </c>
      <c r="E24">
        <v>535</v>
      </c>
      <c r="F24">
        <v>13</v>
      </c>
      <c r="G24">
        <v>420</v>
      </c>
      <c r="H24">
        <v>60</v>
      </c>
      <c r="I24">
        <v>1</v>
      </c>
      <c r="J24">
        <v>1</v>
      </c>
      <c r="K24" t="s">
        <v>86</v>
      </c>
      <c r="P24">
        <v>0</v>
      </c>
      <c r="R24">
        <v>0</v>
      </c>
      <c r="T24">
        <v>0</v>
      </c>
      <c r="U24" t="b">
        <v>0</v>
      </c>
      <c r="V24">
        <v>0</v>
      </c>
      <c r="Y24">
        <v>0</v>
      </c>
      <c r="Z24">
        <v>24</v>
      </c>
      <c r="AA24">
        <v>0</v>
      </c>
      <c r="AB24">
        <v>0</v>
      </c>
      <c r="AC24">
        <v>0</v>
      </c>
      <c r="AD24">
        <v>0</v>
      </c>
      <c r="AE24">
        <v>0</v>
      </c>
      <c r="AF24" t="b">
        <v>0</v>
      </c>
    </row>
    <row r="25" spans="1:32" x14ac:dyDescent="0.3">
      <c r="A25" t="s">
        <v>131</v>
      </c>
      <c r="B25" t="s">
        <v>132</v>
      </c>
      <c r="C25" t="s">
        <v>85</v>
      </c>
      <c r="D25">
        <v>124</v>
      </c>
      <c r="E25">
        <v>2308</v>
      </c>
      <c r="F25">
        <v>15</v>
      </c>
      <c r="G25">
        <v>60</v>
      </c>
      <c r="H25">
        <v>60</v>
      </c>
      <c r="I25">
        <v>1</v>
      </c>
      <c r="J25">
        <v>1</v>
      </c>
      <c r="K25" t="s">
        <v>86</v>
      </c>
      <c r="P25">
        <v>0</v>
      </c>
      <c r="R25">
        <v>0</v>
      </c>
      <c r="T25">
        <v>0</v>
      </c>
      <c r="U25" t="b">
        <v>0</v>
      </c>
      <c r="Y25">
        <v>0</v>
      </c>
      <c r="Z25">
        <v>0</v>
      </c>
      <c r="AE25">
        <v>0</v>
      </c>
      <c r="AF25" t="b">
        <v>0</v>
      </c>
    </row>
    <row r="26" spans="1:32" x14ac:dyDescent="0.3">
      <c r="A26" t="s">
        <v>133</v>
      </c>
      <c r="B26" t="s">
        <v>134</v>
      </c>
      <c r="C26" t="s">
        <v>85</v>
      </c>
      <c r="D26">
        <v>74</v>
      </c>
      <c r="E26">
        <v>1154</v>
      </c>
      <c r="F26">
        <v>6</v>
      </c>
      <c r="G26">
        <v>120</v>
      </c>
      <c r="H26">
        <v>60</v>
      </c>
      <c r="I26">
        <v>1</v>
      </c>
      <c r="J26">
        <v>1</v>
      </c>
      <c r="K26" t="s">
        <v>86</v>
      </c>
      <c r="P26">
        <v>0</v>
      </c>
      <c r="R26">
        <v>0</v>
      </c>
      <c r="T26">
        <v>0</v>
      </c>
      <c r="U26" t="b">
        <v>0</v>
      </c>
      <c r="V26">
        <v>0</v>
      </c>
      <c r="Y26">
        <v>0</v>
      </c>
      <c r="Z26">
        <v>20</v>
      </c>
      <c r="AA26">
        <v>0</v>
      </c>
      <c r="AB26">
        <v>0</v>
      </c>
      <c r="AC26">
        <v>0</v>
      </c>
      <c r="AD26">
        <v>0</v>
      </c>
      <c r="AE26">
        <v>0</v>
      </c>
      <c r="AF26" t="b">
        <v>0</v>
      </c>
    </row>
    <row r="27" spans="1:32" x14ac:dyDescent="0.3">
      <c r="A27" t="s">
        <v>135</v>
      </c>
      <c r="B27" t="s">
        <v>136</v>
      </c>
      <c r="C27" t="s">
        <v>85</v>
      </c>
      <c r="D27">
        <v>89</v>
      </c>
      <c r="E27">
        <v>1813</v>
      </c>
      <c r="F27">
        <v>14</v>
      </c>
      <c r="G27">
        <v>120</v>
      </c>
      <c r="H27">
        <v>60</v>
      </c>
      <c r="I27">
        <v>1</v>
      </c>
      <c r="J27">
        <v>1</v>
      </c>
      <c r="K27" t="s">
        <v>86</v>
      </c>
      <c r="P27">
        <v>0</v>
      </c>
      <c r="R27">
        <v>0</v>
      </c>
      <c r="T27">
        <v>0</v>
      </c>
      <c r="U27" t="b">
        <v>0</v>
      </c>
      <c r="Y27">
        <v>0</v>
      </c>
      <c r="Z27">
        <v>8</v>
      </c>
      <c r="AA27">
        <v>0</v>
      </c>
      <c r="AB27">
        <v>0</v>
      </c>
      <c r="AE27">
        <v>0</v>
      </c>
      <c r="AF27" t="b">
        <v>0</v>
      </c>
    </row>
    <row r="28" spans="1:32" x14ac:dyDescent="0.3">
      <c r="A28" t="s">
        <v>137</v>
      </c>
      <c r="B28" t="s">
        <v>138</v>
      </c>
      <c r="C28" t="s">
        <v>85</v>
      </c>
      <c r="D28">
        <v>107</v>
      </c>
      <c r="E28">
        <v>2592</v>
      </c>
      <c r="F28">
        <v>10</v>
      </c>
      <c r="G28">
        <v>60</v>
      </c>
      <c r="H28">
        <v>60</v>
      </c>
      <c r="I28">
        <v>1</v>
      </c>
      <c r="J28">
        <v>1</v>
      </c>
      <c r="K28" t="s">
        <v>86</v>
      </c>
      <c r="P28">
        <v>0</v>
      </c>
      <c r="R28">
        <v>0</v>
      </c>
      <c r="T28">
        <v>0</v>
      </c>
      <c r="U28" t="b">
        <v>0</v>
      </c>
      <c r="Y28">
        <v>0</v>
      </c>
      <c r="Z28">
        <v>60</v>
      </c>
      <c r="AA28">
        <v>0</v>
      </c>
      <c r="AB28">
        <v>0</v>
      </c>
      <c r="AC28">
        <v>0</v>
      </c>
      <c r="AE28">
        <v>0</v>
      </c>
      <c r="AF28" t="b">
        <v>0</v>
      </c>
    </row>
    <row r="29" spans="1:32" x14ac:dyDescent="0.3">
      <c r="A29" t="s">
        <v>139</v>
      </c>
      <c r="B29" t="s">
        <v>140</v>
      </c>
      <c r="C29" t="s">
        <v>85</v>
      </c>
      <c r="D29">
        <v>75</v>
      </c>
      <c r="E29">
        <v>1448</v>
      </c>
      <c r="F29">
        <v>14</v>
      </c>
      <c r="G29">
        <v>60</v>
      </c>
      <c r="H29">
        <v>60</v>
      </c>
      <c r="I29">
        <v>1</v>
      </c>
      <c r="J29">
        <v>1</v>
      </c>
      <c r="K29" t="s">
        <v>86</v>
      </c>
      <c r="P29">
        <v>0</v>
      </c>
      <c r="R29">
        <v>0</v>
      </c>
      <c r="T29">
        <v>0</v>
      </c>
      <c r="U29" t="b">
        <v>0</v>
      </c>
      <c r="Y29">
        <v>0</v>
      </c>
      <c r="Z29">
        <v>50</v>
      </c>
      <c r="AA29">
        <v>-7.4999999999999997E-3</v>
      </c>
      <c r="AB29">
        <v>-0.9</v>
      </c>
      <c r="AC29">
        <v>0</v>
      </c>
      <c r="AE29">
        <v>0</v>
      </c>
      <c r="AF29" t="b">
        <v>0</v>
      </c>
    </row>
    <row r="30" spans="1:32" x14ac:dyDescent="0.3">
      <c r="A30" t="s">
        <v>141</v>
      </c>
      <c r="B30" t="s">
        <v>142</v>
      </c>
      <c r="C30" t="s">
        <v>85</v>
      </c>
      <c r="D30">
        <v>55</v>
      </c>
      <c r="E30">
        <v>785</v>
      </c>
      <c r="F30">
        <v>10</v>
      </c>
      <c r="G30">
        <v>60</v>
      </c>
      <c r="H30">
        <v>60</v>
      </c>
      <c r="I30">
        <v>1</v>
      </c>
      <c r="J30">
        <v>1</v>
      </c>
      <c r="K30" t="s">
        <v>86</v>
      </c>
      <c r="P30">
        <v>0</v>
      </c>
      <c r="R30">
        <v>0</v>
      </c>
      <c r="T30">
        <v>0</v>
      </c>
      <c r="U30" t="b">
        <v>0</v>
      </c>
      <c r="Y30">
        <v>0</v>
      </c>
      <c r="Z30">
        <v>10</v>
      </c>
      <c r="AA30">
        <v>-5.7971014492753603E-2</v>
      </c>
      <c r="AB30">
        <v>-8</v>
      </c>
      <c r="AE30">
        <v>0</v>
      </c>
      <c r="AF30" t="b">
        <v>0</v>
      </c>
    </row>
    <row r="31" spans="1:32" x14ac:dyDescent="0.3">
      <c r="A31" t="s">
        <v>143</v>
      </c>
      <c r="B31" t="s">
        <v>144</v>
      </c>
      <c r="C31" t="s">
        <v>85</v>
      </c>
      <c r="D31">
        <v>51</v>
      </c>
      <c r="E31">
        <v>1236</v>
      </c>
      <c r="F31">
        <v>8</v>
      </c>
      <c r="G31">
        <v>60</v>
      </c>
      <c r="H31">
        <v>60</v>
      </c>
      <c r="I31">
        <v>1</v>
      </c>
      <c r="J31">
        <v>1</v>
      </c>
      <c r="K31" t="s">
        <v>86</v>
      </c>
      <c r="P31">
        <v>0</v>
      </c>
      <c r="R31">
        <v>0</v>
      </c>
      <c r="T31">
        <v>0</v>
      </c>
      <c r="U31" t="b">
        <v>0</v>
      </c>
      <c r="Y31">
        <v>0</v>
      </c>
      <c r="Z31">
        <v>0</v>
      </c>
      <c r="AE31">
        <v>0</v>
      </c>
      <c r="AF31" t="b">
        <v>0</v>
      </c>
    </row>
    <row r="32" spans="1:32" x14ac:dyDescent="0.3">
      <c r="A32" t="s">
        <v>145</v>
      </c>
      <c r="B32" t="s">
        <v>146</v>
      </c>
      <c r="C32" t="s">
        <v>85</v>
      </c>
      <c r="D32">
        <v>82</v>
      </c>
      <c r="E32">
        <v>977</v>
      </c>
      <c r="F32">
        <v>7</v>
      </c>
      <c r="G32">
        <v>60</v>
      </c>
      <c r="H32">
        <v>60</v>
      </c>
      <c r="I32">
        <v>1</v>
      </c>
      <c r="J32">
        <v>1</v>
      </c>
      <c r="K32" t="s">
        <v>86</v>
      </c>
      <c r="P32">
        <v>0</v>
      </c>
      <c r="R32">
        <v>0</v>
      </c>
      <c r="T32">
        <v>0</v>
      </c>
      <c r="U32" t="b">
        <v>0</v>
      </c>
      <c r="Y32">
        <v>0</v>
      </c>
      <c r="Z32">
        <v>0</v>
      </c>
      <c r="AE32">
        <v>0</v>
      </c>
      <c r="AF32" t="b">
        <v>0</v>
      </c>
    </row>
    <row r="33" spans="1:32" x14ac:dyDescent="0.3">
      <c r="A33" t="s">
        <v>147</v>
      </c>
      <c r="B33" t="s">
        <v>148</v>
      </c>
      <c r="C33" t="s">
        <v>85</v>
      </c>
      <c r="D33">
        <v>86</v>
      </c>
      <c r="E33">
        <v>1668</v>
      </c>
      <c r="F33">
        <v>9</v>
      </c>
      <c r="G33">
        <v>60</v>
      </c>
      <c r="H33">
        <v>60</v>
      </c>
      <c r="I33">
        <v>1</v>
      </c>
      <c r="J33">
        <v>1</v>
      </c>
      <c r="K33" t="s">
        <v>86</v>
      </c>
      <c r="P33">
        <v>0</v>
      </c>
      <c r="R33">
        <v>0</v>
      </c>
      <c r="T33">
        <v>0</v>
      </c>
      <c r="U33" t="b">
        <v>0</v>
      </c>
      <c r="V33">
        <v>0</v>
      </c>
      <c r="Y33">
        <v>0</v>
      </c>
      <c r="Z33">
        <v>36</v>
      </c>
      <c r="AA33">
        <v>-2.7100271002710001E-3</v>
      </c>
      <c r="AB33">
        <v>-0.27777777777777779</v>
      </c>
      <c r="AC33">
        <v>0</v>
      </c>
      <c r="AD33">
        <v>-2.0202020202019998E-3</v>
      </c>
      <c r="AE33">
        <v>0</v>
      </c>
      <c r="AF33" t="b">
        <v>0</v>
      </c>
    </row>
    <row r="34" spans="1:32" x14ac:dyDescent="0.3">
      <c r="A34" t="s">
        <v>149</v>
      </c>
      <c r="B34" t="s">
        <v>150</v>
      </c>
      <c r="C34" t="s">
        <v>85</v>
      </c>
      <c r="D34">
        <v>73</v>
      </c>
      <c r="E34">
        <v>1787</v>
      </c>
      <c r="F34">
        <v>6</v>
      </c>
      <c r="G34">
        <v>60</v>
      </c>
      <c r="H34">
        <v>60</v>
      </c>
      <c r="I34">
        <v>1</v>
      </c>
      <c r="J34">
        <v>1</v>
      </c>
      <c r="K34" t="s">
        <v>86</v>
      </c>
      <c r="P34">
        <v>0</v>
      </c>
      <c r="R34">
        <v>0</v>
      </c>
      <c r="T34">
        <v>0</v>
      </c>
      <c r="U34" t="b">
        <v>0</v>
      </c>
      <c r="Y34">
        <v>0</v>
      </c>
      <c r="Z34">
        <v>0</v>
      </c>
      <c r="AE34">
        <v>0</v>
      </c>
      <c r="AF34" t="b">
        <v>0</v>
      </c>
    </row>
    <row r="35" spans="1:32" x14ac:dyDescent="0.3">
      <c r="A35" t="s">
        <v>151</v>
      </c>
      <c r="B35" t="s">
        <v>152</v>
      </c>
      <c r="C35" t="s">
        <v>85</v>
      </c>
      <c r="D35">
        <v>74</v>
      </c>
      <c r="E35">
        <v>1596</v>
      </c>
      <c r="F35">
        <v>7</v>
      </c>
      <c r="G35">
        <v>60</v>
      </c>
      <c r="H35">
        <v>60</v>
      </c>
      <c r="I35">
        <v>1</v>
      </c>
      <c r="J35">
        <v>1</v>
      </c>
      <c r="K35" t="s">
        <v>86</v>
      </c>
      <c r="P35">
        <v>0</v>
      </c>
      <c r="R35">
        <v>0</v>
      </c>
      <c r="T35">
        <v>0</v>
      </c>
      <c r="U35" t="b">
        <v>0</v>
      </c>
      <c r="Y35">
        <v>0</v>
      </c>
      <c r="Z35">
        <v>8</v>
      </c>
      <c r="AA35">
        <v>-3.5714285714285698E-2</v>
      </c>
      <c r="AB35">
        <v>-2.5</v>
      </c>
      <c r="AD35">
        <v>-0.1</v>
      </c>
      <c r="AE35">
        <v>0</v>
      </c>
      <c r="AF35" t="b">
        <v>0</v>
      </c>
    </row>
    <row r="36" spans="1:32" x14ac:dyDescent="0.3">
      <c r="A36" t="s">
        <v>153</v>
      </c>
      <c r="B36" t="s">
        <v>154</v>
      </c>
      <c r="C36" t="s">
        <v>85</v>
      </c>
      <c r="D36">
        <v>69</v>
      </c>
      <c r="E36">
        <v>1267</v>
      </c>
      <c r="F36">
        <v>7</v>
      </c>
      <c r="G36">
        <v>120</v>
      </c>
      <c r="H36">
        <v>60</v>
      </c>
      <c r="I36">
        <v>1</v>
      </c>
      <c r="J36">
        <v>1</v>
      </c>
      <c r="K36" t="s">
        <v>86</v>
      </c>
      <c r="P36">
        <v>0</v>
      </c>
      <c r="R36">
        <v>0</v>
      </c>
      <c r="T36">
        <v>0</v>
      </c>
      <c r="U36" t="b">
        <v>0</v>
      </c>
      <c r="V36">
        <v>0</v>
      </c>
      <c r="Y36">
        <v>0</v>
      </c>
      <c r="Z36">
        <v>0</v>
      </c>
      <c r="AE36">
        <v>0</v>
      </c>
      <c r="AF36" t="b">
        <v>0</v>
      </c>
    </row>
    <row r="37" spans="1:32" x14ac:dyDescent="0.3">
      <c r="A37" t="s">
        <v>155</v>
      </c>
      <c r="B37" t="s">
        <v>156</v>
      </c>
      <c r="C37" t="s">
        <v>85</v>
      </c>
      <c r="D37">
        <v>72</v>
      </c>
      <c r="E37">
        <v>961</v>
      </c>
      <c r="F37">
        <v>10</v>
      </c>
      <c r="G37">
        <v>60</v>
      </c>
      <c r="H37">
        <v>60</v>
      </c>
      <c r="I37">
        <v>1</v>
      </c>
      <c r="J37">
        <v>1</v>
      </c>
      <c r="K37" t="s">
        <v>86</v>
      </c>
      <c r="P37">
        <v>0</v>
      </c>
      <c r="R37">
        <v>0</v>
      </c>
      <c r="T37">
        <v>0</v>
      </c>
      <c r="U37" t="b">
        <v>0</v>
      </c>
      <c r="V37">
        <v>0</v>
      </c>
      <c r="Y37">
        <v>0</v>
      </c>
      <c r="Z37">
        <v>12</v>
      </c>
      <c r="AA37">
        <v>0</v>
      </c>
      <c r="AB37">
        <v>0</v>
      </c>
      <c r="AC37">
        <v>0</v>
      </c>
      <c r="AD37">
        <v>0</v>
      </c>
      <c r="AE37">
        <v>0</v>
      </c>
      <c r="AF37" t="b">
        <v>0</v>
      </c>
    </row>
    <row r="38" spans="1:32" x14ac:dyDescent="0.3">
      <c r="A38" t="s">
        <v>157</v>
      </c>
      <c r="B38" t="s">
        <v>158</v>
      </c>
      <c r="C38" t="s">
        <v>85</v>
      </c>
      <c r="D38">
        <v>153</v>
      </c>
      <c r="E38">
        <v>4211</v>
      </c>
      <c r="F38">
        <v>10</v>
      </c>
      <c r="G38">
        <v>60</v>
      </c>
      <c r="H38">
        <v>60</v>
      </c>
      <c r="I38">
        <v>1</v>
      </c>
      <c r="J38">
        <v>1</v>
      </c>
      <c r="K38" t="s">
        <v>86</v>
      </c>
      <c r="P38">
        <v>0</v>
      </c>
      <c r="R38">
        <v>0</v>
      </c>
      <c r="T38">
        <v>0</v>
      </c>
      <c r="U38" t="b">
        <v>0</v>
      </c>
      <c r="V38">
        <v>0</v>
      </c>
      <c r="Y38">
        <v>0</v>
      </c>
      <c r="Z38">
        <v>21</v>
      </c>
      <c r="AA38">
        <v>0</v>
      </c>
      <c r="AB38">
        <v>0</v>
      </c>
      <c r="AD38">
        <v>0</v>
      </c>
      <c r="AE38">
        <v>0</v>
      </c>
      <c r="AF38" t="b">
        <v>0</v>
      </c>
    </row>
    <row r="39" spans="1:32" x14ac:dyDescent="0.3">
      <c r="A39" t="s">
        <v>159</v>
      </c>
      <c r="B39" t="s">
        <v>160</v>
      </c>
      <c r="C39" t="s">
        <v>85</v>
      </c>
      <c r="D39">
        <v>100</v>
      </c>
      <c r="E39">
        <v>2469</v>
      </c>
      <c r="F39">
        <v>9</v>
      </c>
      <c r="G39">
        <v>60</v>
      </c>
      <c r="H39">
        <v>60</v>
      </c>
      <c r="I39">
        <v>1</v>
      </c>
      <c r="J39">
        <v>1</v>
      </c>
      <c r="K39" t="s">
        <v>86</v>
      </c>
      <c r="P39">
        <v>0</v>
      </c>
      <c r="R39">
        <v>0</v>
      </c>
      <c r="T39">
        <v>0</v>
      </c>
      <c r="U39" t="b">
        <v>0</v>
      </c>
      <c r="Y39">
        <v>0</v>
      </c>
      <c r="Z39">
        <v>0</v>
      </c>
      <c r="AE39">
        <v>0</v>
      </c>
      <c r="AF39" t="b">
        <v>0</v>
      </c>
    </row>
    <row r="40" spans="1:32" x14ac:dyDescent="0.3">
      <c r="A40" t="s">
        <v>161</v>
      </c>
      <c r="B40" t="s">
        <v>162</v>
      </c>
      <c r="C40" t="s">
        <v>85</v>
      </c>
      <c r="D40">
        <v>66</v>
      </c>
      <c r="E40">
        <v>1628</v>
      </c>
      <c r="F40">
        <v>13</v>
      </c>
      <c r="G40">
        <v>60</v>
      </c>
      <c r="H40">
        <v>60</v>
      </c>
      <c r="I40">
        <v>1</v>
      </c>
      <c r="J40">
        <v>1</v>
      </c>
      <c r="K40" t="s">
        <v>86</v>
      </c>
      <c r="P40">
        <v>0</v>
      </c>
      <c r="R40">
        <v>0</v>
      </c>
      <c r="T40">
        <v>0</v>
      </c>
      <c r="U40" t="b">
        <v>0</v>
      </c>
      <c r="Y40">
        <v>0</v>
      </c>
      <c r="Z40">
        <v>34</v>
      </c>
      <c r="AA40">
        <v>0</v>
      </c>
      <c r="AB40">
        <v>0</v>
      </c>
      <c r="AE40">
        <v>0</v>
      </c>
      <c r="AF40" t="b">
        <v>0</v>
      </c>
    </row>
    <row r="41" spans="1:32" x14ac:dyDescent="0.3">
      <c r="A41" t="s">
        <v>163</v>
      </c>
      <c r="B41" t="s">
        <v>164</v>
      </c>
      <c r="C41" t="s">
        <v>85</v>
      </c>
      <c r="D41">
        <v>115</v>
      </c>
      <c r="E41">
        <v>2524</v>
      </c>
      <c r="F41">
        <v>10</v>
      </c>
      <c r="G41">
        <v>60</v>
      </c>
      <c r="H41">
        <v>60</v>
      </c>
      <c r="I41">
        <v>1</v>
      </c>
      <c r="J41">
        <v>1</v>
      </c>
      <c r="K41" t="s">
        <v>86</v>
      </c>
      <c r="P41">
        <v>0</v>
      </c>
      <c r="R41">
        <v>0</v>
      </c>
      <c r="T41">
        <v>0</v>
      </c>
      <c r="U41" t="b">
        <v>0</v>
      </c>
      <c r="Y41">
        <v>0</v>
      </c>
      <c r="Z41">
        <v>0</v>
      </c>
      <c r="AE41">
        <v>0</v>
      </c>
      <c r="AF41" t="b">
        <v>0</v>
      </c>
    </row>
    <row r="42" spans="1:32" x14ac:dyDescent="0.3">
      <c r="A42" t="s">
        <v>165</v>
      </c>
      <c r="B42" t="s">
        <v>166</v>
      </c>
      <c r="C42" t="s">
        <v>85</v>
      </c>
      <c r="D42">
        <v>75</v>
      </c>
      <c r="E42">
        <v>1266</v>
      </c>
      <c r="F42">
        <v>8</v>
      </c>
      <c r="G42">
        <v>120</v>
      </c>
      <c r="H42">
        <v>60</v>
      </c>
      <c r="I42">
        <v>1</v>
      </c>
      <c r="J42">
        <v>1</v>
      </c>
      <c r="K42" t="s">
        <v>86</v>
      </c>
      <c r="P42">
        <v>0</v>
      </c>
      <c r="R42">
        <v>0</v>
      </c>
      <c r="T42">
        <v>0</v>
      </c>
      <c r="U42" t="b">
        <v>0</v>
      </c>
      <c r="V42">
        <v>6.041666666666667</v>
      </c>
      <c r="Y42">
        <v>0</v>
      </c>
      <c r="Z42">
        <v>26</v>
      </c>
      <c r="AA42">
        <v>4.4338033164847538E-5</v>
      </c>
      <c r="AB42">
        <v>5.4945054945052998E-3</v>
      </c>
      <c r="AC42">
        <v>1.95530726256983E-2</v>
      </c>
      <c r="AD42">
        <v>-2.8651292802236199E-2</v>
      </c>
      <c r="AE42">
        <v>0</v>
      </c>
      <c r="AF42" t="b">
        <v>0</v>
      </c>
    </row>
    <row r="43" spans="1:32" x14ac:dyDescent="0.3">
      <c r="A43" t="s">
        <v>167</v>
      </c>
      <c r="B43" t="s">
        <v>168</v>
      </c>
      <c r="C43" t="s">
        <v>85</v>
      </c>
      <c r="D43">
        <v>50</v>
      </c>
      <c r="E43">
        <v>1732</v>
      </c>
      <c r="F43">
        <v>10</v>
      </c>
      <c r="G43">
        <v>120</v>
      </c>
      <c r="H43">
        <v>60</v>
      </c>
      <c r="I43">
        <v>1</v>
      </c>
      <c r="J43">
        <v>1</v>
      </c>
      <c r="K43" t="s">
        <v>86</v>
      </c>
      <c r="P43">
        <v>0</v>
      </c>
      <c r="R43">
        <v>0</v>
      </c>
      <c r="T43">
        <v>0</v>
      </c>
      <c r="U43" t="b">
        <v>0</v>
      </c>
      <c r="Y43">
        <v>0</v>
      </c>
      <c r="Z43">
        <v>21</v>
      </c>
      <c r="AA43">
        <v>0</v>
      </c>
      <c r="AB43">
        <v>0</v>
      </c>
      <c r="AE43">
        <v>0</v>
      </c>
      <c r="AF43" t="b">
        <v>0</v>
      </c>
    </row>
    <row r="44" spans="1:32" x14ac:dyDescent="0.3">
      <c r="A44" t="s">
        <v>169</v>
      </c>
      <c r="B44" t="s">
        <v>170</v>
      </c>
      <c r="C44" t="s">
        <v>85</v>
      </c>
      <c r="D44">
        <v>146</v>
      </c>
      <c r="E44">
        <v>3926</v>
      </c>
      <c r="F44">
        <v>7</v>
      </c>
      <c r="G44">
        <v>60</v>
      </c>
      <c r="H44">
        <v>60</v>
      </c>
      <c r="I44">
        <v>1</v>
      </c>
      <c r="J44">
        <v>1</v>
      </c>
      <c r="K44" t="s">
        <v>86</v>
      </c>
      <c r="P44">
        <v>0</v>
      </c>
      <c r="R44">
        <v>0</v>
      </c>
      <c r="T44">
        <v>0</v>
      </c>
      <c r="U44" t="b">
        <v>0</v>
      </c>
      <c r="Y44">
        <v>0</v>
      </c>
      <c r="Z44">
        <v>50</v>
      </c>
      <c r="AA44">
        <v>3.3018867924528301E-2</v>
      </c>
      <c r="AB44">
        <v>2.1</v>
      </c>
      <c r="AE44">
        <v>0</v>
      </c>
      <c r="AF44" t="b">
        <v>0</v>
      </c>
    </row>
    <row r="45" spans="1:32" x14ac:dyDescent="0.3">
      <c r="A45" t="s">
        <v>171</v>
      </c>
      <c r="B45" t="s">
        <v>172</v>
      </c>
      <c r="C45" t="s">
        <v>85</v>
      </c>
      <c r="D45">
        <v>283</v>
      </c>
      <c r="E45">
        <v>7870</v>
      </c>
      <c r="F45">
        <v>14</v>
      </c>
      <c r="G45">
        <v>60</v>
      </c>
      <c r="H45">
        <v>60</v>
      </c>
      <c r="I45">
        <v>1</v>
      </c>
      <c r="J45">
        <v>1</v>
      </c>
      <c r="K45" t="s">
        <v>86</v>
      </c>
      <c r="P45">
        <v>0</v>
      </c>
      <c r="R45">
        <v>0</v>
      </c>
      <c r="T45">
        <v>0</v>
      </c>
      <c r="U45" t="b">
        <v>0</v>
      </c>
      <c r="Y45">
        <v>0</v>
      </c>
      <c r="Z45">
        <v>134</v>
      </c>
      <c r="AA45">
        <v>9.2420794678802695E-2</v>
      </c>
      <c r="AB45">
        <v>7.8805970149253728</v>
      </c>
      <c r="AC45">
        <v>8.0357142857142794E-2</v>
      </c>
      <c r="AD45">
        <v>4.7331319234642497E-2</v>
      </c>
      <c r="AE45">
        <v>0</v>
      </c>
      <c r="AF45" t="b">
        <v>0</v>
      </c>
    </row>
    <row r="46" spans="1:32" x14ac:dyDescent="0.3">
      <c r="A46" t="s">
        <v>173</v>
      </c>
      <c r="B46" t="s">
        <v>174</v>
      </c>
      <c r="C46" t="s">
        <v>85</v>
      </c>
      <c r="D46">
        <v>175</v>
      </c>
      <c r="E46">
        <v>6202</v>
      </c>
      <c r="F46">
        <v>10</v>
      </c>
      <c r="G46">
        <v>60</v>
      </c>
      <c r="H46">
        <v>60</v>
      </c>
      <c r="I46">
        <v>1</v>
      </c>
      <c r="J46">
        <v>1</v>
      </c>
      <c r="K46" t="s">
        <v>86</v>
      </c>
      <c r="P46">
        <v>0</v>
      </c>
      <c r="R46">
        <v>0</v>
      </c>
      <c r="T46">
        <v>0</v>
      </c>
      <c r="U46" t="b">
        <v>0</v>
      </c>
      <c r="Y46">
        <v>0</v>
      </c>
      <c r="Z46">
        <v>0</v>
      </c>
      <c r="AE46">
        <v>0</v>
      </c>
      <c r="AF46" t="b">
        <v>0</v>
      </c>
    </row>
    <row r="47" spans="1:32" x14ac:dyDescent="0.3">
      <c r="A47" t="s">
        <v>175</v>
      </c>
      <c r="B47" t="s">
        <v>176</v>
      </c>
      <c r="C47" t="s">
        <v>85</v>
      </c>
      <c r="D47">
        <v>90</v>
      </c>
      <c r="E47">
        <v>871</v>
      </c>
      <c r="F47">
        <v>10</v>
      </c>
      <c r="G47">
        <v>120</v>
      </c>
      <c r="H47">
        <v>60</v>
      </c>
      <c r="I47">
        <v>1</v>
      </c>
      <c r="J47">
        <v>1</v>
      </c>
      <c r="K47" t="s">
        <v>86</v>
      </c>
      <c r="P47">
        <v>0</v>
      </c>
      <c r="R47">
        <v>0</v>
      </c>
      <c r="T47">
        <v>0</v>
      </c>
      <c r="U47" t="b">
        <v>0</v>
      </c>
      <c r="Y47">
        <v>0</v>
      </c>
      <c r="Z47">
        <v>44</v>
      </c>
      <c r="AA47">
        <v>0</v>
      </c>
      <c r="AB47">
        <v>0</v>
      </c>
      <c r="AC47">
        <v>0</v>
      </c>
      <c r="AE47">
        <v>0</v>
      </c>
      <c r="AF47" t="b">
        <v>0</v>
      </c>
    </row>
    <row r="48" spans="1:32" x14ac:dyDescent="0.3">
      <c r="A48" t="s">
        <v>177</v>
      </c>
      <c r="B48" t="s">
        <v>178</v>
      </c>
      <c r="C48" t="s">
        <v>85</v>
      </c>
      <c r="D48">
        <v>284</v>
      </c>
      <c r="E48">
        <v>5351</v>
      </c>
      <c r="F48">
        <v>10</v>
      </c>
      <c r="G48">
        <v>60</v>
      </c>
      <c r="H48">
        <v>60</v>
      </c>
      <c r="I48">
        <v>1</v>
      </c>
      <c r="J48">
        <v>1</v>
      </c>
      <c r="K48" t="s">
        <v>86</v>
      </c>
      <c r="P48">
        <v>0</v>
      </c>
      <c r="R48">
        <v>0</v>
      </c>
      <c r="T48">
        <v>0</v>
      </c>
      <c r="U48" t="b">
        <v>0</v>
      </c>
      <c r="V48">
        <v>2.1818181818181821</v>
      </c>
      <c r="Y48">
        <v>0</v>
      </c>
      <c r="Z48">
        <v>164</v>
      </c>
      <c r="AA48">
        <v>3.7739841151474197E-2</v>
      </c>
      <c r="AB48">
        <v>3.7031068524970969</v>
      </c>
      <c r="AC48">
        <v>2.2489539748953902E-2</v>
      </c>
      <c r="AD48">
        <v>3.1746031746031703E-2</v>
      </c>
      <c r="AE48">
        <v>0</v>
      </c>
      <c r="AF48" t="b">
        <v>0</v>
      </c>
    </row>
    <row r="49" spans="1:32" x14ac:dyDescent="0.3">
      <c r="A49" t="s">
        <v>179</v>
      </c>
      <c r="B49" t="s">
        <v>180</v>
      </c>
      <c r="C49" t="s">
        <v>85</v>
      </c>
      <c r="D49">
        <v>109</v>
      </c>
      <c r="E49">
        <v>3462</v>
      </c>
      <c r="F49">
        <v>6</v>
      </c>
      <c r="G49">
        <v>60</v>
      </c>
      <c r="H49">
        <v>60</v>
      </c>
      <c r="I49">
        <v>1</v>
      </c>
      <c r="J49">
        <v>1</v>
      </c>
      <c r="K49" t="s">
        <v>86</v>
      </c>
      <c r="P49">
        <v>0</v>
      </c>
      <c r="R49">
        <v>0</v>
      </c>
      <c r="T49">
        <v>0</v>
      </c>
      <c r="U49" t="b">
        <v>0</v>
      </c>
      <c r="Y49">
        <v>0</v>
      </c>
      <c r="Z49">
        <v>54</v>
      </c>
      <c r="AA49">
        <v>3.8461538461538E-3</v>
      </c>
      <c r="AB49">
        <v>0.27777777777777779</v>
      </c>
      <c r="AC49">
        <v>0</v>
      </c>
      <c r="AE49">
        <v>0</v>
      </c>
      <c r="AF49" t="b">
        <v>0</v>
      </c>
    </row>
    <row r="50" spans="1:32" x14ac:dyDescent="0.3">
      <c r="A50" t="s">
        <v>181</v>
      </c>
      <c r="B50" t="s">
        <v>182</v>
      </c>
      <c r="C50" t="s">
        <v>85</v>
      </c>
      <c r="D50">
        <v>68</v>
      </c>
      <c r="E50">
        <v>1457</v>
      </c>
      <c r="F50">
        <v>5</v>
      </c>
      <c r="G50">
        <v>60</v>
      </c>
      <c r="H50">
        <v>60</v>
      </c>
      <c r="I50">
        <v>1</v>
      </c>
      <c r="J50">
        <v>1</v>
      </c>
      <c r="K50" t="s">
        <v>86</v>
      </c>
      <c r="P50">
        <v>0</v>
      </c>
      <c r="R50">
        <v>0</v>
      </c>
      <c r="T50">
        <v>0</v>
      </c>
      <c r="U50" t="b">
        <v>0</v>
      </c>
      <c r="Y50">
        <v>0</v>
      </c>
      <c r="Z50">
        <v>4</v>
      </c>
      <c r="AA50">
        <v>0</v>
      </c>
      <c r="AB50">
        <v>0</v>
      </c>
      <c r="AE50">
        <v>0</v>
      </c>
      <c r="AF50" t="b">
        <v>0</v>
      </c>
    </row>
    <row r="51" spans="1:32" x14ac:dyDescent="0.3">
      <c r="A51" t="s">
        <v>183</v>
      </c>
      <c r="B51" t="s">
        <v>184</v>
      </c>
      <c r="C51" t="s">
        <v>85</v>
      </c>
      <c r="D51">
        <v>82</v>
      </c>
      <c r="E51">
        <v>1621</v>
      </c>
      <c r="F51">
        <v>7</v>
      </c>
      <c r="G51">
        <v>60</v>
      </c>
      <c r="H51">
        <v>60</v>
      </c>
      <c r="I51">
        <v>1</v>
      </c>
      <c r="J51">
        <v>1</v>
      </c>
      <c r="K51" t="s">
        <v>86</v>
      </c>
      <c r="P51">
        <v>0</v>
      </c>
      <c r="R51">
        <v>0</v>
      </c>
      <c r="T51">
        <v>0</v>
      </c>
      <c r="U51" t="b">
        <v>0</v>
      </c>
      <c r="Y51">
        <v>0</v>
      </c>
      <c r="Z51">
        <v>0</v>
      </c>
      <c r="AE51">
        <v>0</v>
      </c>
      <c r="AF51" t="b">
        <v>0</v>
      </c>
    </row>
    <row r="52" spans="1:32" x14ac:dyDescent="0.3">
      <c r="A52" t="s">
        <v>185</v>
      </c>
      <c r="B52" t="s">
        <v>186</v>
      </c>
      <c r="C52" t="s">
        <v>85</v>
      </c>
      <c r="D52">
        <v>65</v>
      </c>
      <c r="E52">
        <v>830</v>
      </c>
      <c r="F52">
        <v>5</v>
      </c>
      <c r="G52">
        <v>60</v>
      </c>
      <c r="H52">
        <v>60</v>
      </c>
      <c r="I52">
        <v>1</v>
      </c>
      <c r="J52">
        <v>1</v>
      </c>
      <c r="K52" t="s">
        <v>86</v>
      </c>
      <c r="P52">
        <v>0</v>
      </c>
      <c r="R52">
        <v>0</v>
      </c>
      <c r="T52">
        <v>0</v>
      </c>
      <c r="U52" t="b">
        <v>0</v>
      </c>
      <c r="Y52">
        <v>0</v>
      </c>
      <c r="Z52">
        <v>0</v>
      </c>
      <c r="AE52">
        <v>0</v>
      </c>
      <c r="AF52" t="b">
        <v>0</v>
      </c>
    </row>
    <row r="53" spans="1:32" x14ac:dyDescent="0.3">
      <c r="A53" t="s">
        <v>187</v>
      </c>
      <c r="B53" t="s">
        <v>188</v>
      </c>
      <c r="C53" t="s">
        <v>85</v>
      </c>
      <c r="D53">
        <v>50</v>
      </c>
      <c r="E53">
        <v>1315</v>
      </c>
      <c r="F53">
        <v>8</v>
      </c>
      <c r="G53">
        <v>60</v>
      </c>
      <c r="H53">
        <v>60</v>
      </c>
      <c r="I53">
        <v>1</v>
      </c>
      <c r="J53">
        <v>1</v>
      </c>
      <c r="K53" t="s">
        <v>86</v>
      </c>
      <c r="P53">
        <v>0</v>
      </c>
      <c r="R53">
        <v>0</v>
      </c>
      <c r="T53">
        <v>0</v>
      </c>
      <c r="U53" t="b">
        <v>0</v>
      </c>
      <c r="Y53">
        <v>0</v>
      </c>
      <c r="Z53">
        <v>61</v>
      </c>
      <c r="AA53">
        <v>7.6628352490421001E-3</v>
      </c>
      <c r="AB53">
        <v>0.65573770491803274</v>
      </c>
      <c r="AD53">
        <v>0</v>
      </c>
      <c r="AE53">
        <v>0</v>
      </c>
      <c r="AF53" t="b">
        <v>0</v>
      </c>
    </row>
    <row r="54" spans="1:32" x14ac:dyDescent="0.3">
      <c r="A54" t="s">
        <v>189</v>
      </c>
      <c r="B54" t="s">
        <v>190</v>
      </c>
      <c r="C54" t="s">
        <v>85</v>
      </c>
      <c r="D54">
        <v>146</v>
      </c>
      <c r="E54">
        <v>3282</v>
      </c>
      <c r="F54">
        <v>13</v>
      </c>
      <c r="G54">
        <v>120</v>
      </c>
      <c r="H54">
        <v>60</v>
      </c>
      <c r="I54">
        <v>1</v>
      </c>
      <c r="J54">
        <v>1</v>
      </c>
      <c r="K54" t="s">
        <v>86</v>
      </c>
      <c r="P54">
        <v>0</v>
      </c>
      <c r="R54">
        <v>0</v>
      </c>
      <c r="T54">
        <v>0</v>
      </c>
      <c r="U54" t="b">
        <v>0</v>
      </c>
      <c r="Y54">
        <v>0</v>
      </c>
      <c r="Z54">
        <v>144</v>
      </c>
      <c r="AA54">
        <v>0.15625</v>
      </c>
      <c r="AB54">
        <v>22.916666666666671</v>
      </c>
      <c r="AC54">
        <v>5.5555555555555497E-2</v>
      </c>
      <c r="AE54">
        <v>0</v>
      </c>
      <c r="AF54" t="b">
        <v>0</v>
      </c>
    </row>
    <row r="55" spans="1:32" x14ac:dyDescent="0.3">
      <c r="A55" t="s">
        <v>191</v>
      </c>
      <c r="B55" t="s">
        <v>192</v>
      </c>
      <c r="C55" t="s">
        <v>85</v>
      </c>
      <c r="D55">
        <v>64</v>
      </c>
      <c r="E55">
        <v>1188</v>
      </c>
      <c r="F55">
        <v>6</v>
      </c>
      <c r="G55">
        <v>60</v>
      </c>
      <c r="H55">
        <v>60</v>
      </c>
      <c r="I55">
        <v>1</v>
      </c>
      <c r="J55">
        <v>1</v>
      </c>
      <c r="K55" t="s">
        <v>86</v>
      </c>
      <c r="P55">
        <v>0</v>
      </c>
      <c r="R55">
        <v>0</v>
      </c>
      <c r="T55">
        <v>0</v>
      </c>
      <c r="U55" t="b">
        <v>0</v>
      </c>
      <c r="Y55">
        <v>0</v>
      </c>
      <c r="Z55">
        <v>21</v>
      </c>
      <c r="AA55">
        <v>0</v>
      </c>
      <c r="AB55">
        <v>0</v>
      </c>
      <c r="AE55">
        <v>0</v>
      </c>
      <c r="AF55" t="b">
        <v>0</v>
      </c>
    </row>
    <row r="56" spans="1:32" x14ac:dyDescent="0.3">
      <c r="A56" t="s">
        <v>193</v>
      </c>
      <c r="B56" t="s">
        <v>194</v>
      </c>
      <c r="C56" t="s">
        <v>85</v>
      </c>
      <c r="D56">
        <v>84</v>
      </c>
      <c r="E56">
        <v>2205</v>
      </c>
      <c r="F56">
        <v>5</v>
      </c>
      <c r="G56">
        <v>60</v>
      </c>
      <c r="H56">
        <v>60</v>
      </c>
      <c r="I56">
        <v>1</v>
      </c>
      <c r="J56">
        <v>1</v>
      </c>
      <c r="K56" t="s">
        <v>86</v>
      </c>
      <c r="P56">
        <v>0</v>
      </c>
      <c r="R56">
        <v>0</v>
      </c>
      <c r="T56">
        <v>0</v>
      </c>
      <c r="U56" t="b">
        <v>0</v>
      </c>
      <c r="Y56">
        <v>0</v>
      </c>
      <c r="Z56">
        <v>0</v>
      </c>
      <c r="AE56">
        <v>0</v>
      </c>
      <c r="AF56" t="b">
        <v>0</v>
      </c>
    </row>
    <row r="57" spans="1:32" x14ac:dyDescent="0.3">
      <c r="A57" t="s">
        <v>195</v>
      </c>
      <c r="B57" t="s">
        <v>196</v>
      </c>
      <c r="C57" t="s">
        <v>85</v>
      </c>
      <c r="D57">
        <v>449</v>
      </c>
      <c r="E57">
        <v>7667</v>
      </c>
      <c r="F57">
        <v>9</v>
      </c>
      <c r="G57">
        <v>60</v>
      </c>
      <c r="H57">
        <v>60</v>
      </c>
      <c r="I57">
        <v>1</v>
      </c>
      <c r="J57">
        <v>1</v>
      </c>
      <c r="K57" t="s">
        <v>86</v>
      </c>
      <c r="P57">
        <v>0</v>
      </c>
      <c r="R57">
        <v>0</v>
      </c>
      <c r="T57">
        <v>0</v>
      </c>
      <c r="U57" t="b">
        <v>0</v>
      </c>
      <c r="Y57">
        <v>0</v>
      </c>
      <c r="Z57">
        <v>226</v>
      </c>
      <c r="AA57">
        <v>0</v>
      </c>
      <c r="AB57">
        <v>0</v>
      </c>
      <c r="AC57">
        <v>0</v>
      </c>
      <c r="AD57">
        <v>0</v>
      </c>
      <c r="AE57">
        <v>0</v>
      </c>
      <c r="AF57" t="b">
        <v>0</v>
      </c>
    </row>
    <row r="58" spans="1:32" x14ac:dyDescent="0.3">
      <c r="A58" t="s">
        <v>197</v>
      </c>
      <c r="B58" t="s">
        <v>198</v>
      </c>
      <c r="C58" t="s">
        <v>85</v>
      </c>
      <c r="D58">
        <v>296</v>
      </c>
      <c r="E58">
        <v>5939</v>
      </c>
      <c r="F58">
        <v>16</v>
      </c>
      <c r="G58">
        <v>60</v>
      </c>
      <c r="H58">
        <v>60</v>
      </c>
      <c r="I58">
        <v>1</v>
      </c>
      <c r="J58">
        <v>1</v>
      </c>
      <c r="K58" t="s">
        <v>86</v>
      </c>
      <c r="P58">
        <v>0</v>
      </c>
      <c r="R58">
        <v>0</v>
      </c>
      <c r="T58">
        <v>0</v>
      </c>
      <c r="U58" t="b">
        <v>0</v>
      </c>
      <c r="Y58">
        <v>0</v>
      </c>
      <c r="Z58">
        <v>170</v>
      </c>
      <c r="AA58">
        <v>3.8882525136820598E-2</v>
      </c>
      <c r="AB58">
        <v>3.5941176470588241</v>
      </c>
      <c r="AC58">
        <v>0</v>
      </c>
      <c r="AD58">
        <v>0</v>
      </c>
      <c r="AE58">
        <v>0</v>
      </c>
      <c r="AF58" t="b">
        <v>0</v>
      </c>
    </row>
    <row r="59" spans="1:32" x14ac:dyDescent="0.3">
      <c r="A59" t="s">
        <v>199</v>
      </c>
      <c r="B59" t="s">
        <v>200</v>
      </c>
      <c r="C59" t="s">
        <v>85</v>
      </c>
      <c r="D59">
        <v>72</v>
      </c>
      <c r="E59">
        <v>2049</v>
      </c>
      <c r="F59">
        <v>12</v>
      </c>
      <c r="G59">
        <v>60</v>
      </c>
      <c r="H59">
        <v>60</v>
      </c>
      <c r="I59">
        <v>1</v>
      </c>
      <c r="J59">
        <v>1</v>
      </c>
      <c r="K59" t="s">
        <v>86</v>
      </c>
      <c r="P59">
        <v>0</v>
      </c>
      <c r="R59">
        <v>0</v>
      </c>
      <c r="T59">
        <v>0</v>
      </c>
      <c r="U59" t="b">
        <v>0</v>
      </c>
      <c r="Y59">
        <v>0</v>
      </c>
      <c r="Z59">
        <v>0</v>
      </c>
      <c r="AE59">
        <v>0</v>
      </c>
      <c r="AF59" t="b">
        <v>0</v>
      </c>
    </row>
    <row r="60" spans="1:32" x14ac:dyDescent="0.3">
      <c r="A60" t="s">
        <v>201</v>
      </c>
      <c r="B60" t="s">
        <v>202</v>
      </c>
      <c r="C60" t="s">
        <v>85</v>
      </c>
      <c r="D60">
        <v>82</v>
      </c>
      <c r="E60">
        <v>2992</v>
      </c>
      <c r="F60">
        <v>6</v>
      </c>
      <c r="G60">
        <v>60</v>
      </c>
      <c r="H60">
        <v>60</v>
      </c>
      <c r="I60">
        <v>1</v>
      </c>
      <c r="J60">
        <v>1</v>
      </c>
      <c r="K60" t="s">
        <v>86</v>
      </c>
      <c r="P60">
        <v>0</v>
      </c>
      <c r="R60">
        <v>0</v>
      </c>
      <c r="T60">
        <v>0</v>
      </c>
      <c r="U60" t="b">
        <v>0</v>
      </c>
      <c r="Y60">
        <v>0</v>
      </c>
      <c r="Z60">
        <v>93</v>
      </c>
      <c r="AA60">
        <v>0</v>
      </c>
      <c r="AB60">
        <v>0</v>
      </c>
      <c r="AE60">
        <v>0</v>
      </c>
      <c r="AF60" t="b">
        <v>0</v>
      </c>
    </row>
    <row r="61" spans="1:32" x14ac:dyDescent="0.3">
      <c r="A61" t="s">
        <v>203</v>
      </c>
      <c r="B61" t="s">
        <v>204</v>
      </c>
      <c r="C61" t="s">
        <v>85</v>
      </c>
      <c r="D61">
        <v>182</v>
      </c>
      <c r="E61">
        <v>3787</v>
      </c>
      <c r="F61">
        <v>10</v>
      </c>
      <c r="G61">
        <v>60</v>
      </c>
      <c r="H61">
        <v>60</v>
      </c>
      <c r="I61">
        <v>1</v>
      </c>
      <c r="J61">
        <v>1</v>
      </c>
      <c r="K61" t="s">
        <v>86</v>
      </c>
      <c r="P61">
        <v>0</v>
      </c>
      <c r="R61">
        <v>0</v>
      </c>
      <c r="T61">
        <v>0</v>
      </c>
      <c r="U61" t="b">
        <v>0</v>
      </c>
      <c r="V61">
        <v>0</v>
      </c>
      <c r="Y61">
        <v>0</v>
      </c>
      <c r="Z61">
        <v>168</v>
      </c>
      <c r="AA61">
        <v>0</v>
      </c>
      <c r="AB61">
        <v>0</v>
      </c>
      <c r="AC61">
        <v>0</v>
      </c>
      <c r="AD61">
        <v>0</v>
      </c>
      <c r="AE61">
        <v>0</v>
      </c>
      <c r="AF61" t="b">
        <v>0</v>
      </c>
    </row>
    <row r="62" spans="1:32" x14ac:dyDescent="0.3">
      <c r="A62" t="s">
        <v>205</v>
      </c>
      <c r="B62" t="s">
        <v>206</v>
      </c>
      <c r="C62" t="s">
        <v>85</v>
      </c>
      <c r="D62">
        <v>56</v>
      </c>
      <c r="E62">
        <v>782</v>
      </c>
      <c r="F62">
        <v>3</v>
      </c>
      <c r="G62">
        <v>60</v>
      </c>
      <c r="H62">
        <v>60</v>
      </c>
      <c r="I62">
        <v>1</v>
      </c>
      <c r="J62">
        <v>1</v>
      </c>
      <c r="K62" t="s">
        <v>86</v>
      </c>
      <c r="P62">
        <v>0</v>
      </c>
      <c r="R62">
        <v>0</v>
      </c>
      <c r="T62">
        <v>0</v>
      </c>
      <c r="U62" t="b">
        <v>0</v>
      </c>
      <c r="Y62">
        <v>0</v>
      </c>
      <c r="Z62">
        <v>28</v>
      </c>
      <c r="AA62">
        <v>0</v>
      </c>
      <c r="AB62">
        <v>0</v>
      </c>
      <c r="AD62">
        <v>0</v>
      </c>
      <c r="AE62">
        <v>0</v>
      </c>
      <c r="AF62" t="b">
        <v>0</v>
      </c>
    </row>
    <row r="63" spans="1:32" x14ac:dyDescent="0.3">
      <c r="A63" t="s">
        <v>207</v>
      </c>
      <c r="B63" t="s">
        <v>208</v>
      </c>
      <c r="C63" t="s">
        <v>85</v>
      </c>
      <c r="D63">
        <v>67</v>
      </c>
      <c r="E63">
        <v>942</v>
      </c>
      <c r="F63">
        <v>6</v>
      </c>
      <c r="G63">
        <v>180</v>
      </c>
      <c r="H63">
        <v>60</v>
      </c>
      <c r="I63">
        <v>1</v>
      </c>
      <c r="J63">
        <v>1</v>
      </c>
      <c r="K63" t="s">
        <v>86</v>
      </c>
      <c r="P63">
        <v>0</v>
      </c>
      <c r="R63">
        <v>0</v>
      </c>
      <c r="T63">
        <v>0</v>
      </c>
      <c r="U63" t="b">
        <v>0</v>
      </c>
      <c r="Y63">
        <v>0</v>
      </c>
      <c r="Z63">
        <v>0</v>
      </c>
      <c r="AE63">
        <v>0</v>
      </c>
      <c r="AF63" t="b">
        <v>0</v>
      </c>
    </row>
    <row r="64" spans="1:32" x14ac:dyDescent="0.3">
      <c r="A64" t="s">
        <v>209</v>
      </c>
      <c r="B64" t="s">
        <v>210</v>
      </c>
      <c r="C64" t="s">
        <v>85</v>
      </c>
      <c r="D64">
        <v>103</v>
      </c>
      <c r="E64">
        <v>1911</v>
      </c>
      <c r="F64">
        <v>12</v>
      </c>
      <c r="G64">
        <v>60</v>
      </c>
      <c r="H64">
        <v>60</v>
      </c>
      <c r="I64">
        <v>1</v>
      </c>
      <c r="J64">
        <v>1</v>
      </c>
      <c r="K64" t="s">
        <v>86</v>
      </c>
      <c r="P64">
        <v>0</v>
      </c>
      <c r="R64">
        <v>0</v>
      </c>
      <c r="T64">
        <v>0</v>
      </c>
      <c r="U64" t="b">
        <v>0</v>
      </c>
      <c r="V64">
        <v>0</v>
      </c>
      <c r="Y64">
        <v>0</v>
      </c>
      <c r="Z64">
        <v>0</v>
      </c>
      <c r="AE64">
        <v>0</v>
      </c>
      <c r="AF64" t="b">
        <v>0</v>
      </c>
    </row>
    <row r="65" spans="1:32" x14ac:dyDescent="0.3">
      <c r="A65" t="s">
        <v>211</v>
      </c>
      <c r="B65" t="s">
        <v>212</v>
      </c>
      <c r="C65" t="s">
        <v>85</v>
      </c>
      <c r="D65">
        <v>109</v>
      </c>
      <c r="E65">
        <v>1352</v>
      </c>
      <c r="F65">
        <v>10</v>
      </c>
      <c r="G65">
        <v>120</v>
      </c>
      <c r="H65">
        <v>60</v>
      </c>
      <c r="I65">
        <v>1</v>
      </c>
      <c r="J65">
        <v>1</v>
      </c>
      <c r="K65" t="s">
        <v>86</v>
      </c>
      <c r="P65">
        <v>0</v>
      </c>
      <c r="R65">
        <v>0</v>
      </c>
      <c r="T65">
        <v>0</v>
      </c>
      <c r="U65" t="b">
        <v>0</v>
      </c>
      <c r="Y65">
        <v>0</v>
      </c>
      <c r="Z65">
        <v>34</v>
      </c>
      <c r="AA65">
        <v>0</v>
      </c>
      <c r="AB65">
        <v>0</v>
      </c>
      <c r="AD65">
        <v>0</v>
      </c>
      <c r="AE65">
        <v>0</v>
      </c>
      <c r="AF65" t="b">
        <v>0</v>
      </c>
    </row>
    <row r="66" spans="1:32" x14ac:dyDescent="0.3">
      <c r="A66" t="s">
        <v>213</v>
      </c>
      <c r="B66" t="s">
        <v>214</v>
      </c>
      <c r="C66" t="s">
        <v>85</v>
      </c>
      <c r="D66">
        <v>51</v>
      </c>
      <c r="E66">
        <v>408</v>
      </c>
      <c r="F66">
        <v>11</v>
      </c>
      <c r="G66">
        <v>60</v>
      </c>
      <c r="H66">
        <v>60</v>
      </c>
      <c r="I66">
        <v>1</v>
      </c>
      <c r="J66">
        <v>1</v>
      </c>
      <c r="K66" t="s">
        <v>86</v>
      </c>
      <c r="P66">
        <v>0</v>
      </c>
      <c r="R66">
        <v>0</v>
      </c>
      <c r="T66">
        <v>0</v>
      </c>
      <c r="U66" t="b">
        <v>0</v>
      </c>
      <c r="V66">
        <v>5</v>
      </c>
      <c r="Y66">
        <v>0</v>
      </c>
      <c r="Z66">
        <v>16</v>
      </c>
      <c r="AA66">
        <v>1.7481248487781199E-2</v>
      </c>
      <c r="AB66">
        <v>4.3005952380952408</v>
      </c>
      <c r="AC66">
        <v>9.7560975609756101E-2</v>
      </c>
      <c r="AD66">
        <v>6.6265060240963902E-2</v>
      </c>
      <c r="AE66">
        <v>0</v>
      </c>
      <c r="AF66" t="b">
        <v>0</v>
      </c>
    </row>
    <row r="67" spans="1:32" x14ac:dyDescent="0.3">
      <c r="A67" t="s">
        <v>215</v>
      </c>
      <c r="B67" t="s">
        <v>216</v>
      </c>
      <c r="C67" t="s">
        <v>85</v>
      </c>
      <c r="D67">
        <v>91</v>
      </c>
      <c r="E67">
        <v>1537</v>
      </c>
      <c r="F67">
        <v>4</v>
      </c>
      <c r="G67">
        <v>60</v>
      </c>
      <c r="H67">
        <v>60</v>
      </c>
      <c r="I67">
        <v>1</v>
      </c>
      <c r="J67">
        <v>1</v>
      </c>
      <c r="K67" t="s">
        <v>86</v>
      </c>
      <c r="P67">
        <v>0</v>
      </c>
      <c r="R67">
        <v>0</v>
      </c>
      <c r="T67">
        <v>0</v>
      </c>
      <c r="U67" t="b">
        <v>0</v>
      </c>
      <c r="Y67">
        <v>0</v>
      </c>
      <c r="Z67">
        <v>32</v>
      </c>
      <c r="AA67">
        <v>0</v>
      </c>
      <c r="AB67">
        <v>0</v>
      </c>
      <c r="AC67">
        <v>0</v>
      </c>
      <c r="AE67">
        <v>0</v>
      </c>
      <c r="AF67" t="b">
        <v>0</v>
      </c>
    </row>
    <row r="68" spans="1:32" x14ac:dyDescent="0.3">
      <c r="A68" t="s">
        <v>217</v>
      </c>
      <c r="B68" t="s">
        <v>218</v>
      </c>
      <c r="C68" t="s">
        <v>85</v>
      </c>
      <c r="D68">
        <v>67</v>
      </c>
      <c r="E68">
        <v>2684</v>
      </c>
      <c r="F68">
        <v>7</v>
      </c>
      <c r="G68">
        <v>60</v>
      </c>
      <c r="H68">
        <v>60</v>
      </c>
      <c r="I68">
        <v>1</v>
      </c>
      <c r="J68">
        <v>1</v>
      </c>
      <c r="K68" t="s">
        <v>86</v>
      </c>
      <c r="P68">
        <v>0</v>
      </c>
      <c r="R68">
        <v>0</v>
      </c>
      <c r="T68">
        <v>0</v>
      </c>
      <c r="U68" t="b">
        <v>0</v>
      </c>
      <c r="Y68">
        <v>0</v>
      </c>
      <c r="Z68">
        <v>0</v>
      </c>
      <c r="AE68">
        <v>0</v>
      </c>
      <c r="AF68" t="b">
        <v>0</v>
      </c>
    </row>
    <row r="69" spans="1:32" x14ac:dyDescent="0.3">
      <c r="A69" t="s">
        <v>219</v>
      </c>
      <c r="B69" t="s">
        <v>220</v>
      </c>
      <c r="C69" t="s">
        <v>85</v>
      </c>
      <c r="D69">
        <v>156</v>
      </c>
      <c r="E69">
        <v>5765</v>
      </c>
      <c r="F69">
        <v>7</v>
      </c>
      <c r="G69">
        <v>60</v>
      </c>
      <c r="H69">
        <v>60</v>
      </c>
      <c r="I69">
        <v>1</v>
      </c>
      <c r="J69">
        <v>1</v>
      </c>
      <c r="K69" t="s">
        <v>86</v>
      </c>
      <c r="P69">
        <v>0</v>
      </c>
      <c r="R69">
        <v>0</v>
      </c>
      <c r="T69">
        <v>0</v>
      </c>
      <c r="U69" t="b">
        <v>0</v>
      </c>
      <c r="Y69">
        <v>0</v>
      </c>
      <c r="Z69">
        <v>75</v>
      </c>
      <c r="AA69">
        <v>0</v>
      </c>
      <c r="AB69">
        <v>0</v>
      </c>
      <c r="AE69">
        <v>0</v>
      </c>
      <c r="AF69" t="b">
        <v>0</v>
      </c>
    </row>
    <row r="70" spans="1:32" x14ac:dyDescent="0.3">
      <c r="A70" t="s">
        <v>221</v>
      </c>
      <c r="B70" t="s">
        <v>222</v>
      </c>
      <c r="C70" t="s">
        <v>85</v>
      </c>
      <c r="D70">
        <v>81</v>
      </c>
      <c r="E70">
        <v>4779</v>
      </c>
      <c r="F70">
        <v>12</v>
      </c>
      <c r="G70">
        <v>60</v>
      </c>
      <c r="H70">
        <v>60</v>
      </c>
      <c r="I70">
        <v>1</v>
      </c>
      <c r="J70">
        <v>1</v>
      </c>
      <c r="K70" t="s">
        <v>86</v>
      </c>
      <c r="P70">
        <v>0</v>
      </c>
      <c r="R70">
        <v>0</v>
      </c>
      <c r="T70">
        <v>0</v>
      </c>
      <c r="U70" t="b">
        <v>0</v>
      </c>
      <c r="V70">
        <v>1.5384615384615381</v>
      </c>
      <c r="Y70">
        <v>0</v>
      </c>
      <c r="Z70">
        <v>202</v>
      </c>
      <c r="AA70">
        <v>6.5122176118025997E-3</v>
      </c>
      <c r="AB70">
        <v>0.55940594059405946</v>
      </c>
      <c r="AC70">
        <v>1.2674271229404001E-3</v>
      </c>
      <c r="AD70">
        <v>-1.3303769401330301E-2</v>
      </c>
      <c r="AE70">
        <v>0</v>
      </c>
      <c r="AF70" t="b">
        <v>0</v>
      </c>
    </row>
    <row r="71" spans="1:32" x14ac:dyDescent="0.3">
      <c r="A71" t="s">
        <v>223</v>
      </c>
      <c r="B71" t="s">
        <v>224</v>
      </c>
      <c r="C71" t="s">
        <v>85</v>
      </c>
      <c r="D71">
        <v>227</v>
      </c>
      <c r="E71">
        <v>4891</v>
      </c>
      <c r="F71">
        <v>16</v>
      </c>
      <c r="G71">
        <v>60</v>
      </c>
      <c r="H71">
        <v>60</v>
      </c>
      <c r="I71">
        <v>1</v>
      </c>
      <c r="J71">
        <v>1</v>
      </c>
      <c r="K71" t="s">
        <v>86</v>
      </c>
      <c r="P71">
        <v>0</v>
      </c>
      <c r="R71">
        <v>0</v>
      </c>
      <c r="T71">
        <v>0</v>
      </c>
      <c r="U71" t="b">
        <v>0</v>
      </c>
      <c r="V71">
        <v>2.8421052631578951</v>
      </c>
      <c r="Y71">
        <v>0</v>
      </c>
      <c r="Z71">
        <v>149</v>
      </c>
      <c r="AA71">
        <v>-1.2067840834963999E-3</v>
      </c>
      <c r="AB71">
        <v>-0.1064237775647169</v>
      </c>
      <c r="AC71">
        <v>2.31578947368421E-2</v>
      </c>
      <c r="AD71">
        <v>-5.8436213991769501E-2</v>
      </c>
      <c r="AE71">
        <v>0</v>
      </c>
      <c r="AF71" t="b">
        <v>0</v>
      </c>
    </row>
    <row r="72" spans="1:32" x14ac:dyDescent="0.3">
      <c r="A72" t="s">
        <v>225</v>
      </c>
      <c r="B72" t="s">
        <v>226</v>
      </c>
      <c r="C72" t="s">
        <v>85</v>
      </c>
      <c r="D72">
        <v>50</v>
      </c>
      <c r="E72">
        <v>1283</v>
      </c>
      <c r="F72">
        <v>5</v>
      </c>
      <c r="G72">
        <v>60</v>
      </c>
      <c r="H72">
        <v>60</v>
      </c>
      <c r="I72">
        <v>1</v>
      </c>
      <c r="J72">
        <v>1</v>
      </c>
      <c r="K72" t="s">
        <v>86</v>
      </c>
      <c r="P72">
        <v>0</v>
      </c>
      <c r="R72">
        <v>0</v>
      </c>
      <c r="T72">
        <v>0</v>
      </c>
      <c r="U72" t="b">
        <v>0</v>
      </c>
      <c r="V72">
        <v>0</v>
      </c>
      <c r="Y72">
        <v>0</v>
      </c>
      <c r="Z72">
        <v>0</v>
      </c>
      <c r="AE72">
        <v>0</v>
      </c>
      <c r="AF72" t="b">
        <v>0</v>
      </c>
    </row>
    <row r="73" spans="1:32" x14ac:dyDescent="0.3">
      <c r="A73" t="s">
        <v>227</v>
      </c>
      <c r="B73" t="s">
        <v>226</v>
      </c>
      <c r="C73" t="s">
        <v>85</v>
      </c>
      <c r="D73">
        <v>62</v>
      </c>
      <c r="E73">
        <v>2633</v>
      </c>
      <c r="F73">
        <v>7</v>
      </c>
      <c r="G73">
        <v>60</v>
      </c>
      <c r="H73">
        <v>60</v>
      </c>
      <c r="I73">
        <v>1</v>
      </c>
      <c r="J73">
        <v>1</v>
      </c>
      <c r="K73" t="s">
        <v>86</v>
      </c>
      <c r="P73">
        <v>0</v>
      </c>
      <c r="R73">
        <v>0</v>
      </c>
      <c r="T73">
        <v>0</v>
      </c>
      <c r="U73" t="b">
        <v>0</v>
      </c>
      <c r="Y73">
        <v>0</v>
      </c>
      <c r="Z73">
        <v>20</v>
      </c>
      <c r="AA73">
        <v>0</v>
      </c>
      <c r="AB73">
        <v>0</v>
      </c>
      <c r="AC73">
        <v>0</v>
      </c>
      <c r="AD73">
        <v>0</v>
      </c>
      <c r="AE73">
        <v>0</v>
      </c>
      <c r="AF73" t="b">
        <v>0</v>
      </c>
    </row>
    <row r="74" spans="1:32" x14ac:dyDescent="0.3">
      <c r="A74" t="s">
        <v>228</v>
      </c>
      <c r="B74" t="s">
        <v>229</v>
      </c>
      <c r="C74" t="s">
        <v>85</v>
      </c>
      <c r="D74">
        <v>337</v>
      </c>
      <c r="E74">
        <v>10704</v>
      </c>
      <c r="F74">
        <v>10</v>
      </c>
      <c r="G74">
        <v>60</v>
      </c>
      <c r="H74">
        <v>60</v>
      </c>
      <c r="I74">
        <v>1</v>
      </c>
      <c r="J74">
        <v>1</v>
      </c>
      <c r="K74" t="s">
        <v>86</v>
      </c>
      <c r="P74">
        <v>0</v>
      </c>
      <c r="R74">
        <v>0</v>
      </c>
      <c r="T74">
        <v>0</v>
      </c>
      <c r="U74" t="b">
        <v>0</v>
      </c>
      <c r="Y74">
        <v>0</v>
      </c>
      <c r="Z74">
        <v>133</v>
      </c>
      <c r="AA74">
        <v>8.0890538033395104E-2</v>
      </c>
      <c r="AB74">
        <v>7.0247046186895803</v>
      </c>
      <c r="AC74">
        <v>0</v>
      </c>
      <c r="AD74">
        <v>5.2631578947368397E-2</v>
      </c>
      <c r="AE74">
        <v>0</v>
      </c>
      <c r="AF74" t="b">
        <v>0</v>
      </c>
    </row>
    <row r="75" spans="1:32" x14ac:dyDescent="0.3">
      <c r="A75" t="s">
        <v>230</v>
      </c>
      <c r="B75" t="s">
        <v>231</v>
      </c>
      <c r="C75" t="s">
        <v>85</v>
      </c>
      <c r="D75">
        <v>1073</v>
      </c>
      <c r="E75">
        <v>23031</v>
      </c>
      <c r="F75">
        <v>10</v>
      </c>
      <c r="G75">
        <v>60</v>
      </c>
      <c r="H75">
        <v>60</v>
      </c>
      <c r="I75">
        <v>1</v>
      </c>
      <c r="J75">
        <v>1</v>
      </c>
      <c r="K75" t="s">
        <v>86</v>
      </c>
      <c r="P75">
        <v>0</v>
      </c>
      <c r="R75">
        <v>0</v>
      </c>
      <c r="T75">
        <v>0</v>
      </c>
      <c r="U75" t="b">
        <v>0</v>
      </c>
      <c r="Y75">
        <v>0</v>
      </c>
      <c r="Z75">
        <v>639</v>
      </c>
      <c r="AA75">
        <v>8.5522103360416102E-2</v>
      </c>
      <c r="AB75">
        <v>9.1384181806716995</v>
      </c>
      <c r="AC75">
        <v>0.1177053140096618</v>
      </c>
      <c r="AD75">
        <v>6.7199300421337094E-2</v>
      </c>
      <c r="AE75">
        <v>0</v>
      </c>
      <c r="AF75" t="b">
        <v>0</v>
      </c>
    </row>
    <row r="76" spans="1:32" x14ac:dyDescent="0.3">
      <c r="A76" t="s">
        <v>232</v>
      </c>
      <c r="B76" t="s">
        <v>233</v>
      </c>
      <c r="C76" t="s">
        <v>85</v>
      </c>
      <c r="D76">
        <v>483</v>
      </c>
      <c r="E76">
        <v>14775</v>
      </c>
      <c r="F76">
        <v>15</v>
      </c>
      <c r="G76">
        <v>60</v>
      </c>
      <c r="H76">
        <v>60</v>
      </c>
      <c r="I76">
        <v>1</v>
      </c>
      <c r="J76">
        <v>1</v>
      </c>
      <c r="K76" t="s">
        <v>86</v>
      </c>
      <c r="P76">
        <v>0</v>
      </c>
      <c r="R76">
        <v>0</v>
      </c>
      <c r="T76">
        <v>0</v>
      </c>
      <c r="U76" t="b">
        <v>0</v>
      </c>
      <c r="Y76">
        <v>0</v>
      </c>
      <c r="Z76">
        <v>274</v>
      </c>
      <c r="AA76">
        <v>0.1266641088575528</v>
      </c>
      <c r="AB76">
        <v>12.565172054223151</v>
      </c>
      <c r="AC76">
        <v>0.19223313113626411</v>
      </c>
      <c r="AD76">
        <v>9.6867684762010894E-2</v>
      </c>
      <c r="AE76">
        <v>0</v>
      </c>
      <c r="AF76" t="b">
        <v>0</v>
      </c>
    </row>
    <row r="77" spans="1:32" x14ac:dyDescent="0.3">
      <c r="A77" t="s">
        <v>234</v>
      </c>
      <c r="B77" t="s">
        <v>235</v>
      </c>
      <c r="C77" t="s">
        <v>85</v>
      </c>
      <c r="D77">
        <v>80</v>
      </c>
      <c r="E77">
        <v>2193</v>
      </c>
      <c r="F77">
        <v>5</v>
      </c>
      <c r="G77">
        <v>60</v>
      </c>
      <c r="H77">
        <v>60</v>
      </c>
      <c r="I77">
        <v>1</v>
      </c>
      <c r="J77">
        <v>1</v>
      </c>
      <c r="K77" t="s">
        <v>86</v>
      </c>
      <c r="P77">
        <v>0</v>
      </c>
      <c r="R77">
        <v>0</v>
      </c>
      <c r="T77">
        <v>0</v>
      </c>
      <c r="U77" t="b">
        <v>0</v>
      </c>
      <c r="Y77">
        <v>0</v>
      </c>
      <c r="Z77">
        <v>46</v>
      </c>
      <c r="AA77">
        <v>0</v>
      </c>
      <c r="AB77">
        <v>0</v>
      </c>
      <c r="AC77">
        <v>0</v>
      </c>
      <c r="AE77">
        <v>0</v>
      </c>
      <c r="AF77" t="b">
        <v>0</v>
      </c>
    </row>
    <row r="78" spans="1:32" x14ac:dyDescent="0.3">
      <c r="A78" t="s">
        <v>236</v>
      </c>
      <c r="B78" t="s">
        <v>235</v>
      </c>
      <c r="C78" t="s">
        <v>85</v>
      </c>
      <c r="D78">
        <v>153</v>
      </c>
      <c r="E78">
        <v>4135</v>
      </c>
      <c r="F78">
        <v>12</v>
      </c>
      <c r="G78">
        <v>60</v>
      </c>
      <c r="H78">
        <v>60</v>
      </c>
      <c r="I78">
        <v>1</v>
      </c>
      <c r="J78">
        <v>1</v>
      </c>
      <c r="K78" t="s">
        <v>86</v>
      </c>
      <c r="P78">
        <v>0</v>
      </c>
      <c r="R78">
        <v>0</v>
      </c>
      <c r="T78">
        <v>0</v>
      </c>
      <c r="U78" t="b">
        <v>0</v>
      </c>
      <c r="V78">
        <v>0</v>
      </c>
      <c r="Y78">
        <v>0</v>
      </c>
      <c r="Z78">
        <v>80</v>
      </c>
      <c r="AA78">
        <v>0</v>
      </c>
      <c r="AB78">
        <v>0</v>
      </c>
      <c r="AC78">
        <v>0</v>
      </c>
      <c r="AD78">
        <v>0</v>
      </c>
      <c r="AE78">
        <v>0</v>
      </c>
      <c r="AF78" t="b">
        <v>0</v>
      </c>
    </row>
    <row r="79" spans="1:32" x14ac:dyDescent="0.3">
      <c r="A79" t="s">
        <v>237</v>
      </c>
      <c r="B79" t="s">
        <v>238</v>
      </c>
      <c r="C79" t="s">
        <v>85</v>
      </c>
      <c r="D79">
        <v>51</v>
      </c>
      <c r="E79">
        <v>901</v>
      </c>
      <c r="F79">
        <v>9</v>
      </c>
      <c r="G79">
        <v>120</v>
      </c>
      <c r="H79">
        <v>60</v>
      </c>
      <c r="I79">
        <v>1</v>
      </c>
      <c r="J79">
        <v>1</v>
      </c>
      <c r="K79" t="s">
        <v>86</v>
      </c>
      <c r="P79">
        <v>0</v>
      </c>
      <c r="R79">
        <v>0</v>
      </c>
      <c r="T79">
        <v>0</v>
      </c>
      <c r="U79" t="b">
        <v>0</v>
      </c>
      <c r="V79">
        <v>21.25</v>
      </c>
      <c r="Y79">
        <v>0</v>
      </c>
      <c r="Z79">
        <v>34</v>
      </c>
      <c r="AA79">
        <v>5.6088435374149599E-2</v>
      </c>
      <c r="AB79">
        <v>6.9285714285714288</v>
      </c>
      <c r="AC79">
        <v>0.19270833333333329</v>
      </c>
      <c r="AD79">
        <v>6.6666666666666596E-2</v>
      </c>
      <c r="AE79">
        <v>0</v>
      </c>
      <c r="AF79" t="b">
        <v>0</v>
      </c>
    </row>
    <row r="80" spans="1:32" x14ac:dyDescent="0.3">
      <c r="A80" t="s">
        <v>239</v>
      </c>
      <c r="B80" t="s">
        <v>240</v>
      </c>
      <c r="C80" t="s">
        <v>85</v>
      </c>
      <c r="D80">
        <v>50</v>
      </c>
      <c r="E80">
        <v>1108</v>
      </c>
      <c r="F80">
        <v>14</v>
      </c>
      <c r="G80">
        <v>60</v>
      </c>
      <c r="H80">
        <v>60</v>
      </c>
      <c r="I80">
        <v>1</v>
      </c>
      <c r="J80">
        <v>1</v>
      </c>
      <c r="K80" t="s">
        <v>86</v>
      </c>
      <c r="P80">
        <v>0</v>
      </c>
      <c r="R80">
        <v>0</v>
      </c>
      <c r="T80">
        <v>0</v>
      </c>
      <c r="U80" t="b">
        <v>0</v>
      </c>
      <c r="Y80">
        <v>0</v>
      </c>
      <c r="Z80">
        <v>0</v>
      </c>
      <c r="AE80">
        <v>0</v>
      </c>
      <c r="AF80" t="b">
        <v>0</v>
      </c>
    </row>
    <row r="81" spans="1:32" x14ac:dyDescent="0.3">
      <c r="A81" t="s">
        <v>241</v>
      </c>
      <c r="B81" t="s">
        <v>242</v>
      </c>
      <c r="C81" t="s">
        <v>85</v>
      </c>
      <c r="D81">
        <v>55</v>
      </c>
      <c r="E81">
        <v>1568</v>
      </c>
      <c r="F81">
        <v>8</v>
      </c>
      <c r="G81">
        <v>60</v>
      </c>
      <c r="H81">
        <v>60</v>
      </c>
      <c r="I81">
        <v>1</v>
      </c>
      <c r="J81">
        <v>1</v>
      </c>
      <c r="K81" t="s">
        <v>86</v>
      </c>
      <c r="P81">
        <v>0</v>
      </c>
      <c r="R81">
        <v>0</v>
      </c>
      <c r="T81">
        <v>0</v>
      </c>
      <c r="U81" t="b">
        <v>0</v>
      </c>
      <c r="Y81">
        <v>0</v>
      </c>
      <c r="Z81">
        <v>57</v>
      </c>
      <c r="AA81">
        <v>-7.4999999999999997E-3</v>
      </c>
      <c r="AB81">
        <v>-0.63157894736842102</v>
      </c>
      <c r="AC81">
        <v>-5.5555555555555497E-2</v>
      </c>
      <c r="AE81">
        <v>0</v>
      </c>
      <c r="AF81" t="b">
        <v>0</v>
      </c>
    </row>
    <row r="82" spans="1:32" x14ac:dyDescent="0.3">
      <c r="A82" t="s">
        <v>243</v>
      </c>
      <c r="B82" t="s">
        <v>244</v>
      </c>
      <c r="C82" t="s">
        <v>85</v>
      </c>
      <c r="D82">
        <v>54</v>
      </c>
      <c r="E82">
        <v>1520</v>
      </c>
      <c r="F82">
        <v>14</v>
      </c>
      <c r="G82">
        <v>60</v>
      </c>
      <c r="H82">
        <v>60</v>
      </c>
      <c r="I82">
        <v>1</v>
      </c>
      <c r="J82">
        <v>1</v>
      </c>
      <c r="K82" t="s">
        <v>86</v>
      </c>
      <c r="P82">
        <v>0</v>
      </c>
      <c r="R82">
        <v>0</v>
      </c>
      <c r="T82">
        <v>0</v>
      </c>
      <c r="U82" t="b">
        <v>0</v>
      </c>
      <c r="Y82">
        <v>0</v>
      </c>
      <c r="Z82">
        <v>0</v>
      </c>
      <c r="AE82">
        <v>0</v>
      </c>
      <c r="AF82" t="b">
        <v>0</v>
      </c>
    </row>
    <row r="83" spans="1:32" x14ac:dyDescent="0.3">
      <c r="A83" t="s">
        <v>245</v>
      </c>
      <c r="B83" t="s">
        <v>246</v>
      </c>
      <c r="C83" t="s">
        <v>85</v>
      </c>
      <c r="D83">
        <v>257</v>
      </c>
      <c r="E83">
        <v>4973</v>
      </c>
      <c r="F83">
        <v>10</v>
      </c>
      <c r="G83">
        <v>60</v>
      </c>
      <c r="H83">
        <v>60</v>
      </c>
      <c r="I83">
        <v>1</v>
      </c>
      <c r="J83">
        <v>1</v>
      </c>
      <c r="K83" t="s">
        <v>86</v>
      </c>
      <c r="P83">
        <v>0</v>
      </c>
      <c r="R83">
        <v>0</v>
      </c>
      <c r="T83">
        <v>0</v>
      </c>
      <c r="U83" t="b">
        <v>0</v>
      </c>
      <c r="Y83">
        <v>0</v>
      </c>
      <c r="Z83">
        <v>83</v>
      </c>
      <c r="AA83">
        <v>5.1020408163264998E-3</v>
      </c>
      <c r="AB83">
        <v>0.54216867469879515</v>
      </c>
      <c r="AC83">
        <v>0</v>
      </c>
      <c r="AD83">
        <v>0</v>
      </c>
      <c r="AE83">
        <v>0</v>
      </c>
      <c r="AF83" t="b">
        <v>0</v>
      </c>
    </row>
    <row r="84" spans="1:32" x14ac:dyDescent="0.3">
      <c r="A84" t="s">
        <v>247</v>
      </c>
      <c r="B84" t="s">
        <v>248</v>
      </c>
      <c r="C84" t="s">
        <v>85</v>
      </c>
      <c r="D84">
        <v>91</v>
      </c>
      <c r="E84">
        <v>1943</v>
      </c>
      <c r="F84">
        <v>11</v>
      </c>
      <c r="G84">
        <v>120</v>
      </c>
      <c r="H84">
        <v>60</v>
      </c>
      <c r="I84">
        <v>1</v>
      </c>
      <c r="J84">
        <v>1</v>
      </c>
      <c r="K84" t="s">
        <v>86</v>
      </c>
      <c r="P84">
        <v>0</v>
      </c>
      <c r="R84">
        <v>0</v>
      </c>
      <c r="T84">
        <v>0</v>
      </c>
      <c r="U84" t="b">
        <v>0</v>
      </c>
      <c r="Y84">
        <v>0</v>
      </c>
      <c r="Z84">
        <v>22</v>
      </c>
      <c r="AA84">
        <v>-8.5470085470084993E-3</v>
      </c>
      <c r="AB84">
        <v>-0.90909090909090917</v>
      </c>
      <c r="AE84">
        <v>0</v>
      </c>
      <c r="AF84" t="b">
        <v>0</v>
      </c>
    </row>
    <row r="85" spans="1:32" x14ac:dyDescent="0.3">
      <c r="A85" t="s">
        <v>249</v>
      </c>
      <c r="B85" t="s">
        <v>250</v>
      </c>
      <c r="C85" t="s">
        <v>85</v>
      </c>
      <c r="D85">
        <v>156</v>
      </c>
      <c r="E85">
        <v>4539</v>
      </c>
      <c r="F85">
        <v>16</v>
      </c>
      <c r="G85">
        <v>60</v>
      </c>
      <c r="H85">
        <v>60</v>
      </c>
      <c r="I85">
        <v>1</v>
      </c>
      <c r="J85">
        <v>1</v>
      </c>
      <c r="K85" t="s">
        <v>86</v>
      </c>
      <c r="P85">
        <v>0</v>
      </c>
      <c r="R85">
        <v>0</v>
      </c>
      <c r="T85">
        <v>0</v>
      </c>
      <c r="U85" t="b">
        <v>0</v>
      </c>
      <c r="V85">
        <v>1.666666666666667</v>
      </c>
      <c r="Y85">
        <v>0</v>
      </c>
      <c r="Z85">
        <v>75</v>
      </c>
      <c r="AA85">
        <v>-7.0921985815602002E-3</v>
      </c>
      <c r="AB85">
        <v>-0.53333333333333333</v>
      </c>
      <c r="AC85">
        <v>-1.4336917562724E-2</v>
      </c>
      <c r="AD85">
        <v>0</v>
      </c>
      <c r="AE85">
        <v>0</v>
      </c>
      <c r="AF85" t="b">
        <v>0</v>
      </c>
    </row>
    <row r="86" spans="1:32" x14ac:dyDescent="0.3">
      <c r="A86" t="s">
        <v>251</v>
      </c>
      <c r="B86" t="s">
        <v>252</v>
      </c>
      <c r="C86" t="s">
        <v>85</v>
      </c>
      <c r="D86">
        <v>776</v>
      </c>
      <c r="E86">
        <v>18076</v>
      </c>
      <c r="F86">
        <v>13</v>
      </c>
      <c r="G86">
        <v>60</v>
      </c>
      <c r="H86">
        <v>60</v>
      </c>
      <c r="I86">
        <v>1</v>
      </c>
      <c r="J86">
        <v>1</v>
      </c>
      <c r="K86" t="s">
        <v>86</v>
      </c>
      <c r="P86">
        <v>0</v>
      </c>
      <c r="R86">
        <v>0</v>
      </c>
      <c r="T86">
        <v>0</v>
      </c>
      <c r="U86" t="b">
        <v>0</v>
      </c>
      <c r="V86">
        <v>8.5714285714285712</v>
      </c>
      <c r="Y86">
        <v>0</v>
      </c>
      <c r="Z86">
        <v>230</v>
      </c>
      <c r="AA86">
        <v>7.6460765862351995E-2</v>
      </c>
      <c r="AB86">
        <v>6.9163749294184083</v>
      </c>
      <c r="AC86">
        <v>0.1795886946002419</v>
      </c>
      <c r="AD86">
        <v>0.1402777777777777</v>
      </c>
      <c r="AE86">
        <v>0</v>
      </c>
      <c r="AF86" t="b">
        <v>0</v>
      </c>
    </row>
    <row r="87" spans="1:32" x14ac:dyDescent="0.3">
      <c r="A87" t="s">
        <v>253</v>
      </c>
      <c r="B87" t="s">
        <v>254</v>
      </c>
      <c r="C87" t="s">
        <v>85</v>
      </c>
      <c r="D87">
        <v>87</v>
      </c>
      <c r="E87">
        <v>2600</v>
      </c>
      <c r="F87">
        <v>13</v>
      </c>
      <c r="G87">
        <v>60</v>
      </c>
      <c r="H87">
        <v>60</v>
      </c>
      <c r="I87">
        <v>1</v>
      </c>
      <c r="J87">
        <v>1</v>
      </c>
      <c r="K87" t="s">
        <v>86</v>
      </c>
      <c r="P87">
        <v>0</v>
      </c>
      <c r="R87">
        <v>0</v>
      </c>
      <c r="T87">
        <v>0</v>
      </c>
      <c r="U87" t="b">
        <v>0</v>
      </c>
      <c r="Y87">
        <v>0</v>
      </c>
      <c r="Z87">
        <v>45</v>
      </c>
      <c r="AA87">
        <v>0</v>
      </c>
      <c r="AB87">
        <v>0</v>
      </c>
      <c r="AD87">
        <v>0</v>
      </c>
      <c r="AE87">
        <v>0</v>
      </c>
      <c r="AF87" t="b">
        <v>0</v>
      </c>
    </row>
    <row r="88" spans="1:32" x14ac:dyDescent="0.3">
      <c r="A88" t="s">
        <v>255</v>
      </c>
      <c r="B88" t="s">
        <v>256</v>
      </c>
      <c r="C88" t="s">
        <v>85</v>
      </c>
      <c r="D88">
        <v>117</v>
      </c>
      <c r="E88">
        <v>2101</v>
      </c>
      <c r="F88">
        <v>11</v>
      </c>
      <c r="G88">
        <v>60</v>
      </c>
      <c r="H88">
        <v>60</v>
      </c>
      <c r="I88">
        <v>1</v>
      </c>
      <c r="J88">
        <v>1</v>
      </c>
      <c r="K88" t="s">
        <v>86</v>
      </c>
      <c r="P88">
        <v>0</v>
      </c>
      <c r="R88">
        <v>0</v>
      </c>
      <c r="T88">
        <v>0</v>
      </c>
      <c r="U88" t="b">
        <v>0</v>
      </c>
      <c r="Y88">
        <v>0</v>
      </c>
      <c r="Z88">
        <v>20</v>
      </c>
      <c r="AA88">
        <v>5.7446808510638298E-2</v>
      </c>
      <c r="AB88">
        <v>8.1</v>
      </c>
      <c r="AC88">
        <v>0.2857142857142857</v>
      </c>
      <c r="AD88">
        <v>0</v>
      </c>
      <c r="AE88">
        <v>0</v>
      </c>
      <c r="AF88" t="b">
        <v>0</v>
      </c>
    </row>
    <row r="89" spans="1:32" x14ac:dyDescent="0.3">
      <c r="A89" t="s">
        <v>257</v>
      </c>
      <c r="B89" t="s">
        <v>258</v>
      </c>
      <c r="C89" t="s">
        <v>85</v>
      </c>
      <c r="D89">
        <v>54</v>
      </c>
      <c r="E89">
        <v>1871</v>
      </c>
      <c r="F89">
        <v>7</v>
      </c>
      <c r="G89">
        <v>60</v>
      </c>
      <c r="H89">
        <v>60</v>
      </c>
      <c r="I89">
        <v>1</v>
      </c>
      <c r="J89">
        <v>1</v>
      </c>
      <c r="K89" t="s">
        <v>86</v>
      </c>
      <c r="P89">
        <v>0</v>
      </c>
      <c r="R89">
        <v>0</v>
      </c>
      <c r="T89">
        <v>0</v>
      </c>
      <c r="U89" t="b">
        <v>0</v>
      </c>
      <c r="V89">
        <v>0</v>
      </c>
      <c r="Y89">
        <v>0</v>
      </c>
      <c r="Z89">
        <v>9</v>
      </c>
      <c r="AA89">
        <v>0</v>
      </c>
      <c r="AB89">
        <v>0</v>
      </c>
      <c r="AC89">
        <v>0</v>
      </c>
      <c r="AD89">
        <v>0</v>
      </c>
      <c r="AE89">
        <v>0</v>
      </c>
      <c r="AF89" t="b">
        <v>0</v>
      </c>
    </row>
    <row r="90" spans="1:32" x14ac:dyDescent="0.3">
      <c r="A90" t="s">
        <v>259</v>
      </c>
      <c r="B90" t="s">
        <v>260</v>
      </c>
      <c r="C90" t="s">
        <v>85</v>
      </c>
      <c r="D90">
        <v>104</v>
      </c>
      <c r="E90">
        <v>2584</v>
      </c>
      <c r="F90">
        <v>10</v>
      </c>
      <c r="G90">
        <v>60</v>
      </c>
      <c r="H90">
        <v>60</v>
      </c>
      <c r="I90">
        <v>1</v>
      </c>
      <c r="J90">
        <v>1</v>
      </c>
      <c r="K90" t="s">
        <v>86</v>
      </c>
      <c r="P90">
        <v>0</v>
      </c>
      <c r="R90">
        <v>0</v>
      </c>
      <c r="T90">
        <v>0</v>
      </c>
      <c r="U90" t="b">
        <v>0</v>
      </c>
      <c r="Y90">
        <v>0</v>
      </c>
      <c r="Z90">
        <v>28</v>
      </c>
      <c r="AA90">
        <v>8.0952380952380901E-2</v>
      </c>
      <c r="AB90">
        <v>6.0714285714285712</v>
      </c>
      <c r="AE90">
        <v>0</v>
      </c>
      <c r="AF90" t="b">
        <v>0</v>
      </c>
    </row>
    <row r="91" spans="1:32" x14ac:dyDescent="0.3">
      <c r="A91" t="s">
        <v>261</v>
      </c>
      <c r="B91" t="s">
        <v>262</v>
      </c>
      <c r="C91" t="s">
        <v>85</v>
      </c>
      <c r="D91">
        <v>150</v>
      </c>
      <c r="E91">
        <v>4504</v>
      </c>
      <c r="F91">
        <v>7</v>
      </c>
      <c r="G91">
        <v>60</v>
      </c>
      <c r="H91">
        <v>60</v>
      </c>
      <c r="I91">
        <v>1</v>
      </c>
      <c r="J91">
        <v>1</v>
      </c>
      <c r="K91" t="s">
        <v>86</v>
      </c>
      <c r="P91">
        <v>0</v>
      </c>
      <c r="R91">
        <v>0</v>
      </c>
      <c r="T91">
        <v>0</v>
      </c>
      <c r="U91" t="b">
        <v>0</v>
      </c>
      <c r="V91">
        <v>0</v>
      </c>
      <c r="Y91">
        <v>0</v>
      </c>
      <c r="Z91">
        <v>43</v>
      </c>
      <c r="AA91">
        <v>8.2840236686389998E-3</v>
      </c>
      <c r="AB91">
        <v>0.65116279069767447</v>
      </c>
      <c r="AC91">
        <v>2.4390243902439001E-2</v>
      </c>
      <c r="AD91">
        <v>0</v>
      </c>
      <c r="AE91">
        <v>0</v>
      </c>
      <c r="AF91" t="b">
        <v>0</v>
      </c>
    </row>
    <row r="92" spans="1:32" x14ac:dyDescent="0.3">
      <c r="A92" t="s">
        <v>263</v>
      </c>
      <c r="B92" t="s">
        <v>264</v>
      </c>
      <c r="C92" t="s">
        <v>85</v>
      </c>
      <c r="D92">
        <v>69</v>
      </c>
      <c r="E92">
        <v>1190</v>
      </c>
      <c r="F92">
        <v>9</v>
      </c>
      <c r="G92">
        <v>120</v>
      </c>
      <c r="H92">
        <v>60</v>
      </c>
      <c r="I92">
        <v>1</v>
      </c>
      <c r="J92">
        <v>1</v>
      </c>
      <c r="K92" t="s">
        <v>86</v>
      </c>
      <c r="P92">
        <v>0</v>
      </c>
      <c r="R92">
        <v>0</v>
      </c>
      <c r="T92">
        <v>0</v>
      </c>
      <c r="U92" t="b">
        <v>0</v>
      </c>
      <c r="Y92">
        <v>0</v>
      </c>
      <c r="Z92">
        <v>0</v>
      </c>
      <c r="AE92">
        <v>0</v>
      </c>
      <c r="AF92" t="b">
        <v>0</v>
      </c>
    </row>
    <row r="93" spans="1:32" x14ac:dyDescent="0.3">
      <c r="A93" t="s">
        <v>265</v>
      </c>
      <c r="B93" t="s">
        <v>266</v>
      </c>
      <c r="C93" t="s">
        <v>85</v>
      </c>
      <c r="D93">
        <v>97</v>
      </c>
      <c r="E93">
        <v>2771</v>
      </c>
      <c r="F93">
        <v>8</v>
      </c>
      <c r="G93">
        <v>60</v>
      </c>
      <c r="H93">
        <v>60</v>
      </c>
      <c r="I93">
        <v>1</v>
      </c>
      <c r="J93">
        <v>1</v>
      </c>
      <c r="K93" t="s">
        <v>86</v>
      </c>
      <c r="P93">
        <v>0</v>
      </c>
      <c r="R93">
        <v>0</v>
      </c>
      <c r="T93">
        <v>0</v>
      </c>
      <c r="U93" t="b">
        <v>0</v>
      </c>
      <c r="V93">
        <v>0</v>
      </c>
      <c r="Y93">
        <v>0</v>
      </c>
      <c r="Z93">
        <v>54</v>
      </c>
      <c r="AA93">
        <v>8.2278481012649997E-4</v>
      </c>
      <c r="AB93">
        <v>6.8783068783068599E-2</v>
      </c>
      <c r="AC93">
        <v>3.7037037037037E-2</v>
      </c>
      <c r="AD93">
        <v>0</v>
      </c>
      <c r="AE93">
        <v>0</v>
      </c>
      <c r="AF93" t="b">
        <v>0</v>
      </c>
    </row>
    <row r="94" spans="1:32" x14ac:dyDescent="0.3">
      <c r="A94" t="s">
        <v>267</v>
      </c>
      <c r="B94" t="s">
        <v>268</v>
      </c>
      <c r="C94" t="s">
        <v>85</v>
      </c>
      <c r="D94">
        <v>54</v>
      </c>
      <c r="E94">
        <v>876</v>
      </c>
      <c r="F94">
        <v>9</v>
      </c>
      <c r="G94">
        <v>60</v>
      </c>
      <c r="H94">
        <v>60</v>
      </c>
      <c r="I94">
        <v>1</v>
      </c>
      <c r="J94">
        <v>1</v>
      </c>
      <c r="K94" t="s">
        <v>86</v>
      </c>
      <c r="P94">
        <v>0</v>
      </c>
      <c r="R94">
        <v>0</v>
      </c>
      <c r="T94">
        <v>0</v>
      </c>
      <c r="U94" t="b">
        <v>0</v>
      </c>
      <c r="Y94">
        <v>0</v>
      </c>
      <c r="Z94">
        <v>0</v>
      </c>
      <c r="AE94">
        <v>0</v>
      </c>
      <c r="AF94" t="b">
        <v>0</v>
      </c>
    </row>
    <row r="95" spans="1:32" x14ac:dyDescent="0.3">
      <c r="A95" t="s">
        <v>269</v>
      </c>
      <c r="B95" t="s">
        <v>270</v>
      </c>
      <c r="C95" t="s">
        <v>85</v>
      </c>
      <c r="D95">
        <v>366</v>
      </c>
      <c r="E95">
        <v>7989</v>
      </c>
      <c r="F95">
        <v>18</v>
      </c>
      <c r="G95">
        <v>60</v>
      </c>
      <c r="H95">
        <v>60</v>
      </c>
      <c r="I95">
        <v>1</v>
      </c>
      <c r="J95">
        <v>1</v>
      </c>
      <c r="K95" t="s">
        <v>86</v>
      </c>
      <c r="P95">
        <v>0</v>
      </c>
      <c r="R95">
        <v>0</v>
      </c>
      <c r="T95">
        <v>0</v>
      </c>
      <c r="U95" t="b">
        <v>0</v>
      </c>
      <c r="V95">
        <v>7.2898550724637676</v>
      </c>
      <c r="Y95">
        <v>0</v>
      </c>
      <c r="Z95">
        <v>214</v>
      </c>
      <c r="AA95">
        <v>7.36222071053034E-2</v>
      </c>
      <c r="AB95">
        <v>7.7665776591010234</v>
      </c>
      <c r="AC95">
        <v>0.1076865374246935</v>
      </c>
      <c r="AD95">
        <v>3.2125283663243902E-2</v>
      </c>
      <c r="AE95">
        <v>0</v>
      </c>
      <c r="AF95" t="b">
        <v>0</v>
      </c>
    </row>
    <row r="96" spans="1:32" x14ac:dyDescent="0.3">
      <c r="A96" t="s">
        <v>271</v>
      </c>
      <c r="B96" t="s">
        <v>272</v>
      </c>
      <c r="C96" t="s">
        <v>85</v>
      </c>
      <c r="D96">
        <v>224</v>
      </c>
      <c r="E96">
        <v>5457</v>
      </c>
      <c r="F96">
        <v>13</v>
      </c>
      <c r="G96">
        <v>60</v>
      </c>
      <c r="H96">
        <v>60</v>
      </c>
      <c r="I96">
        <v>1</v>
      </c>
      <c r="J96">
        <v>1</v>
      </c>
      <c r="K96" t="s">
        <v>86</v>
      </c>
      <c r="P96">
        <v>0</v>
      </c>
      <c r="R96">
        <v>0</v>
      </c>
      <c r="T96">
        <v>0</v>
      </c>
      <c r="U96" t="b">
        <v>0</v>
      </c>
      <c r="V96">
        <v>0</v>
      </c>
      <c r="Y96">
        <v>0</v>
      </c>
      <c r="Z96">
        <v>183</v>
      </c>
      <c r="AA96">
        <v>7.2742474916387898E-2</v>
      </c>
      <c r="AB96">
        <v>7.1311475409836067</v>
      </c>
      <c r="AD96">
        <v>0.16049382716049379</v>
      </c>
      <c r="AE96">
        <v>0</v>
      </c>
      <c r="AF96" t="b">
        <v>0</v>
      </c>
    </row>
    <row r="97" spans="1:32" x14ac:dyDescent="0.3">
      <c r="A97" t="s">
        <v>273</v>
      </c>
      <c r="B97" t="s">
        <v>274</v>
      </c>
      <c r="C97" t="s">
        <v>85</v>
      </c>
      <c r="D97">
        <v>54</v>
      </c>
      <c r="E97">
        <v>1439</v>
      </c>
      <c r="F97">
        <v>7</v>
      </c>
      <c r="G97">
        <v>60</v>
      </c>
      <c r="H97">
        <v>60</v>
      </c>
      <c r="I97">
        <v>1</v>
      </c>
      <c r="J97">
        <v>1</v>
      </c>
      <c r="K97" t="s">
        <v>86</v>
      </c>
      <c r="P97">
        <v>0</v>
      </c>
      <c r="R97">
        <v>0</v>
      </c>
      <c r="T97">
        <v>0</v>
      </c>
      <c r="U97" t="b">
        <v>0</v>
      </c>
      <c r="Y97">
        <v>0</v>
      </c>
      <c r="Z97">
        <v>0</v>
      </c>
      <c r="AE97">
        <v>0</v>
      </c>
      <c r="AF97" t="b">
        <v>0</v>
      </c>
    </row>
    <row r="98" spans="1:32" x14ac:dyDescent="0.3">
      <c r="A98" t="s">
        <v>275</v>
      </c>
      <c r="B98" t="s">
        <v>276</v>
      </c>
      <c r="C98" t="s">
        <v>85</v>
      </c>
      <c r="D98">
        <v>59</v>
      </c>
      <c r="E98">
        <v>1225</v>
      </c>
      <c r="F98">
        <v>4</v>
      </c>
      <c r="G98">
        <v>60</v>
      </c>
      <c r="H98">
        <v>60</v>
      </c>
      <c r="I98">
        <v>1</v>
      </c>
      <c r="J98">
        <v>1</v>
      </c>
      <c r="K98" t="s">
        <v>86</v>
      </c>
      <c r="P98">
        <v>0</v>
      </c>
      <c r="R98">
        <v>0</v>
      </c>
      <c r="T98">
        <v>0</v>
      </c>
      <c r="U98" t="b">
        <v>0</v>
      </c>
      <c r="Y98">
        <v>0</v>
      </c>
      <c r="Z98">
        <v>0</v>
      </c>
      <c r="AE98">
        <v>0</v>
      </c>
      <c r="AF98" t="b">
        <v>0</v>
      </c>
    </row>
    <row r="99" spans="1:32" x14ac:dyDescent="0.3">
      <c r="A99" t="s">
        <v>277</v>
      </c>
      <c r="B99" t="s">
        <v>278</v>
      </c>
      <c r="C99" t="s">
        <v>85</v>
      </c>
      <c r="D99">
        <v>251</v>
      </c>
      <c r="E99">
        <v>6283</v>
      </c>
      <c r="F99">
        <v>11</v>
      </c>
      <c r="G99">
        <v>60</v>
      </c>
      <c r="H99">
        <v>60</v>
      </c>
      <c r="I99">
        <v>1</v>
      </c>
      <c r="J99">
        <v>1</v>
      </c>
      <c r="K99" t="s">
        <v>86</v>
      </c>
      <c r="P99">
        <v>0</v>
      </c>
      <c r="R99">
        <v>0</v>
      </c>
      <c r="T99">
        <v>0</v>
      </c>
      <c r="U99" t="b">
        <v>0</v>
      </c>
      <c r="Y99">
        <v>0</v>
      </c>
      <c r="Z99">
        <v>105</v>
      </c>
      <c r="AA99">
        <v>6.8965517241379296E-2</v>
      </c>
      <c r="AB99">
        <v>6.0952380952380949</v>
      </c>
      <c r="AD99">
        <v>0.18518518518518509</v>
      </c>
      <c r="AE99">
        <v>0</v>
      </c>
      <c r="AF99" t="b">
        <v>0</v>
      </c>
    </row>
    <row r="100" spans="1:32" x14ac:dyDescent="0.3">
      <c r="A100" t="s">
        <v>279</v>
      </c>
      <c r="B100" t="s">
        <v>280</v>
      </c>
      <c r="C100" t="s">
        <v>85</v>
      </c>
      <c r="D100">
        <v>197</v>
      </c>
      <c r="E100">
        <v>2998</v>
      </c>
      <c r="F100">
        <v>11</v>
      </c>
      <c r="G100">
        <v>60</v>
      </c>
      <c r="H100">
        <v>60</v>
      </c>
      <c r="I100">
        <v>1</v>
      </c>
      <c r="J100">
        <v>1</v>
      </c>
      <c r="K100" t="s">
        <v>86</v>
      </c>
      <c r="P100">
        <v>0</v>
      </c>
      <c r="R100">
        <v>0</v>
      </c>
      <c r="T100">
        <v>0</v>
      </c>
      <c r="U100" t="b">
        <v>0</v>
      </c>
      <c r="V100">
        <v>0</v>
      </c>
      <c r="Y100">
        <v>0</v>
      </c>
      <c r="Z100">
        <v>112</v>
      </c>
      <c r="AA100">
        <v>-1.77287973167225E-2</v>
      </c>
      <c r="AB100">
        <v>-1.982142857142857</v>
      </c>
      <c r="AC100">
        <v>-1.77287973167225E-2</v>
      </c>
      <c r="AD100">
        <v>0</v>
      </c>
      <c r="AE100">
        <v>0</v>
      </c>
      <c r="AF100" t="b">
        <v>0</v>
      </c>
    </row>
    <row r="101" spans="1:32" x14ac:dyDescent="0.3">
      <c r="A101" t="s">
        <v>281</v>
      </c>
      <c r="B101" t="s">
        <v>282</v>
      </c>
      <c r="C101" t="s">
        <v>85</v>
      </c>
      <c r="D101">
        <v>52</v>
      </c>
      <c r="E101">
        <v>1431</v>
      </c>
      <c r="F101">
        <v>7</v>
      </c>
      <c r="G101">
        <v>60</v>
      </c>
      <c r="H101">
        <v>60</v>
      </c>
      <c r="I101">
        <v>1</v>
      </c>
      <c r="J101">
        <v>1</v>
      </c>
      <c r="K101" t="s">
        <v>86</v>
      </c>
      <c r="P101">
        <v>0</v>
      </c>
      <c r="R101">
        <v>0</v>
      </c>
      <c r="T101">
        <v>0</v>
      </c>
      <c r="U101" t="b">
        <v>0</v>
      </c>
      <c r="Y101">
        <v>0</v>
      </c>
      <c r="Z101">
        <v>17</v>
      </c>
      <c r="AA101">
        <v>0</v>
      </c>
      <c r="AB101">
        <v>0</v>
      </c>
      <c r="AE101">
        <v>0</v>
      </c>
      <c r="AF101" t="b">
        <v>0</v>
      </c>
    </row>
    <row r="102" spans="1:32" x14ac:dyDescent="0.3">
      <c r="A102" t="s">
        <v>283</v>
      </c>
      <c r="B102" t="s">
        <v>284</v>
      </c>
      <c r="C102" t="s">
        <v>85</v>
      </c>
      <c r="D102">
        <v>121</v>
      </c>
      <c r="E102">
        <v>2817</v>
      </c>
      <c r="F102">
        <v>13</v>
      </c>
      <c r="G102">
        <v>60</v>
      </c>
      <c r="H102">
        <v>60</v>
      </c>
      <c r="I102">
        <v>1</v>
      </c>
      <c r="J102">
        <v>1</v>
      </c>
      <c r="K102" t="s">
        <v>86</v>
      </c>
      <c r="P102">
        <v>0</v>
      </c>
      <c r="R102">
        <v>0</v>
      </c>
      <c r="T102">
        <v>0</v>
      </c>
      <c r="U102" t="b">
        <v>0</v>
      </c>
      <c r="Y102">
        <v>0</v>
      </c>
      <c r="Z102">
        <v>0</v>
      </c>
      <c r="AE102">
        <v>0</v>
      </c>
      <c r="AF102" t="b">
        <v>0</v>
      </c>
    </row>
    <row r="103" spans="1:32" x14ac:dyDescent="0.3">
      <c r="A103" t="s">
        <v>285</v>
      </c>
      <c r="B103" t="s">
        <v>286</v>
      </c>
      <c r="C103" t="s">
        <v>85</v>
      </c>
      <c r="D103">
        <v>83</v>
      </c>
      <c r="E103">
        <v>732</v>
      </c>
      <c r="F103">
        <v>4</v>
      </c>
      <c r="G103">
        <v>60</v>
      </c>
      <c r="H103">
        <v>60</v>
      </c>
      <c r="I103">
        <v>1</v>
      </c>
      <c r="J103">
        <v>1</v>
      </c>
      <c r="K103" t="s">
        <v>86</v>
      </c>
      <c r="P103">
        <v>0</v>
      </c>
      <c r="R103">
        <v>0</v>
      </c>
      <c r="T103">
        <v>0</v>
      </c>
      <c r="U103" t="b">
        <v>0</v>
      </c>
      <c r="Y103">
        <v>0</v>
      </c>
      <c r="Z103">
        <v>31</v>
      </c>
      <c r="AA103">
        <v>-2.4626865671641698E-2</v>
      </c>
      <c r="AB103">
        <v>-2.129032258064516</v>
      </c>
      <c r="AD103">
        <v>-4.8076923076923002E-3</v>
      </c>
      <c r="AE103">
        <v>0</v>
      </c>
      <c r="AF103" t="b">
        <v>0</v>
      </c>
    </row>
    <row r="104" spans="1:32" x14ac:dyDescent="0.3">
      <c r="A104" t="s">
        <v>287</v>
      </c>
      <c r="B104" t="s">
        <v>288</v>
      </c>
      <c r="C104" t="s">
        <v>85</v>
      </c>
      <c r="D104">
        <v>73</v>
      </c>
      <c r="E104">
        <v>2118</v>
      </c>
      <c r="F104">
        <v>14</v>
      </c>
      <c r="G104">
        <v>60</v>
      </c>
      <c r="H104">
        <v>60</v>
      </c>
      <c r="I104">
        <v>1</v>
      </c>
      <c r="J104">
        <v>1</v>
      </c>
      <c r="K104" t="s">
        <v>86</v>
      </c>
      <c r="P104">
        <v>0</v>
      </c>
      <c r="R104">
        <v>0</v>
      </c>
      <c r="T104">
        <v>0</v>
      </c>
      <c r="U104" t="b">
        <v>0</v>
      </c>
      <c r="Y104">
        <v>0</v>
      </c>
      <c r="Z104">
        <v>0</v>
      </c>
      <c r="AE104">
        <v>0</v>
      </c>
      <c r="AF104" t="b">
        <v>0</v>
      </c>
    </row>
    <row r="105" spans="1:32" x14ac:dyDescent="0.3">
      <c r="A105" t="s">
        <v>289</v>
      </c>
      <c r="B105" t="s">
        <v>290</v>
      </c>
      <c r="C105" t="s">
        <v>85</v>
      </c>
      <c r="D105">
        <v>76</v>
      </c>
      <c r="E105">
        <v>1948</v>
      </c>
      <c r="F105">
        <v>9</v>
      </c>
      <c r="G105">
        <v>60</v>
      </c>
      <c r="H105">
        <v>60</v>
      </c>
      <c r="I105">
        <v>1</v>
      </c>
      <c r="J105">
        <v>1</v>
      </c>
      <c r="K105" t="s">
        <v>86</v>
      </c>
      <c r="P105">
        <v>0</v>
      </c>
      <c r="R105">
        <v>0</v>
      </c>
      <c r="T105">
        <v>0</v>
      </c>
      <c r="U105" t="b">
        <v>0</v>
      </c>
      <c r="Y105">
        <v>0</v>
      </c>
      <c r="Z105">
        <v>9</v>
      </c>
      <c r="AA105">
        <v>0</v>
      </c>
      <c r="AB105">
        <v>0</v>
      </c>
      <c r="AE105">
        <v>0</v>
      </c>
      <c r="AF105" t="b">
        <v>0</v>
      </c>
    </row>
    <row r="106" spans="1:32" x14ac:dyDescent="0.3">
      <c r="A106" t="s">
        <v>291</v>
      </c>
      <c r="B106" t="s">
        <v>292</v>
      </c>
      <c r="C106" t="s">
        <v>85</v>
      </c>
      <c r="D106">
        <v>67</v>
      </c>
      <c r="E106">
        <v>2217</v>
      </c>
      <c r="F106">
        <v>22</v>
      </c>
      <c r="G106">
        <v>60</v>
      </c>
      <c r="H106">
        <v>60</v>
      </c>
      <c r="I106">
        <v>1</v>
      </c>
      <c r="J106">
        <v>1</v>
      </c>
      <c r="K106" t="s">
        <v>86</v>
      </c>
      <c r="P106">
        <v>0</v>
      </c>
      <c r="R106">
        <v>0</v>
      </c>
      <c r="T106">
        <v>0</v>
      </c>
      <c r="U106" t="b">
        <v>0</v>
      </c>
      <c r="Y106">
        <v>0</v>
      </c>
      <c r="Z106">
        <v>24</v>
      </c>
      <c r="AA106">
        <v>0</v>
      </c>
      <c r="AB106">
        <v>0</v>
      </c>
      <c r="AE106">
        <v>0</v>
      </c>
      <c r="AF106" t="b">
        <v>0</v>
      </c>
    </row>
    <row r="107" spans="1:32" x14ac:dyDescent="0.3">
      <c r="A107" t="s">
        <v>293</v>
      </c>
      <c r="B107" t="s">
        <v>294</v>
      </c>
      <c r="C107" t="s">
        <v>85</v>
      </c>
      <c r="D107">
        <v>50</v>
      </c>
      <c r="E107">
        <v>818</v>
      </c>
      <c r="F107">
        <v>11</v>
      </c>
      <c r="G107">
        <v>60</v>
      </c>
      <c r="H107">
        <v>60</v>
      </c>
      <c r="I107">
        <v>1</v>
      </c>
      <c r="J107">
        <v>1</v>
      </c>
      <c r="K107" t="s">
        <v>86</v>
      </c>
      <c r="P107">
        <v>0</v>
      </c>
      <c r="R107">
        <v>0</v>
      </c>
      <c r="T107">
        <v>0</v>
      </c>
      <c r="U107" t="b">
        <v>0</v>
      </c>
      <c r="Y107">
        <v>0</v>
      </c>
      <c r="Z107">
        <v>0</v>
      </c>
      <c r="AE107">
        <v>0</v>
      </c>
      <c r="AF107" t="b">
        <v>0</v>
      </c>
    </row>
    <row r="108" spans="1:32" x14ac:dyDescent="0.3">
      <c r="A108" t="s">
        <v>295</v>
      </c>
      <c r="B108" t="s">
        <v>296</v>
      </c>
      <c r="C108" t="s">
        <v>85</v>
      </c>
      <c r="D108">
        <v>97</v>
      </c>
      <c r="E108">
        <v>2505</v>
      </c>
      <c r="F108">
        <v>8</v>
      </c>
      <c r="G108">
        <v>60</v>
      </c>
      <c r="H108">
        <v>60</v>
      </c>
      <c r="I108">
        <v>1</v>
      </c>
      <c r="J108">
        <v>1</v>
      </c>
      <c r="K108" t="s">
        <v>86</v>
      </c>
      <c r="P108">
        <v>0</v>
      </c>
      <c r="R108">
        <v>0</v>
      </c>
      <c r="T108">
        <v>0</v>
      </c>
      <c r="U108" t="b">
        <v>0</v>
      </c>
      <c r="Y108">
        <v>0</v>
      </c>
      <c r="Z108">
        <v>34</v>
      </c>
      <c r="AA108">
        <v>0</v>
      </c>
      <c r="AB108">
        <v>0</v>
      </c>
      <c r="AE108">
        <v>0</v>
      </c>
      <c r="AF108" t="b">
        <v>0</v>
      </c>
    </row>
    <row r="109" spans="1:32" x14ac:dyDescent="0.3">
      <c r="A109" t="s">
        <v>297</v>
      </c>
      <c r="B109" t="s">
        <v>298</v>
      </c>
      <c r="C109" t="s">
        <v>85</v>
      </c>
      <c r="D109">
        <v>102</v>
      </c>
      <c r="E109">
        <v>2746</v>
      </c>
      <c r="F109">
        <v>10</v>
      </c>
      <c r="G109">
        <v>60</v>
      </c>
      <c r="H109">
        <v>60</v>
      </c>
      <c r="I109">
        <v>1</v>
      </c>
      <c r="J109">
        <v>1</v>
      </c>
      <c r="K109" t="s">
        <v>86</v>
      </c>
      <c r="P109">
        <v>0</v>
      </c>
      <c r="R109">
        <v>0</v>
      </c>
      <c r="T109">
        <v>0</v>
      </c>
      <c r="U109" t="b">
        <v>0</v>
      </c>
      <c r="V109">
        <v>27.6</v>
      </c>
      <c r="Y109">
        <v>0</v>
      </c>
      <c r="Z109">
        <v>143</v>
      </c>
      <c r="AA109">
        <v>0.1031182492720954</v>
      </c>
      <c r="AB109">
        <v>7.3120213120213116</v>
      </c>
      <c r="AC109">
        <v>0.2260273972602739</v>
      </c>
      <c r="AD109">
        <v>0</v>
      </c>
      <c r="AE109">
        <v>0</v>
      </c>
      <c r="AF109" t="b">
        <v>0</v>
      </c>
    </row>
    <row r="110" spans="1:32" x14ac:dyDescent="0.3">
      <c r="A110" t="s">
        <v>299</v>
      </c>
      <c r="B110" t="s">
        <v>298</v>
      </c>
      <c r="C110" t="s">
        <v>85</v>
      </c>
      <c r="D110">
        <v>77</v>
      </c>
      <c r="E110">
        <v>2047</v>
      </c>
      <c r="F110">
        <v>13</v>
      </c>
      <c r="G110">
        <v>60</v>
      </c>
      <c r="H110">
        <v>60</v>
      </c>
      <c r="I110">
        <v>1</v>
      </c>
      <c r="J110">
        <v>1</v>
      </c>
      <c r="K110" t="s">
        <v>86</v>
      </c>
      <c r="P110">
        <v>0</v>
      </c>
      <c r="R110">
        <v>0</v>
      </c>
      <c r="T110">
        <v>0</v>
      </c>
      <c r="U110" t="b">
        <v>0</v>
      </c>
      <c r="Y110">
        <v>0</v>
      </c>
      <c r="Z110">
        <v>68</v>
      </c>
      <c r="AA110">
        <v>2.2549019607843099E-2</v>
      </c>
      <c r="AB110">
        <v>1.6911764705882351</v>
      </c>
      <c r="AE110">
        <v>0</v>
      </c>
      <c r="AF110" t="b">
        <v>0</v>
      </c>
    </row>
    <row r="111" spans="1:32" x14ac:dyDescent="0.3">
      <c r="A111" t="s">
        <v>300</v>
      </c>
      <c r="B111" t="s">
        <v>301</v>
      </c>
      <c r="C111" t="s">
        <v>85</v>
      </c>
      <c r="D111">
        <v>90</v>
      </c>
      <c r="E111">
        <v>2085</v>
      </c>
      <c r="F111">
        <v>12</v>
      </c>
      <c r="G111">
        <v>120</v>
      </c>
      <c r="H111">
        <v>60</v>
      </c>
      <c r="I111">
        <v>1</v>
      </c>
      <c r="J111">
        <v>1</v>
      </c>
      <c r="K111" t="s">
        <v>86</v>
      </c>
      <c r="P111">
        <v>0</v>
      </c>
      <c r="R111">
        <v>0</v>
      </c>
      <c r="T111">
        <v>0</v>
      </c>
      <c r="U111" t="b">
        <v>0</v>
      </c>
      <c r="Y111">
        <v>0</v>
      </c>
      <c r="Z111">
        <v>1</v>
      </c>
      <c r="AA111">
        <v>0</v>
      </c>
      <c r="AB111">
        <v>0</v>
      </c>
      <c r="AE111">
        <v>0</v>
      </c>
      <c r="AF111" t="b">
        <v>0</v>
      </c>
    </row>
    <row r="112" spans="1:32" x14ac:dyDescent="0.3">
      <c r="A112" t="s">
        <v>302</v>
      </c>
      <c r="B112" t="s">
        <v>303</v>
      </c>
      <c r="C112" t="s">
        <v>85</v>
      </c>
      <c r="D112">
        <v>55</v>
      </c>
      <c r="E112">
        <v>677</v>
      </c>
      <c r="F112">
        <v>6</v>
      </c>
      <c r="G112">
        <v>60</v>
      </c>
      <c r="H112">
        <v>60</v>
      </c>
      <c r="I112">
        <v>1</v>
      </c>
      <c r="J112">
        <v>1</v>
      </c>
      <c r="K112" t="s">
        <v>86</v>
      </c>
      <c r="P112">
        <v>0</v>
      </c>
      <c r="R112">
        <v>0</v>
      </c>
      <c r="T112">
        <v>0</v>
      </c>
      <c r="U112" t="b">
        <v>0</v>
      </c>
      <c r="Y112">
        <v>0</v>
      </c>
      <c r="Z112">
        <v>0</v>
      </c>
      <c r="AE112">
        <v>0</v>
      </c>
      <c r="AF112" t="b">
        <v>0</v>
      </c>
    </row>
    <row r="113" spans="1:32" x14ac:dyDescent="0.3">
      <c r="A113" t="s">
        <v>304</v>
      </c>
      <c r="B113" t="s">
        <v>305</v>
      </c>
      <c r="C113" t="s">
        <v>85</v>
      </c>
      <c r="D113">
        <v>87</v>
      </c>
      <c r="E113">
        <v>1199</v>
      </c>
      <c r="F113">
        <v>9</v>
      </c>
      <c r="G113">
        <v>120</v>
      </c>
      <c r="H113">
        <v>60</v>
      </c>
      <c r="I113">
        <v>1</v>
      </c>
      <c r="J113">
        <v>1</v>
      </c>
      <c r="K113" t="s">
        <v>86</v>
      </c>
      <c r="P113">
        <v>0</v>
      </c>
      <c r="R113">
        <v>0</v>
      </c>
      <c r="T113">
        <v>0</v>
      </c>
      <c r="U113" t="b">
        <v>0</v>
      </c>
      <c r="Y113">
        <v>0</v>
      </c>
      <c r="Z113">
        <v>9</v>
      </c>
      <c r="AA113">
        <v>0</v>
      </c>
      <c r="AB113">
        <v>0</v>
      </c>
      <c r="AE113">
        <v>0</v>
      </c>
      <c r="AF113" t="b">
        <v>0</v>
      </c>
    </row>
    <row r="114" spans="1:32" x14ac:dyDescent="0.3">
      <c r="A114" t="s">
        <v>306</v>
      </c>
      <c r="B114" t="s">
        <v>307</v>
      </c>
      <c r="C114" t="s">
        <v>85</v>
      </c>
      <c r="D114">
        <v>71</v>
      </c>
      <c r="E114">
        <v>1715</v>
      </c>
      <c r="F114">
        <v>10</v>
      </c>
      <c r="G114">
        <v>60</v>
      </c>
      <c r="H114">
        <v>60</v>
      </c>
      <c r="I114">
        <v>1</v>
      </c>
      <c r="J114">
        <v>1</v>
      </c>
      <c r="K114" t="s">
        <v>86</v>
      </c>
      <c r="P114">
        <v>0</v>
      </c>
      <c r="R114">
        <v>0</v>
      </c>
      <c r="T114">
        <v>0</v>
      </c>
      <c r="U114" t="b">
        <v>0</v>
      </c>
      <c r="Y114">
        <v>0</v>
      </c>
      <c r="Z114">
        <v>103</v>
      </c>
      <c r="AA114">
        <v>0</v>
      </c>
      <c r="AB114">
        <v>0</v>
      </c>
      <c r="AE114">
        <v>0</v>
      </c>
      <c r="AF114" t="b">
        <v>0</v>
      </c>
    </row>
    <row r="115" spans="1:32" x14ac:dyDescent="0.3">
      <c r="A115" t="s">
        <v>308</v>
      </c>
      <c r="B115" t="s">
        <v>309</v>
      </c>
      <c r="C115" t="s">
        <v>85</v>
      </c>
      <c r="D115">
        <v>250</v>
      </c>
      <c r="E115">
        <v>7923</v>
      </c>
      <c r="F115">
        <v>13</v>
      </c>
      <c r="G115">
        <v>60</v>
      </c>
      <c r="H115">
        <v>60</v>
      </c>
      <c r="I115">
        <v>1</v>
      </c>
      <c r="J115">
        <v>1</v>
      </c>
      <c r="K115" t="s">
        <v>86</v>
      </c>
      <c r="P115">
        <v>0</v>
      </c>
      <c r="R115">
        <v>0</v>
      </c>
      <c r="T115">
        <v>0</v>
      </c>
      <c r="U115" t="b">
        <v>0</v>
      </c>
      <c r="Y115">
        <v>0</v>
      </c>
      <c r="Z115">
        <v>33</v>
      </c>
      <c r="AA115">
        <v>0</v>
      </c>
      <c r="AB115">
        <v>0</v>
      </c>
      <c r="AE115">
        <v>0</v>
      </c>
      <c r="AF115" t="b">
        <v>0</v>
      </c>
    </row>
    <row r="116" spans="1:32" x14ac:dyDescent="0.3">
      <c r="A116" t="s">
        <v>310</v>
      </c>
      <c r="B116" t="s">
        <v>311</v>
      </c>
      <c r="C116" t="s">
        <v>85</v>
      </c>
      <c r="D116">
        <v>617</v>
      </c>
      <c r="E116">
        <v>10095</v>
      </c>
      <c r="F116">
        <v>12</v>
      </c>
      <c r="G116">
        <v>60</v>
      </c>
      <c r="H116">
        <v>60</v>
      </c>
      <c r="I116">
        <v>1</v>
      </c>
      <c r="J116">
        <v>1</v>
      </c>
      <c r="K116" t="s">
        <v>86</v>
      </c>
      <c r="P116">
        <v>0</v>
      </c>
      <c r="R116">
        <v>0</v>
      </c>
      <c r="T116">
        <v>0</v>
      </c>
      <c r="U116" t="b">
        <v>0</v>
      </c>
      <c r="V116">
        <v>9.3422818791946316</v>
      </c>
      <c r="Y116">
        <v>0</v>
      </c>
      <c r="Z116">
        <v>369</v>
      </c>
      <c r="AA116">
        <v>5.1012987545067098E-2</v>
      </c>
      <c r="AB116">
        <v>4.4990966576332436</v>
      </c>
      <c r="AC116">
        <v>0.1013348588863463</v>
      </c>
      <c r="AD116">
        <v>2.0377867746288799E-2</v>
      </c>
      <c r="AE116">
        <v>0</v>
      </c>
      <c r="AF116" t="b">
        <v>0</v>
      </c>
    </row>
    <row r="117" spans="1:32" x14ac:dyDescent="0.3">
      <c r="A117" t="s">
        <v>312</v>
      </c>
      <c r="B117" t="s">
        <v>313</v>
      </c>
      <c r="C117" t="s">
        <v>85</v>
      </c>
      <c r="D117">
        <v>74</v>
      </c>
      <c r="E117">
        <v>803</v>
      </c>
      <c r="F117">
        <v>15</v>
      </c>
      <c r="G117">
        <v>60</v>
      </c>
      <c r="H117">
        <v>60</v>
      </c>
      <c r="I117">
        <v>1</v>
      </c>
      <c r="J117">
        <v>1</v>
      </c>
      <c r="K117" t="s">
        <v>86</v>
      </c>
      <c r="P117">
        <v>0</v>
      </c>
      <c r="R117">
        <v>0</v>
      </c>
      <c r="T117">
        <v>0</v>
      </c>
      <c r="U117" t="b">
        <v>0</v>
      </c>
      <c r="Y117">
        <v>0</v>
      </c>
      <c r="Z117">
        <v>0</v>
      </c>
      <c r="AE117">
        <v>0</v>
      </c>
      <c r="AF117" t="b">
        <v>0</v>
      </c>
    </row>
    <row r="118" spans="1:32" x14ac:dyDescent="0.3">
      <c r="A118" t="s">
        <v>314</v>
      </c>
      <c r="B118" t="s">
        <v>315</v>
      </c>
      <c r="C118" t="s">
        <v>85</v>
      </c>
      <c r="D118">
        <v>91</v>
      </c>
      <c r="E118">
        <v>2521</v>
      </c>
      <c r="F118">
        <v>9</v>
      </c>
      <c r="G118">
        <v>60</v>
      </c>
      <c r="H118">
        <v>60</v>
      </c>
      <c r="I118">
        <v>1</v>
      </c>
      <c r="J118">
        <v>1</v>
      </c>
      <c r="K118" t="s">
        <v>86</v>
      </c>
      <c r="P118">
        <v>0</v>
      </c>
      <c r="R118">
        <v>0</v>
      </c>
      <c r="T118">
        <v>0</v>
      </c>
      <c r="U118" t="b">
        <v>0</v>
      </c>
      <c r="Y118">
        <v>0</v>
      </c>
      <c r="Z118">
        <v>1</v>
      </c>
      <c r="AA118">
        <v>0</v>
      </c>
      <c r="AB118">
        <v>0</v>
      </c>
      <c r="AD118">
        <v>0</v>
      </c>
      <c r="AE118">
        <v>0</v>
      </c>
      <c r="AF118" t="b">
        <v>0</v>
      </c>
    </row>
    <row r="119" spans="1:32" x14ac:dyDescent="0.3">
      <c r="A119" t="s">
        <v>316</v>
      </c>
      <c r="B119" t="s">
        <v>317</v>
      </c>
      <c r="C119" t="s">
        <v>85</v>
      </c>
      <c r="D119">
        <v>133</v>
      </c>
      <c r="E119">
        <v>3143</v>
      </c>
      <c r="F119">
        <v>13</v>
      </c>
      <c r="G119">
        <v>60</v>
      </c>
      <c r="H119">
        <v>60</v>
      </c>
      <c r="I119">
        <v>1</v>
      </c>
      <c r="J119">
        <v>1</v>
      </c>
      <c r="K119" t="s">
        <v>86</v>
      </c>
      <c r="P119">
        <v>0</v>
      </c>
      <c r="R119">
        <v>0</v>
      </c>
      <c r="T119">
        <v>0</v>
      </c>
      <c r="U119" t="b">
        <v>0</v>
      </c>
      <c r="Y119">
        <v>0</v>
      </c>
      <c r="Z119">
        <v>4</v>
      </c>
      <c r="AA119">
        <v>0.125</v>
      </c>
      <c r="AB119">
        <v>15</v>
      </c>
      <c r="AE119">
        <v>0</v>
      </c>
      <c r="AF119" t="b">
        <v>0</v>
      </c>
    </row>
    <row r="120" spans="1:32" x14ac:dyDescent="0.3">
      <c r="A120" t="s">
        <v>318</v>
      </c>
      <c r="B120" t="s">
        <v>319</v>
      </c>
      <c r="C120" t="s">
        <v>85</v>
      </c>
      <c r="D120">
        <v>84</v>
      </c>
      <c r="E120">
        <v>2338</v>
      </c>
      <c r="F120">
        <v>7</v>
      </c>
      <c r="G120">
        <v>60</v>
      </c>
      <c r="H120">
        <v>60</v>
      </c>
      <c r="I120">
        <v>1</v>
      </c>
      <c r="J120">
        <v>1</v>
      </c>
      <c r="K120" t="s">
        <v>86</v>
      </c>
      <c r="P120">
        <v>0</v>
      </c>
      <c r="R120">
        <v>0</v>
      </c>
      <c r="T120">
        <v>0</v>
      </c>
      <c r="U120" t="b">
        <v>0</v>
      </c>
      <c r="Y120">
        <v>0</v>
      </c>
      <c r="Z120">
        <v>0</v>
      </c>
      <c r="AE120">
        <v>0</v>
      </c>
      <c r="AF120" t="b">
        <v>0</v>
      </c>
    </row>
    <row r="121" spans="1:32" x14ac:dyDescent="0.3">
      <c r="A121" t="s">
        <v>320</v>
      </c>
      <c r="B121" t="s">
        <v>321</v>
      </c>
      <c r="C121" t="s">
        <v>85</v>
      </c>
      <c r="D121">
        <v>115</v>
      </c>
      <c r="E121">
        <v>2938</v>
      </c>
      <c r="F121">
        <v>11</v>
      </c>
      <c r="G121">
        <v>60</v>
      </c>
      <c r="H121">
        <v>60</v>
      </c>
      <c r="I121">
        <v>1</v>
      </c>
      <c r="J121">
        <v>1</v>
      </c>
      <c r="K121" t="s">
        <v>86</v>
      </c>
      <c r="P121">
        <v>0</v>
      </c>
      <c r="R121">
        <v>0</v>
      </c>
      <c r="T121">
        <v>0</v>
      </c>
      <c r="U121" t="b">
        <v>0</v>
      </c>
      <c r="Y121">
        <v>0</v>
      </c>
      <c r="Z121">
        <v>75</v>
      </c>
      <c r="AA121">
        <v>3.6805555555555501E-2</v>
      </c>
      <c r="AB121">
        <v>3.5333333333333332</v>
      </c>
      <c r="AC121">
        <v>1.38888888888888E-2</v>
      </c>
      <c r="AE121">
        <v>0</v>
      </c>
      <c r="AF121" t="b">
        <v>0</v>
      </c>
    </row>
    <row r="122" spans="1:32" x14ac:dyDescent="0.3">
      <c r="A122" t="s">
        <v>322</v>
      </c>
      <c r="B122" t="s">
        <v>323</v>
      </c>
      <c r="C122" t="s">
        <v>85</v>
      </c>
      <c r="D122">
        <v>128</v>
      </c>
      <c r="E122">
        <v>2663</v>
      </c>
      <c r="F122">
        <v>4</v>
      </c>
      <c r="G122">
        <v>60</v>
      </c>
      <c r="H122">
        <v>60</v>
      </c>
      <c r="I122">
        <v>1</v>
      </c>
      <c r="J122">
        <v>1</v>
      </c>
      <c r="K122" t="s">
        <v>86</v>
      </c>
      <c r="P122">
        <v>0</v>
      </c>
      <c r="R122">
        <v>0</v>
      </c>
      <c r="T122">
        <v>0</v>
      </c>
      <c r="U122" t="b">
        <v>0</v>
      </c>
      <c r="Y122">
        <v>0</v>
      </c>
      <c r="Z122">
        <v>27</v>
      </c>
      <c r="AA122">
        <v>0</v>
      </c>
      <c r="AB122">
        <v>0</v>
      </c>
      <c r="AC122">
        <v>0</v>
      </c>
      <c r="AD122">
        <v>0</v>
      </c>
      <c r="AE122">
        <v>0</v>
      </c>
      <c r="AF122" t="b">
        <v>0</v>
      </c>
    </row>
    <row r="123" spans="1:32" x14ac:dyDescent="0.3">
      <c r="A123" t="s">
        <v>324</v>
      </c>
      <c r="B123" t="s">
        <v>325</v>
      </c>
      <c r="C123" t="s">
        <v>85</v>
      </c>
      <c r="D123">
        <v>61</v>
      </c>
      <c r="E123">
        <v>926</v>
      </c>
      <c r="F123">
        <v>14</v>
      </c>
      <c r="G123">
        <v>60</v>
      </c>
      <c r="H123">
        <v>60</v>
      </c>
      <c r="I123">
        <v>1</v>
      </c>
      <c r="J123">
        <v>1</v>
      </c>
      <c r="K123" t="s">
        <v>86</v>
      </c>
      <c r="P123">
        <v>0</v>
      </c>
      <c r="R123">
        <v>0</v>
      </c>
      <c r="T123">
        <v>0</v>
      </c>
      <c r="U123" t="b">
        <v>0</v>
      </c>
      <c r="Y123">
        <v>0</v>
      </c>
      <c r="Z123">
        <v>0</v>
      </c>
      <c r="AE123">
        <v>0</v>
      </c>
      <c r="AF123" t="b">
        <v>0</v>
      </c>
    </row>
    <row r="124" spans="1:32" x14ac:dyDescent="0.3">
      <c r="A124" t="s">
        <v>326</v>
      </c>
      <c r="B124" t="s">
        <v>327</v>
      </c>
      <c r="C124" t="s">
        <v>85</v>
      </c>
      <c r="D124">
        <v>90</v>
      </c>
      <c r="E124">
        <v>1978</v>
      </c>
      <c r="F124">
        <v>7</v>
      </c>
      <c r="G124">
        <v>60</v>
      </c>
      <c r="H124">
        <v>60</v>
      </c>
      <c r="I124">
        <v>1</v>
      </c>
      <c r="J124">
        <v>1</v>
      </c>
      <c r="K124" t="s">
        <v>86</v>
      </c>
      <c r="P124">
        <v>0</v>
      </c>
      <c r="R124">
        <v>0</v>
      </c>
      <c r="T124">
        <v>0</v>
      </c>
      <c r="U124" t="b">
        <v>0</v>
      </c>
      <c r="V124">
        <v>0</v>
      </c>
      <c r="Y124">
        <v>0</v>
      </c>
      <c r="Z124">
        <v>12</v>
      </c>
      <c r="AA124">
        <v>0</v>
      </c>
      <c r="AB124">
        <v>0</v>
      </c>
      <c r="AD124">
        <v>0</v>
      </c>
      <c r="AE124">
        <v>0</v>
      </c>
      <c r="AF124" t="b">
        <v>0</v>
      </c>
    </row>
    <row r="125" spans="1:32" x14ac:dyDescent="0.3">
      <c r="A125" t="s">
        <v>328</v>
      </c>
      <c r="B125" t="s">
        <v>329</v>
      </c>
      <c r="C125" t="s">
        <v>85</v>
      </c>
      <c r="D125">
        <v>157</v>
      </c>
      <c r="E125">
        <v>1793</v>
      </c>
      <c r="F125">
        <v>8</v>
      </c>
      <c r="G125">
        <v>60</v>
      </c>
      <c r="H125">
        <v>60</v>
      </c>
      <c r="I125">
        <v>1</v>
      </c>
      <c r="J125">
        <v>1</v>
      </c>
      <c r="K125" t="s">
        <v>86</v>
      </c>
      <c r="P125">
        <v>0</v>
      </c>
      <c r="R125">
        <v>0</v>
      </c>
      <c r="T125">
        <v>0</v>
      </c>
      <c r="U125" t="b">
        <v>0</v>
      </c>
      <c r="V125">
        <v>0</v>
      </c>
      <c r="Y125">
        <v>0</v>
      </c>
      <c r="Z125">
        <v>33</v>
      </c>
      <c r="AA125">
        <v>0</v>
      </c>
      <c r="AB125">
        <v>0</v>
      </c>
      <c r="AC125">
        <v>0</v>
      </c>
      <c r="AD125">
        <v>0</v>
      </c>
      <c r="AE125">
        <v>0</v>
      </c>
      <c r="AF125" t="b">
        <v>0</v>
      </c>
    </row>
    <row r="126" spans="1:32" x14ac:dyDescent="0.3">
      <c r="A126" t="s">
        <v>330</v>
      </c>
      <c r="B126" t="s">
        <v>329</v>
      </c>
      <c r="C126" t="s">
        <v>85</v>
      </c>
      <c r="D126">
        <v>84</v>
      </c>
      <c r="E126">
        <v>1072</v>
      </c>
      <c r="F126">
        <v>16</v>
      </c>
      <c r="G126">
        <v>60</v>
      </c>
      <c r="H126">
        <v>60</v>
      </c>
      <c r="I126">
        <v>1</v>
      </c>
      <c r="J126">
        <v>1</v>
      </c>
      <c r="K126" t="s">
        <v>86</v>
      </c>
      <c r="P126">
        <v>0</v>
      </c>
      <c r="R126">
        <v>0</v>
      </c>
      <c r="T126">
        <v>0</v>
      </c>
      <c r="U126" t="b">
        <v>0</v>
      </c>
      <c r="V126">
        <v>0</v>
      </c>
      <c r="Y126">
        <v>0</v>
      </c>
      <c r="Z126">
        <v>13</v>
      </c>
      <c r="AA126">
        <v>0</v>
      </c>
      <c r="AB126">
        <v>0</v>
      </c>
      <c r="AC126">
        <v>0</v>
      </c>
      <c r="AD126">
        <v>0</v>
      </c>
      <c r="AE126">
        <v>0</v>
      </c>
      <c r="AF126" t="b">
        <v>0</v>
      </c>
    </row>
    <row r="127" spans="1:32" x14ac:dyDescent="0.3">
      <c r="A127" t="s">
        <v>331</v>
      </c>
      <c r="B127" t="s">
        <v>332</v>
      </c>
      <c r="C127" t="s">
        <v>85</v>
      </c>
      <c r="D127">
        <v>61</v>
      </c>
      <c r="E127">
        <v>1992</v>
      </c>
      <c r="F127">
        <v>10</v>
      </c>
      <c r="G127">
        <v>60</v>
      </c>
      <c r="H127">
        <v>60</v>
      </c>
      <c r="I127">
        <v>1</v>
      </c>
      <c r="J127">
        <v>1</v>
      </c>
      <c r="K127" t="s">
        <v>86</v>
      </c>
      <c r="P127">
        <v>0</v>
      </c>
      <c r="R127">
        <v>0</v>
      </c>
      <c r="T127">
        <v>0</v>
      </c>
      <c r="U127" t="b">
        <v>0</v>
      </c>
      <c r="Y127">
        <v>0</v>
      </c>
      <c r="Z127">
        <v>105</v>
      </c>
      <c r="AA127">
        <v>1.2820512820512799E-2</v>
      </c>
      <c r="AB127">
        <v>1.333333333333333</v>
      </c>
      <c r="AD127">
        <v>0</v>
      </c>
      <c r="AE127">
        <v>0</v>
      </c>
      <c r="AF127" t="b">
        <v>0</v>
      </c>
    </row>
    <row r="128" spans="1:32" x14ac:dyDescent="0.3">
      <c r="A128" t="s">
        <v>333</v>
      </c>
      <c r="B128" t="s">
        <v>334</v>
      </c>
      <c r="C128" t="s">
        <v>85</v>
      </c>
      <c r="D128">
        <v>58</v>
      </c>
      <c r="E128">
        <v>1808</v>
      </c>
      <c r="F128">
        <v>19</v>
      </c>
      <c r="G128">
        <v>60</v>
      </c>
      <c r="H128">
        <v>60</v>
      </c>
      <c r="I128">
        <v>1</v>
      </c>
      <c r="J128">
        <v>1</v>
      </c>
      <c r="K128" t="s">
        <v>86</v>
      </c>
      <c r="P128">
        <v>0</v>
      </c>
      <c r="R128">
        <v>0</v>
      </c>
      <c r="T128">
        <v>0</v>
      </c>
      <c r="U128" t="b">
        <v>0</v>
      </c>
      <c r="Y128">
        <v>0</v>
      </c>
      <c r="Z128">
        <v>9</v>
      </c>
      <c r="AA128">
        <v>0</v>
      </c>
      <c r="AB128">
        <v>0</v>
      </c>
      <c r="AE128">
        <v>0</v>
      </c>
      <c r="AF128" t="b">
        <v>0</v>
      </c>
    </row>
    <row r="129" spans="1:32" x14ac:dyDescent="0.3">
      <c r="A129" t="s">
        <v>335</v>
      </c>
      <c r="B129" t="s">
        <v>336</v>
      </c>
      <c r="C129" t="s">
        <v>85</v>
      </c>
      <c r="D129">
        <v>2393</v>
      </c>
      <c r="E129">
        <v>77536</v>
      </c>
      <c r="F129">
        <v>47</v>
      </c>
      <c r="G129">
        <v>60</v>
      </c>
      <c r="H129">
        <v>60</v>
      </c>
      <c r="I129">
        <v>1</v>
      </c>
      <c r="J129">
        <v>1</v>
      </c>
      <c r="K129" t="s">
        <v>86</v>
      </c>
      <c r="P129">
        <v>0</v>
      </c>
      <c r="R129">
        <v>0</v>
      </c>
      <c r="T129">
        <v>0</v>
      </c>
      <c r="U129" t="b">
        <v>0</v>
      </c>
      <c r="Y129">
        <v>0</v>
      </c>
      <c r="Z129">
        <v>2053</v>
      </c>
      <c r="AA129">
        <v>8.3283281506619095E-2</v>
      </c>
      <c r="AB129">
        <v>8.1628163199035093</v>
      </c>
      <c r="AC129">
        <v>0.13831879799033081</v>
      </c>
      <c r="AD129">
        <v>9.4991789819376005E-2</v>
      </c>
      <c r="AE129">
        <v>0</v>
      </c>
      <c r="AF129" t="b">
        <v>0</v>
      </c>
    </row>
    <row r="130" spans="1:32" x14ac:dyDescent="0.3">
      <c r="A130" t="s">
        <v>337</v>
      </c>
      <c r="B130" t="s">
        <v>338</v>
      </c>
      <c r="C130" t="s">
        <v>85</v>
      </c>
      <c r="D130">
        <v>233</v>
      </c>
      <c r="E130">
        <v>5302</v>
      </c>
      <c r="F130">
        <v>8</v>
      </c>
      <c r="G130">
        <v>60</v>
      </c>
      <c r="H130">
        <v>60</v>
      </c>
      <c r="I130">
        <v>1</v>
      </c>
      <c r="J130">
        <v>1</v>
      </c>
      <c r="K130" t="s">
        <v>86</v>
      </c>
      <c r="P130">
        <v>0</v>
      </c>
      <c r="R130">
        <v>0</v>
      </c>
      <c r="T130">
        <v>0</v>
      </c>
      <c r="U130" t="b">
        <v>0</v>
      </c>
      <c r="Y130">
        <v>0</v>
      </c>
      <c r="Z130">
        <v>227</v>
      </c>
      <c r="AA130">
        <v>2.7322404371584001E-3</v>
      </c>
      <c r="AB130">
        <v>0.26431718061674009</v>
      </c>
      <c r="AC130">
        <v>0</v>
      </c>
      <c r="AD130">
        <v>0</v>
      </c>
      <c r="AE130">
        <v>0</v>
      </c>
      <c r="AF130" t="b">
        <v>0</v>
      </c>
    </row>
    <row r="131" spans="1:32" x14ac:dyDescent="0.3">
      <c r="A131" t="s">
        <v>339</v>
      </c>
      <c r="B131" t="s">
        <v>340</v>
      </c>
      <c r="C131" t="s">
        <v>85</v>
      </c>
      <c r="D131">
        <v>92</v>
      </c>
      <c r="E131">
        <v>1294</v>
      </c>
      <c r="F131">
        <v>9</v>
      </c>
      <c r="G131">
        <v>60</v>
      </c>
      <c r="H131">
        <v>60</v>
      </c>
      <c r="I131">
        <v>1</v>
      </c>
      <c r="J131">
        <v>1</v>
      </c>
      <c r="K131" t="s">
        <v>86</v>
      </c>
      <c r="P131">
        <v>0</v>
      </c>
      <c r="R131">
        <v>0</v>
      </c>
      <c r="T131">
        <v>0</v>
      </c>
      <c r="U131" t="b">
        <v>0</v>
      </c>
      <c r="Y131">
        <v>0</v>
      </c>
      <c r="Z131">
        <v>7</v>
      </c>
      <c r="AA131">
        <v>0</v>
      </c>
      <c r="AB131">
        <v>0</v>
      </c>
      <c r="AE131">
        <v>0</v>
      </c>
      <c r="AF131" t="b">
        <v>0</v>
      </c>
    </row>
    <row r="132" spans="1:32" x14ac:dyDescent="0.3">
      <c r="A132" t="s">
        <v>341</v>
      </c>
      <c r="B132" t="s">
        <v>342</v>
      </c>
      <c r="C132" t="s">
        <v>85</v>
      </c>
      <c r="D132">
        <v>103</v>
      </c>
      <c r="E132">
        <v>2688</v>
      </c>
      <c r="F132">
        <v>5</v>
      </c>
      <c r="G132">
        <v>60</v>
      </c>
      <c r="H132">
        <v>60</v>
      </c>
      <c r="I132">
        <v>1</v>
      </c>
      <c r="J132">
        <v>1</v>
      </c>
      <c r="K132" t="s">
        <v>86</v>
      </c>
      <c r="P132">
        <v>0</v>
      </c>
      <c r="R132">
        <v>0</v>
      </c>
      <c r="T132">
        <v>0</v>
      </c>
      <c r="U132" t="b">
        <v>0</v>
      </c>
      <c r="V132">
        <v>0</v>
      </c>
      <c r="Y132">
        <v>0</v>
      </c>
      <c r="Z132">
        <v>84</v>
      </c>
      <c r="AA132">
        <v>0</v>
      </c>
      <c r="AB132">
        <v>0</v>
      </c>
      <c r="AC132">
        <v>0</v>
      </c>
      <c r="AD132">
        <v>0</v>
      </c>
      <c r="AE132">
        <v>0</v>
      </c>
      <c r="AF132" t="b">
        <v>0</v>
      </c>
    </row>
    <row r="133" spans="1:32" x14ac:dyDescent="0.3">
      <c r="A133" t="s">
        <v>343</v>
      </c>
      <c r="B133" t="s">
        <v>344</v>
      </c>
      <c r="C133" t="s">
        <v>85</v>
      </c>
      <c r="D133">
        <v>81</v>
      </c>
      <c r="E133">
        <v>2514</v>
      </c>
      <c r="F133">
        <v>5</v>
      </c>
      <c r="G133">
        <v>60</v>
      </c>
      <c r="H133">
        <v>60</v>
      </c>
      <c r="I133">
        <v>1</v>
      </c>
      <c r="J133">
        <v>1</v>
      </c>
      <c r="K133" t="s">
        <v>86</v>
      </c>
      <c r="P133">
        <v>0</v>
      </c>
      <c r="R133">
        <v>0</v>
      </c>
      <c r="T133">
        <v>0</v>
      </c>
      <c r="U133" t="b">
        <v>0</v>
      </c>
      <c r="Y133">
        <v>0</v>
      </c>
      <c r="Z133">
        <v>0</v>
      </c>
      <c r="AE133">
        <v>0</v>
      </c>
      <c r="AF133" t="b">
        <v>0</v>
      </c>
    </row>
    <row r="134" spans="1:32" x14ac:dyDescent="0.3">
      <c r="A134" t="s">
        <v>345</v>
      </c>
      <c r="B134" t="s">
        <v>346</v>
      </c>
      <c r="C134" t="s">
        <v>85</v>
      </c>
      <c r="D134">
        <v>101</v>
      </c>
      <c r="E134">
        <v>1939</v>
      </c>
      <c r="F134">
        <v>15</v>
      </c>
      <c r="G134">
        <v>60</v>
      </c>
      <c r="H134">
        <v>60</v>
      </c>
      <c r="I134">
        <v>1</v>
      </c>
      <c r="J134">
        <v>1</v>
      </c>
      <c r="K134" t="s">
        <v>86</v>
      </c>
      <c r="P134">
        <v>0</v>
      </c>
      <c r="R134">
        <v>0</v>
      </c>
      <c r="T134">
        <v>0</v>
      </c>
      <c r="U134" t="b">
        <v>0</v>
      </c>
      <c r="V134">
        <v>6</v>
      </c>
      <c r="Y134">
        <v>0</v>
      </c>
      <c r="Z134">
        <v>43</v>
      </c>
      <c r="AA134">
        <v>6.9035532994923807E-2</v>
      </c>
      <c r="AB134">
        <v>6.3255813953488369</v>
      </c>
      <c r="AC134">
        <v>7.0175438596491196E-2</v>
      </c>
      <c r="AD134">
        <v>0</v>
      </c>
      <c r="AE134">
        <v>0</v>
      </c>
      <c r="AF134" t="b">
        <v>0</v>
      </c>
    </row>
    <row r="135" spans="1:32" x14ac:dyDescent="0.3">
      <c r="A135" t="s">
        <v>347</v>
      </c>
      <c r="B135" t="s">
        <v>348</v>
      </c>
      <c r="C135" t="s">
        <v>85</v>
      </c>
      <c r="D135">
        <v>135</v>
      </c>
      <c r="E135">
        <v>3141</v>
      </c>
      <c r="F135">
        <v>7</v>
      </c>
      <c r="G135">
        <v>60</v>
      </c>
      <c r="H135">
        <v>60</v>
      </c>
      <c r="I135">
        <v>1</v>
      </c>
      <c r="J135">
        <v>1</v>
      </c>
      <c r="K135" t="s">
        <v>86</v>
      </c>
      <c r="P135">
        <v>0</v>
      </c>
      <c r="R135">
        <v>0</v>
      </c>
      <c r="T135">
        <v>0</v>
      </c>
      <c r="U135" t="b">
        <v>0</v>
      </c>
      <c r="Y135">
        <v>0</v>
      </c>
      <c r="Z135">
        <v>0</v>
      </c>
      <c r="AE135">
        <v>0</v>
      </c>
      <c r="AF135" t="b">
        <v>0</v>
      </c>
    </row>
    <row r="136" spans="1:32" x14ac:dyDescent="0.3">
      <c r="A136" t="s">
        <v>349</v>
      </c>
      <c r="B136" t="s">
        <v>350</v>
      </c>
      <c r="C136" t="s">
        <v>85</v>
      </c>
      <c r="D136">
        <v>70</v>
      </c>
      <c r="E136">
        <v>2052</v>
      </c>
      <c r="F136">
        <v>13</v>
      </c>
      <c r="G136">
        <v>60</v>
      </c>
      <c r="H136">
        <v>60</v>
      </c>
      <c r="I136">
        <v>1</v>
      </c>
      <c r="J136">
        <v>1</v>
      </c>
      <c r="K136" t="s">
        <v>86</v>
      </c>
      <c r="P136">
        <v>0</v>
      </c>
      <c r="R136">
        <v>0</v>
      </c>
      <c r="T136">
        <v>0</v>
      </c>
      <c r="U136" t="b">
        <v>0</v>
      </c>
      <c r="Y136">
        <v>0</v>
      </c>
      <c r="Z136">
        <v>0</v>
      </c>
      <c r="AE136">
        <v>0</v>
      </c>
      <c r="AF136" t="b">
        <v>0</v>
      </c>
    </row>
    <row r="137" spans="1:32" x14ac:dyDescent="0.3">
      <c r="A137" t="s">
        <v>351</v>
      </c>
      <c r="B137" t="s">
        <v>352</v>
      </c>
      <c r="C137" t="s">
        <v>85</v>
      </c>
      <c r="D137">
        <v>51</v>
      </c>
      <c r="E137">
        <v>903</v>
      </c>
      <c r="F137">
        <v>8</v>
      </c>
      <c r="G137">
        <v>60</v>
      </c>
      <c r="H137">
        <v>60</v>
      </c>
      <c r="I137">
        <v>1</v>
      </c>
      <c r="J137">
        <v>1</v>
      </c>
      <c r="K137" t="s">
        <v>86</v>
      </c>
      <c r="P137">
        <v>0</v>
      </c>
      <c r="R137">
        <v>0</v>
      </c>
      <c r="T137">
        <v>0</v>
      </c>
      <c r="U137" t="b">
        <v>0</v>
      </c>
      <c r="Y137">
        <v>0</v>
      </c>
      <c r="Z137">
        <v>0</v>
      </c>
      <c r="AE137">
        <v>0</v>
      </c>
      <c r="AF137" t="b">
        <v>0</v>
      </c>
    </row>
    <row r="138" spans="1:32" x14ac:dyDescent="0.3">
      <c r="A138" t="s">
        <v>353</v>
      </c>
      <c r="B138" t="s">
        <v>354</v>
      </c>
      <c r="C138" t="s">
        <v>85</v>
      </c>
      <c r="D138">
        <v>76</v>
      </c>
      <c r="E138">
        <v>3267</v>
      </c>
      <c r="F138">
        <v>13</v>
      </c>
      <c r="G138">
        <v>60</v>
      </c>
      <c r="H138">
        <v>60</v>
      </c>
      <c r="I138">
        <v>1</v>
      </c>
      <c r="J138">
        <v>1</v>
      </c>
      <c r="K138" t="s">
        <v>86</v>
      </c>
      <c r="P138">
        <v>0</v>
      </c>
      <c r="R138">
        <v>0</v>
      </c>
      <c r="T138">
        <v>0</v>
      </c>
      <c r="U138" t="b">
        <v>0</v>
      </c>
      <c r="Y138">
        <v>0</v>
      </c>
      <c r="Z138">
        <v>6</v>
      </c>
      <c r="AA138">
        <v>0</v>
      </c>
      <c r="AB138">
        <v>0</v>
      </c>
      <c r="AE138">
        <v>0</v>
      </c>
      <c r="AF138" t="b">
        <v>0</v>
      </c>
    </row>
    <row r="139" spans="1:32" x14ac:dyDescent="0.3">
      <c r="A139" t="s">
        <v>355</v>
      </c>
      <c r="B139" t="s">
        <v>356</v>
      </c>
      <c r="C139" t="s">
        <v>85</v>
      </c>
      <c r="D139">
        <v>61</v>
      </c>
      <c r="E139">
        <v>1630</v>
      </c>
      <c r="F139">
        <v>8</v>
      </c>
      <c r="G139">
        <v>60</v>
      </c>
      <c r="H139">
        <v>60</v>
      </c>
      <c r="I139">
        <v>1</v>
      </c>
      <c r="J139">
        <v>1</v>
      </c>
      <c r="K139" t="s">
        <v>86</v>
      </c>
      <c r="P139">
        <v>0</v>
      </c>
      <c r="R139">
        <v>0</v>
      </c>
      <c r="T139">
        <v>0</v>
      </c>
      <c r="U139" t="b">
        <v>0</v>
      </c>
      <c r="V139">
        <v>0</v>
      </c>
      <c r="Y139">
        <v>0</v>
      </c>
      <c r="Z139">
        <v>87</v>
      </c>
      <c r="AA139">
        <v>0</v>
      </c>
      <c r="AB139">
        <v>0</v>
      </c>
      <c r="AC139">
        <v>0</v>
      </c>
      <c r="AD139">
        <v>0</v>
      </c>
      <c r="AE139">
        <v>0</v>
      </c>
      <c r="AF139" t="b">
        <v>0</v>
      </c>
    </row>
    <row r="140" spans="1:32" x14ac:dyDescent="0.3">
      <c r="A140" t="s">
        <v>357</v>
      </c>
      <c r="B140" t="s">
        <v>358</v>
      </c>
      <c r="C140" t="s">
        <v>85</v>
      </c>
      <c r="D140">
        <v>567</v>
      </c>
      <c r="E140">
        <v>13589</v>
      </c>
      <c r="F140">
        <v>19</v>
      </c>
      <c r="G140">
        <v>60</v>
      </c>
      <c r="H140">
        <v>60</v>
      </c>
      <c r="I140">
        <v>1</v>
      </c>
      <c r="J140">
        <v>1</v>
      </c>
      <c r="K140" t="s">
        <v>86</v>
      </c>
      <c r="P140">
        <v>0</v>
      </c>
      <c r="R140">
        <v>0</v>
      </c>
      <c r="T140">
        <v>0</v>
      </c>
      <c r="U140" t="b">
        <v>0</v>
      </c>
      <c r="V140">
        <v>12.294117647058821</v>
      </c>
      <c r="Y140">
        <v>0</v>
      </c>
      <c r="Z140">
        <v>167</v>
      </c>
      <c r="AA140">
        <v>5.69088569088569E-2</v>
      </c>
      <c r="AB140">
        <v>5.2010265183917879</v>
      </c>
      <c r="AC140">
        <v>4.36601307189542E-2</v>
      </c>
      <c r="AD140">
        <v>9.0429042904290394E-2</v>
      </c>
      <c r="AE140">
        <v>0</v>
      </c>
      <c r="AF140" t="b">
        <v>0</v>
      </c>
    </row>
    <row r="141" spans="1:32" x14ac:dyDescent="0.3">
      <c r="A141" t="s">
        <v>359</v>
      </c>
      <c r="B141" t="s">
        <v>360</v>
      </c>
      <c r="C141" t="s">
        <v>85</v>
      </c>
      <c r="D141">
        <v>71</v>
      </c>
      <c r="E141">
        <v>1367</v>
      </c>
      <c r="F141">
        <v>8</v>
      </c>
      <c r="G141">
        <v>60</v>
      </c>
      <c r="H141">
        <v>60</v>
      </c>
      <c r="I141">
        <v>1</v>
      </c>
      <c r="J141">
        <v>1</v>
      </c>
      <c r="K141" t="s">
        <v>86</v>
      </c>
      <c r="P141">
        <v>0</v>
      </c>
      <c r="R141">
        <v>0</v>
      </c>
      <c r="T141">
        <v>0</v>
      </c>
      <c r="U141" t="b">
        <v>0</v>
      </c>
      <c r="Y141">
        <v>0</v>
      </c>
      <c r="Z141">
        <v>9</v>
      </c>
      <c r="AA141">
        <v>0</v>
      </c>
      <c r="AB141">
        <v>0</v>
      </c>
      <c r="AD141">
        <v>0</v>
      </c>
      <c r="AE141">
        <v>0</v>
      </c>
      <c r="AF141" t="b">
        <v>0</v>
      </c>
    </row>
    <row r="142" spans="1:32" x14ac:dyDescent="0.3">
      <c r="A142" t="s">
        <v>361</v>
      </c>
      <c r="B142" t="s">
        <v>362</v>
      </c>
      <c r="C142" t="s">
        <v>85</v>
      </c>
      <c r="D142">
        <v>162</v>
      </c>
      <c r="E142">
        <v>4696</v>
      </c>
      <c r="F142">
        <v>11</v>
      </c>
      <c r="G142">
        <v>60</v>
      </c>
      <c r="H142">
        <v>60</v>
      </c>
      <c r="I142">
        <v>1</v>
      </c>
      <c r="J142">
        <v>1</v>
      </c>
      <c r="K142" t="s">
        <v>86</v>
      </c>
      <c r="P142">
        <v>0</v>
      </c>
      <c r="R142">
        <v>0</v>
      </c>
      <c r="T142">
        <v>0</v>
      </c>
      <c r="U142" t="b">
        <v>0</v>
      </c>
      <c r="Y142">
        <v>0</v>
      </c>
      <c r="Z142">
        <v>23</v>
      </c>
      <c r="AA142">
        <v>0</v>
      </c>
      <c r="AB142">
        <v>0</v>
      </c>
      <c r="AE142">
        <v>0</v>
      </c>
      <c r="AF142" t="b">
        <v>0</v>
      </c>
    </row>
    <row r="143" spans="1:32" x14ac:dyDescent="0.3">
      <c r="A143" t="s">
        <v>363</v>
      </c>
      <c r="B143" t="s">
        <v>364</v>
      </c>
      <c r="C143" t="s">
        <v>85</v>
      </c>
      <c r="D143">
        <v>76</v>
      </c>
      <c r="E143">
        <v>1014</v>
      </c>
      <c r="F143">
        <v>7</v>
      </c>
      <c r="G143">
        <v>60</v>
      </c>
      <c r="H143">
        <v>60</v>
      </c>
      <c r="I143">
        <v>1</v>
      </c>
      <c r="J143">
        <v>1</v>
      </c>
      <c r="K143" t="s">
        <v>86</v>
      </c>
      <c r="P143">
        <v>0</v>
      </c>
      <c r="R143">
        <v>0</v>
      </c>
      <c r="T143">
        <v>0</v>
      </c>
      <c r="U143" t="b">
        <v>0</v>
      </c>
      <c r="Y143">
        <v>0</v>
      </c>
      <c r="Z143">
        <v>19</v>
      </c>
      <c r="AA143">
        <v>9.45945945945946E-2</v>
      </c>
      <c r="AB143">
        <v>11.05263157894737</v>
      </c>
      <c r="AE143">
        <v>0</v>
      </c>
      <c r="AF143" t="b">
        <v>0</v>
      </c>
    </row>
    <row r="144" spans="1:32" x14ac:dyDescent="0.3">
      <c r="A144" t="s">
        <v>365</v>
      </c>
      <c r="B144" t="s">
        <v>366</v>
      </c>
      <c r="C144" t="s">
        <v>85</v>
      </c>
      <c r="D144">
        <v>66</v>
      </c>
      <c r="E144">
        <v>1388</v>
      </c>
      <c r="F144">
        <v>11</v>
      </c>
      <c r="G144">
        <v>60</v>
      </c>
      <c r="H144">
        <v>60</v>
      </c>
      <c r="I144">
        <v>1</v>
      </c>
      <c r="J144">
        <v>1</v>
      </c>
      <c r="K144" t="s">
        <v>86</v>
      </c>
      <c r="P144">
        <v>0</v>
      </c>
      <c r="R144">
        <v>0</v>
      </c>
      <c r="T144">
        <v>0</v>
      </c>
      <c r="U144" t="b">
        <v>0</v>
      </c>
      <c r="Y144">
        <v>0</v>
      </c>
      <c r="Z144">
        <v>0</v>
      </c>
      <c r="AE144">
        <v>0</v>
      </c>
      <c r="AF144" t="b">
        <v>0</v>
      </c>
    </row>
    <row r="145" spans="1:32" x14ac:dyDescent="0.3">
      <c r="A145" t="s">
        <v>367</v>
      </c>
      <c r="B145" t="s">
        <v>368</v>
      </c>
      <c r="C145" t="s">
        <v>85</v>
      </c>
      <c r="D145">
        <v>81</v>
      </c>
      <c r="E145">
        <v>1372</v>
      </c>
      <c r="F145">
        <v>11</v>
      </c>
      <c r="G145">
        <v>60</v>
      </c>
      <c r="H145">
        <v>60</v>
      </c>
      <c r="I145">
        <v>1</v>
      </c>
      <c r="J145">
        <v>1</v>
      </c>
      <c r="K145" t="s">
        <v>86</v>
      </c>
      <c r="P145">
        <v>0</v>
      </c>
      <c r="R145">
        <v>0</v>
      </c>
      <c r="T145">
        <v>0</v>
      </c>
      <c r="U145" t="b">
        <v>0</v>
      </c>
      <c r="V145">
        <v>3.2608695652173911</v>
      </c>
      <c r="Y145">
        <v>0</v>
      </c>
      <c r="Z145">
        <v>58</v>
      </c>
      <c r="AA145">
        <v>5.5405810122790998E-3</v>
      </c>
      <c r="AB145">
        <v>0.60755336617405564</v>
      </c>
      <c r="AC145">
        <v>1.40449438202247E-2</v>
      </c>
      <c r="AD145">
        <v>0</v>
      </c>
      <c r="AE145">
        <v>0</v>
      </c>
      <c r="AF145" t="b">
        <v>0</v>
      </c>
    </row>
    <row r="146" spans="1:32" x14ac:dyDescent="0.3">
      <c r="A146" t="s">
        <v>369</v>
      </c>
      <c r="B146" t="s">
        <v>370</v>
      </c>
      <c r="C146" t="s">
        <v>85</v>
      </c>
      <c r="D146">
        <v>72</v>
      </c>
      <c r="E146">
        <v>1837</v>
      </c>
      <c r="F146">
        <v>7</v>
      </c>
      <c r="G146">
        <v>60</v>
      </c>
      <c r="H146">
        <v>60</v>
      </c>
      <c r="I146">
        <v>1</v>
      </c>
      <c r="J146">
        <v>1</v>
      </c>
      <c r="K146" t="s">
        <v>86</v>
      </c>
      <c r="P146">
        <v>0</v>
      </c>
      <c r="R146">
        <v>0</v>
      </c>
      <c r="T146">
        <v>0</v>
      </c>
      <c r="U146" t="b">
        <v>0</v>
      </c>
      <c r="Y146">
        <v>0</v>
      </c>
      <c r="Z146">
        <v>6</v>
      </c>
      <c r="AA146">
        <v>0</v>
      </c>
      <c r="AB146">
        <v>0</v>
      </c>
      <c r="AE146">
        <v>0</v>
      </c>
      <c r="AF146" t="b">
        <v>0</v>
      </c>
    </row>
    <row r="147" spans="1:32" x14ac:dyDescent="0.3">
      <c r="A147" t="s">
        <v>371</v>
      </c>
      <c r="B147" t="s">
        <v>372</v>
      </c>
      <c r="C147" t="s">
        <v>85</v>
      </c>
      <c r="D147">
        <v>101</v>
      </c>
      <c r="E147">
        <v>1694</v>
      </c>
      <c r="F147">
        <v>13</v>
      </c>
      <c r="G147">
        <v>60</v>
      </c>
      <c r="H147">
        <v>60</v>
      </c>
      <c r="I147">
        <v>1</v>
      </c>
      <c r="J147">
        <v>1</v>
      </c>
      <c r="K147" t="s">
        <v>86</v>
      </c>
      <c r="P147">
        <v>0</v>
      </c>
      <c r="R147">
        <v>0</v>
      </c>
      <c r="T147">
        <v>0</v>
      </c>
      <c r="U147" t="b">
        <v>0</v>
      </c>
      <c r="V147">
        <v>4.0625</v>
      </c>
      <c r="Y147">
        <v>0</v>
      </c>
      <c r="Z147">
        <v>28</v>
      </c>
      <c r="AA147">
        <v>7.4002574002573998E-2</v>
      </c>
      <c r="AB147">
        <v>5.8673469387755102</v>
      </c>
      <c r="AC147">
        <v>0.1123188405797101</v>
      </c>
      <c r="AD147">
        <v>8.8235294117646995E-2</v>
      </c>
      <c r="AE147">
        <v>0</v>
      </c>
      <c r="AF147" t="b">
        <v>0</v>
      </c>
    </row>
    <row r="148" spans="1:32" x14ac:dyDescent="0.3">
      <c r="A148" t="s">
        <v>373</v>
      </c>
      <c r="B148" t="s">
        <v>374</v>
      </c>
      <c r="C148" t="s">
        <v>85</v>
      </c>
      <c r="D148">
        <v>83</v>
      </c>
      <c r="E148">
        <v>1077</v>
      </c>
      <c r="F148">
        <v>12</v>
      </c>
      <c r="G148">
        <v>60</v>
      </c>
      <c r="H148">
        <v>60</v>
      </c>
      <c r="I148">
        <v>1</v>
      </c>
      <c r="J148">
        <v>1</v>
      </c>
      <c r="K148" t="s">
        <v>86</v>
      </c>
      <c r="P148">
        <v>0</v>
      </c>
      <c r="R148">
        <v>0</v>
      </c>
      <c r="T148">
        <v>0</v>
      </c>
      <c r="U148" t="b">
        <v>0</v>
      </c>
      <c r="V148">
        <v>127.5</v>
      </c>
      <c r="Y148">
        <v>0</v>
      </c>
      <c r="Z148">
        <v>19</v>
      </c>
      <c r="AA148">
        <v>0.2292485801660113</v>
      </c>
      <c r="AB148">
        <v>31.563909774436091</v>
      </c>
      <c r="AC148">
        <v>0.14754098360655729</v>
      </c>
      <c r="AD148">
        <v>0.2</v>
      </c>
      <c r="AE148">
        <v>0</v>
      </c>
      <c r="AF148" t="b">
        <v>0</v>
      </c>
    </row>
    <row r="149" spans="1:32" x14ac:dyDescent="0.3">
      <c r="A149" t="s">
        <v>375</v>
      </c>
      <c r="B149" t="s">
        <v>376</v>
      </c>
      <c r="C149" t="s">
        <v>85</v>
      </c>
      <c r="D149">
        <v>172</v>
      </c>
      <c r="E149">
        <v>2967</v>
      </c>
      <c r="F149">
        <v>10</v>
      </c>
      <c r="G149">
        <v>60</v>
      </c>
      <c r="H149">
        <v>60</v>
      </c>
      <c r="I149">
        <v>1</v>
      </c>
      <c r="J149">
        <v>1</v>
      </c>
      <c r="K149" t="s">
        <v>86</v>
      </c>
      <c r="P149">
        <v>0</v>
      </c>
      <c r="R149">
        <v>0</v>
      </c>
      <c r="T149">
        <v>0</v>
      </c>
      <c r="U149" t="b">
        <v>0</v>
      </c>
      <c r="Y149">
        <v>0</v>
      </c>
      <c r="Z149">
        <v>0</v>
      </c>
      <c r="AE149">
        <v>0</v>
      </c>
      <c r="AF149" t="b">
        <v>0</v>
      </c>
    </row>
    <row r="150" spans="1:32" x14ac:dyDescent="0.3">
      <c r="A150" t="s">
        <v>377</v>
      </c>
      <c r="B150" t="s">
        <v>378</v>
      </c>
      <c r="C150" t="s">
        <v>85</v>
      </c>
      <c r="D150">
        <v>82</v>
      </c>
      <c r="E150">
        <v>2694</v>
      </c>
      <c r="F150">
        <v>12</v>
      </c>
      <c r="G150">
        <v>60</v>
      </c>
      <c r="H150">
        <v>60</v>
      </c>
      <c r="I150">
        <v>1</v>
      </c>
      <c r="J150">
        <v>1</v>
      </c>
      <c r="K150" t="s">
        <v>86</v>
      </c>
      <c r="P150">
        <v>0</v>
      </c>
      <c r="R150">
        <v>0</v>
      </c>
      <c r="T150">
        <v>0</v>
      </c>
      <c r="U150" t="b">
        <v>0</v>
      </c>
      <c r="Y150">
        <v>0</v>
      </c>
      <c r="Z150">
        <v>3</v>
      </c>
      <c r="AA150">
        <v>0</v>
      </c>
      <c r="AB150">
        <v>0</v>
      </c>
      <c r="AE150">
        <v>0</v>
      </c>
      <c r="AF150" t="b">
        <v>0</v>
      </c>
    </row>
    <row r="151" spans="1:32" x14ac:dyDescent="0.3">
      <c r="A151" t="s">
        <v>379</v>
      </c>
      <c r="B151" t="s">
        <v>380</v>
      </c>
      <c r="C151" t="s">
        <v>85</v>
      </c>
      <c r="D151">
        <v>50</v>
      </c>
      <c r="E151">
        <v>668</v>
      </c>
      <c r="F151">
        <v>20</v>
      </c>
      <c r="G151">
        <v>180</v>
      </c>
      <c r="H151">
        <v>60</v>
      </c>
      <c r="I151">
        <v>1</v>
      </c>
      <c r="J151">
        <v>1</v>
      </c>
      <c r="K151" t="s">
        <v>86</v>
      </c>
      <c r="P151">
        <v>0</v>
      </c>
      <c r="R151">
        <v>0</v>
      </c>
      <c r="T151">
        <v>0</v>
      </c>
      <c r="U151" t="b">
        <v>0</v>
      </c>
      <c r="Y151">
        <v>0</v>
      </c>
      <c r="Z151">
        <v>15</v>
      </c>
      <c r="AA151">
        <v>0</v>
      </c>
      <c r="AB151">
        <v>0</v>
      </c>
      <c r="AD151">
        <v>0</v>
      </c>
      <c r="AE151">
        <v>0</v>
      </c>
      <c r="AF151" t="b">
        <v>0</v>
      </c>
    </row>
    <row r="152" spans="1:32" x14ac:dyDescent="0.3">
      <c r="A152" t="s">
        <v>381</v>
      </c>
      <c r="B152" t="s">
        <v>382</v>
      </c>
      <c r="C152" t="s">
        <v>85</v>
      </c>
      <c r="D152">
        <v>66</v>
      </c>
      <c r="E152">
        <v>1035</v>
      </c>
      <c r="F152">
        <v>6</v>
      </c>
      <c r="G152">
        <v>60</v>
      </c>
      <c r="H152">
        <v>60</v>
      </c>
      <c r="I152">
        <v>1</v>
      </c>
      <c r="J152">
        <v>1</v>
      </c>
      <c r="K152" t="s">
        <v>86</v>
      </c>
      <c r="P152">
        <v>0</v>
      </c>
      <c r="R152">
        <v>0</v>
      </c>
      <c r="T152">
        <v>0</v>
      </c>
      <c r="U152" t="b">
        <v>0</v>
      </c>
      <c r="Y152">
        <v>0</v>
      </c>
      <c r="Z152">
        <v>12</v>
      </c>
      <c r="AA152">
        <v>0</v>
      </c>
      <c r="AB152">
        <v>0</v>
      </c>
      <c r="AE152">
        <v>0</v>
      </c>
      <c r="AF152" t="b">
        <v>0</v>
      </c>
    </row>
    <row r="153" spans="1:32" x14ac:dyDescent="0.3">
      <c r="A153" t="s">
        <v>383</v>
      </c>
      <c r="B153" t="s">
        <v>384</v>
      </c>
      <c r="C153" t="s">
        <v>85</v>
      </c>
      <c r="D153">
        <v>79</v>
      </c>
      <c r="E153">
        <v>1778</v>
      </c>
      <c r="F153">
        <v>7</v>
      </c>
      <c r="G153">
        <v>60</v>
      </c>
      <c r="H153">
        <v>60</v>
      </c>
      <c r="I153">
        <v>1</v>
      </c>
      <c r="J153">
        <v>1</v>
      </c>
      <c r="K153" t="s">
        <v>86</v>
      </c>
      <c r="P153">
        <v>0</v>
      </c>
      <c r="R153">
        <v>0</v>
      </c>
      <c r="T153">
        <v>0</v>
      </c>
      <c r="U153" t="b">
        <v>0</v>
      </c>
      <c r="Y153">
        <v>0</v>
      </c>
      <c r="Z153">
        <v>40</v>
      </c>
      <c r="AA153">
        <v>0</v>
      </c>
      <c r="AB153">
        <v>0</v>
      </c>
      <c r="AE153">
        <v>0</v>
      </c>
      <c r="AF153" t="b">
        <v>0</v>
      </c>
    </row>
    <row r="154" spans="1:32" x14ac:dyDescent="0.3">
      <c r="A154" t="s">
        <v>385</v>
      </c>
      <c r="B154" t="s">
        <v>386</v>
      </c>
      <c r="C154" t="s">
        <v>85</v>
      </c>
      <c r="D154">
        <v>89</v>
      </c>
      <c r="E154">
        <v>2014</v>
      </c>
      <c r="F154">
        <v>10</v>
      </c>
      <c r="G154">
        <v>60</v>
      </c>
      <c r="H154">
        <v>60</v>
      </c>
      <c r="I154">
        <v>1</v>
      </c>
      <c r="J154">
        <v>1</v>
      </c>
      <c r="K154" t="s">
        <v>86</v>
      </c>
      <c r="P154">
        <v>0</v>
      </c>
      <c r="R154">
        <v>0</v>
      </c>
      <c r="T154">
        <v>0</v>
      </c>
      <c r="U154" t="b">
        <v>0</v>
      </c>
      <c r="Y154">
        <v>0</v>
      </c>
      <c r="Z154">
        <v>14</v>
      </c>
      <c r="AA154">
        <v>2.8985507246376802E-2</v>
      </c>
      <c r="AB154">
        <v>2.8571428571428572</v>
      </c>
      <c r="AE154">
        <v>0</v>
      </c>
      <c r="AF154" t="b">
        <v>0</v>
      </c>
    </row>
    <row r="155" spans="1:32" x14ac:dyDescent="0.3">
      <c r="A155" t="s">
        <v>387</v>
      </c>
      <c r="B155" t="s">
        <v>388</v>
      </c>
      <c r="C155" t="s">
        <v>85</v>
      </c>
      <c r="D155">
        <v>118</v>
      </c>
      <c r="E155">
        <v>1060</v>
      </c>
      <c r="F155">
        <v>11</v>
      </c>
      <c r="G155">
        <v>60</v>
      </c>
      <c r="H155">
        <v>60</v>
      </c>
      <c r="I155">
        <v>1</v>
      </c>
      <c r="J155">
        <v>1</v>
      </c>
      <c r="K155" t="s">
        <v>86</v>
      </c>
      <c r="P155">
        <v>0</v>
      </c>
      <c r="R155">
        <v>0</v>
      </c>
      <c r="T155">
        <v>0</v>
      </c>
      <c r="U155" t="b">
        <v>0</v>
      </c>
      <c r="V155">
        <v>0</v>
      </c>
      <c r="Y155">
        <v>0</v>
      </c>
      <c r="Z155">
        <v>14</v>
      </c>
      <c r="AA155">
        <v>0</v>
      </c>
      <c r="AB155">
        <v>0</v>
      </c>
      <c r="AC155">
        <v>0</v>
      </c>
      <c r="AD155">
        <v>0</v>
      </c>
      <c r="AE155">
        <v>0</v>
      </c>
      <c r="AF155" t="b">
        <v>0</v>
      </c>
    </row>
    <row r="156" spans="1:32" x14ac:dyDescent="0.3">
      <c r="A156" t="s">
        <v>389</v>
      </c>
      <c r="B156" t="s">
        <v>390</v>
      </c>
      <c r="C156" t="s">
        <v>85</v>
      </c>
      <c r="D156">
        <v>77</v>
      </c>
      <c r="E156">
        <v>3049</v>
      </c>
      <c r="F156">
        <v>7</v>
      </c>
      <c r="G156">
        <v>60</v>
      </c>
      <c r="H156">
        <v>60</v>
      </c>
      <c r="I156">
        <v>1</v>
      </c>
      <c r="J156">
        <v>1</v>
      </c>
      <c r="K156" t="s">
        <v>86</v>
      </c>
      <c r="P156">
        <v>0</v>
      </c>
      <c r="R156">
        <v>0</v>
      </c>
      <c r="T156">
        <v>0</v>
      </c>
      <c r="U156" t="b">
        <v>0</v>
      </c>
      <c r="Y156">
        <v>0</v>
      </c>
      <c r="Z156">
        <v>14</v>
      </c>
      <c r="AA156">
        <v>0</v>
      </c>
      <c r="AB156">
        <v>0</v>
      </c>
      <c r="AC156">
        <v>0</v>
      </c>
      <c r="AE156">
        <v>0</v>
      </c>
      <c r="AF156" t="b">
        <v>0</v>
      </c>
    </row>
    <row r="157" spans="1:32" x14ac:dyDescent="0.3">
      <c r="A157" t="s">
        <v>391</v>
      </c>
      <c r="B157" t="s">
        <v>392</v>
      </c>
      <c r="C157" t="s">
        <v>85</v>
      </c>
      <c r="D157">
        <v>1010</v>
      </c>
      <c r="E157">
        <v>27329</v>
      </c>
      <c r="F157">
        <v>29</v>
      </c>
      <c r="G157">
        <v>60</v>
      </c>
      <c r="H157">
        <v>60</v>
      </c>
      <c r="I157">
        <v>1</v>
      </c>
      <c r="J157">
        <v>1</v>
      </c>
      <c r="K157" t="s">
        <v>86</v>
      </c>
      <c r="P157">
        <v>0</v>
      </c>
      <c r="R157">
        <v>0</v>
      </c>
      <c r="T157">
        <v>0</v>
      </c>
      <c r="U157" t="b">
        <v>0</v>
      </c>
      <c r="V157">
        <v>13.32846715328467</v>
      </c>
      <c r="Y157">
        <v>0</v>
      </c>
      <c r="Z157">
        <v>447</v>
      </c>
      <c r="AA157">
        <v>0.10875936380661461</v>
      </c>
      <c r="AB157">
        <v>10.19564291040801</v>
      </c>
      <c r="AC157">
        <v>0.17222222222222219</v>
      </c>
      <c r="AD157">
        <v>6.2263129399025403E-2</v>
      </c>
      <c r="AE157">
        <v>0</v>
      </c>
      <c r="AF157" t="b">
        <v>0</v>
      </c>
    </row>
    <row r="158" spans="1:32" x14ac:dyDescent="0.3">
      <c r="A158" t="s">
        <v>393</v>
      </c>
      <c r="B158" t="s">
        <v>394</v>
      </c>
      <c r="C158" t="s">
        <v>85</v>
      </c>
      <c r="D158">
        <v>119</v>
      </c>
      <c r="E158">
        <v>2836</v>
      </c>
      <c r="F158">
        <v>11</v>
      </c>
      <c r="G158">
        <v>60</v>
      </c>
      <c r="H158">
        <v>60</v>
      </c>
      <c r="I158">
        <v>1</v>
      </c>
      <c r="J158">
        <v>1</v>
      </c>
      <c r="K158" t="s">
        <v>86</v>
      </c>
      <c r="P158">
        <v>0</v>
      </c>
      <c r="R158">
        <v>0</v>
      </c>
      <c r="T158">
        <v>0</v>
      </c>
      <c r="U158" t="b">
        <v>0</v>
      </c>
      <c r="Y158">
        <v>0</v>
      </c>
      <c r="Z158">
        <v>0</v>
      </c>
      <c r="AE158">
        <v>0</v>
      </c>
      <c r="AF158" t="b">
        <v>0</v>
      </c>
    </row>
    <row r="159" spans="1:32" x14ac:dyDescent="0.3">
      <c r="A159" t="s">
        <v>395</v>
      </c>
      <c r="B159" t="s">
        <v>396</v>
      </c>
      <c r="C159" t="s">
        <v>85</v>
      </c>
      <c r="D159">
        <v>134</v>
      </c>
      <c r="E159">
        <v>2172</v>
      </c>
      <c r="F159">
        <v>6</v>
      </c>
      <c r="G159">
        <v>60</v>
      </c>
      <c r="H159">
        <v>60</v>
      </c>
      <c r="I159">
        <v>1</v>
      </c>
      <c r="J159">
        <v>1</v>
      </c>
      <c r="K159" t="s">
        <v>86</v>
      </c>
      <c r="P159">
        <v>0</v>
      </c>
      <c r="R159">
        <v>0</v>
      </c>
      <c r="T159">
        <v>0</v>
      </c>
      <c r="U159" t="b">
        <v>0</v>
      </c>
      <c r="V159">
        <v>6.774193548387097</v>
      </c>
      <c r="Y159">
        <v>0</v>
      </c>
      <c r="Z159">
        <v>97</v>
      </c>
      <c r="AA159">
        <v>1.0221674876847201E-2</v>
      </c>
      <c r="AB159">
        <v>0.91678939617083921</v>
      </c>
      <c r="AC159">
        <v>5.7692307692307598E-2</v>
      </c>
      <c r="AD159">
        <v>0</v>
      </c>
      <c r="AE159">
        <v>0</v>
      </c>
      <c r="AF159" t="b">
        <v>0</v>
      </c>
    </row>
    <row r="160" spans="1:32" x14ac:dyDescent="0.3">
      <c r="A160" t="s">
        <v>397</v>
      </c>
      <c r="B160" t="s">
        <v>398</v>
      </c>
      <c r="C160" t="s">
        <v>85</v>
      </c>
      <c r="D160">
        <v>412</v>
      </c>
      <c r="E160">
        <v>13878</v>
      </c>
      <c r="F160">
        <v>17</v>
      </c>
      <c r="G160">
        <v>60</v>
      </c>
      <c r="H160">
        <v>60</v>
      </c>
      <c r="I160">
        <v>1</v>
      </c>
      <c r="J160">
        <v>1</v>
      </c>
      <c r="K160" t="s">
        <v>86</v>
      </c>
      <c r="P160">
        <v>0</v>
      </c>
      <c r="R160">
        <v>0</v>
      </c>
      <c r="T160">
        <v>0</v>
      </c>
      <c r="U160" t="b">
        <v>0</v>
      </c>
      <c r="Y160">
        <v>0</v>
      </c>
      <c r="Z160">
        <v>436</v>
      </c>
      <c r="AA160">
        <v>1.9215043437814099E-2</v>
      </c>
      <c r="AB160">
        <v>1.6784076015727389</v>
      </c>
      <c r="AC160">
        <v>2.7720288491690101E-2</v>
      </c>
      <c r="AD160">
        <v>-4.5216741405082202E-2</v>
      </c>
      <c r="AE160">
        <v>0</v>
      </c>
      <c r="AF160" t="b">
        <v>0</v>
      </c>
    </row>
    <row r="161" spans="1:35" x14ac:dyDescent="0.3">
      <c r="A161" t="s">
        <v>399</v>
      </c>
      <c r="B161" t="s">
        <v>400</v>
      </c>
      <c r="C161" t="s">
        <v>85</v>
      </c>
      <c r="D161">
        <v>125</v>
      </c>
      <c r="E161">
        <v>5211</v>
      </c>
      <c r="F161">
        <v>15</v>
      </c>
      <c r="G161">
        <v>60</v>
      </c>
      <c r="H161">
        <v>60</v>
      </c>
      <c r="I161">
        <v>1</v>
      </c>
      <c r="J161">
        <v>1</v>
      </c>
      <c r="K161" t="s">
        <v>86</v>
      </c>
      <c r="P161">
        <v>0</v>
      </c>
      <c r="R161">
        <v>0</v>
      </c>
      <c r="T161">
        <v>0</v>
      </c>
      <c r="U161" t="b">
        <v>0</v>
      </c>
      <c r="Y161">
        <v>0</v>
      </c>
      <c r="Z161">
        <v>116</v>
      </c>
      <c r="AA161">
        <v>0</v>
      </c>
      <c r="AB161">
        <v>0</v>
      </c>
      <c r="AC161">
        <v>0</v>
      </c>
      <c r="AE161">
        <v>0</v>
      </c>
      <c r="AF161" t="b">
        <v>0</v>
      </c>
    </row>
    <row r="162" spans="1:35" x14ac:dyDescent="0.3">
      <c r="A162" t="s">
        <v>401</v>
      </c>
      <c r="B162" t="s">
        <v>402</v>
      </c>
      <c r="C162" t="s">
        <v>85</v>
      </c>
      <c r="D162">
        <v>84</v>
      </c>
      <c r="E162">
        <v>1489</v>
      </c>
      <c r="F162">
        <v>12</v>
      </c>
      <c r="G162">
        <v>60</v>
      </c>
      <c r="H162">
        <v>60</v>
      </c>
      <c r="I162">
        <v>1</v>
      </c>
      <c r="J162">
        <v>1</v>
      </c>
      <c r="K162" t="s">
        <v>86</v>
      </c>
      <c r="P162">
        <v>0</v>
      </c>
      <c r="R162">
        <v>0</v>
      </c>
      <c r="T162">
        <v>0</v>
      </c>
      <c r="U162" t="b">
        <v>0</v>
      </c>
      <c r="Y162">
        <v>0</v>
      </c>
      <c r="Z162">
        <v>0</v>
      </c>
      <c r="AE162">
        <v>0</v>
      </c>
      <c r="AF162" t="b">
        <v>0</v>
      </c>
    </row>
    <row r="163" spans="1:35" x14ac:dyDescent="0.3">
      <c r="A163" t="s">
        <v>403</v>
      </c>
      <c r="B163" t="s">
        <v>404</v>
      </c>
      <c r="C163" t="s">
        <v>85</v>
      </c>
      <c r="D163">
        <v>145</v>
      </c>
      <c r="E163">
        <v>2649</v>
      </c>
      <c r="F163">
        <v>14</v>
      </c>
      <c r="G163">
        <v>60</v>
      </c>
      <c r="H163">
        <v>60</v>
      </c>
      <c r="I163">
        <v>1</v>
      </c>
      <c r="J163">
        <v>1</v>
      </c>
      <c r="K163" t="s">
        <v>86</v>
      </c>
      <c r="P163">
        <v>0</v>
      </c>
      <c r="R163">
        <v>0</v>
      </c>
      <c r="T163">
        <v>0</v>
      </c>
      <c r="U163" t="b">
        <v>0</v>
      </c>
      <c r="Y163">
        <v>0</v>
      </c>
      <c r="Z163">
        <v>65</v>
      </c>
      <c r="AA163">
        <v>0.24494949494949489</v>
      </c>
      <c r="AB163">
        <v>29.84615384615385</v>
      </c>
      <c r="AC163">
        <v>0.58333333333333337</v>
      </c>
      <c r="AE163">
        <v>0</v>
      </c>
      <c r="AF163" t="b">
        <v>0</v>
      </c>
    </row>
    <row r="164" spans="1:35" x14ac:dyDescent="0.3">
      <c r="A164" t="s">
        <v>405</v>
      </c>
      <c r="B164" t="s">
        <v>404</v>
      </c>
      <c r="C164" t="s">
        <v>85</v>
      </c>
      <c r="D164">
        <v>450</v>
      </c>
      <c r="E164">
        <v>11268</v>
      </c>
      <c r="F164">
        <v>16</v>
      </c>
      <c r="G164">
        <v>60</v>
      </c>
      <c r="H164">
        <v>60</v>
      </c>
      <c r="I164">
        <v>1</v>
      </c>
      <c r="J164">
        <v>1</v>
      </c>
      <c r="K164" t="s">
        <v>86</v>
      </c>
      <c r="P164">
        <v>0</v>
      </c>
      <c r="R164">
        <v>0</v>
      </c>
      <c r="T164">
        <v>0</v>
      </c>
      <c r="U164" t="b">
        <v>0</v>
      </c>
      <c r="V164">
        <v>11.543627031650979</v>
      </c>
      <c r="Y164">
        <v>0</v>
      </c>
      <c r="Z164">
        <v>380</v>
      </c>
      <c r="AA164">
        <v>8.4693458099973598E-2</v>
      </c>
      <c r="AB164">
        <v>9.4410918029339079</v>
      </c>
      <c r="AC164">
        <v>0.1174110910186859</v>
      </c>
      <c r="AD164">
        <v>3.3333333333333298E-2</v>
      </c>
      <c r="AE164">
        <v>0</v>
      </c>
      <c r="AF164" t="b">
        <v>0</v>
      </c>
    </row>
    <row r="165" spans="1:35" x14ac:dyDescent="0.3">
      <c r="A165" t="s">
        <v>406</v>
      </c>
      <c r="B165" t="s">
        <v>407</v>
      </c>
      <c r="C165" t="s">
        <v>85</v>
      </c>
      <c r="D165">
        <v>68</v>
      </c>
      <c r="E165">
        <v>1538</v>
      </c>
      <c r="F165">
        <v>14</v>
      </c>
      <c r="G165">
        <v>120</v>
      </c>
      <c r="H165">
        <v>60</v>
      </c>
      <c r="I165">
        <v>1</v>
      </c>
      <c r="J165">
        <v>1</v>
      </c>
      <c r="K165" t="s">
        <v>86</v>
      </c>
      <c r="P165">
        <v>0</v>
      </c>
      <c r="R165">
        <v>0</v>
      </c>
      <c r="T165">
        <v>0</v>
      </c>
      <c r="U165" t="b">
        <v>0</v>
      </c>
      <c r="Y165">
        <v>0</v>
      </c>
      <c r="Z165">
        <v>0</v>
      </c>
      <c r="AE165">
        <v>0</v>
      </c>
      <c r="AF165" t="b">
        <v>0</v>
      </c>
    </row>
    <row r="166" spans="1:35" x14ac:dyDescent="0.3">
      <c r="A166" t="s">
        <v>408</v>
      </c>
      <c r="B166" t="s">
        <v>409</v>
      </c>
      <c r="C166" t="s">
        <v>85</v>
      </c>
      <c r="D166">
        <v>142</v>
      </c>
      <c r="E166">
        <v>2694</v>
      </c>
      <c r="F166">
        <v>11</v>
      </c>
      <c r="G166">
        <v>60</v>
      </c>
      <c r="H166">
        <v>60</v>
      </c>
      <c r="I166">
        <v>1</v>
      </c>
      <c r="J166">
        <v>1</v>
      </c>
      <c r="K166" t="s">
        <v>86</v>
      </c>
      <c r="P166">
        <v>0</v>
      </c>
      <c r="R166">
        <v>0</v>
      </c>
      <c r="T166">
        <v>0</v>
      </c>
      <c r="U166" t="b">
        <v>0</v>
      </c>
      <c r="Y166">
        <v>0</v>
      </c>
      <c r="Z166">
        <v>80</v>
      </c>
      <c r="AA166">
        <v>0</v>
      </c>
      <c r="AB166">
        <v>0</v>
      </c>
      <c r="AC166">
        <v>0</v>
      </c>
      <c r="AD166">
        <v>0</v>
      </c>
      <c r="AE166">
        <v>0</v>
      </c>
      <c r="AF166" t="b">
        <v>0</v>
      </c>
    </row>
    <row r="167" spans="1:35" x14ac:dyDescent="0.3">
      <c r="A167" t="s">
        <v>410</v>
      </c>
      <c r="B167" t="s">
        <v>411</v>
      </c>
      <c r="C167" t="s">
        <v>85</v>
      </c>
      <c r="D167">
        <v>112</v>
      </c>
      <c r="E167">
        <v>4990</v>
      </c>
      <c r="F167">
        <v>6</v>
      </c>
      <c r="G167">
        <v>60</v>
      </c>
      <c r="H167">
        <v>60</v>
      </c>
      <c r="I167">
        <v>1</v>
      </c>
      <c r="J167">
        <v>1</v>
      </c>
      <c r="K167" t="s">
        <v>86</v>
      </c>
      <c r="P167">
        <v>0</v>
      </c>
      <c r="R167">
        <v>0</v>
      </c>
      <c r="T167">
        <v>0</v>
      </c>
      <c r="U167" t="b">
        <v>0</v>
      </c>
      <c r="Y167">
        <v>0</v>
      </c>
      <c r="Z167">
        <v>18</v>
      </c>
      <c r="AA167">
        <v>0</v>
      </c>
      <c r="AB167">
        <v>0</v>
      </c>
      <c r="AC167">
        <v>0</v>
      </c>
      <c r="AD167">
        <v>0</v>
      </c>
      <c r="AE167">
        <v>0</v>
      </c>
      <c r="AF167" t="b">
        <v>0</v>
      </c>
    </row>
    <row r="168" spans="1:35" x14ac:dyDescent="0.3">
      <c r="A168" t="s">
        <v>412</v>
      </c>
      <c r="B168" t="s">
        <v>413</v>
      </c>
      <c r="C168" t="s">
        <v>85</v>
      </c>
      <c r="D168">
        <v>86</v>
      </c>
      <c r="E168">
        <v>2052</v>
      </c>
      <c r="F168">
        <v>13</v>
      </c>
      <c r="G168">
        <v>60</v>
      </c>
      <c r="H168">
        <v>60</v>
      </c>
      <c r="I168">
        <v>1</v>
      </c>
      <c r="J168">
        <v>1</v>
      </c>
      <c r="K168" t="s">
        <v>86</v>
      </c>
      <c r="P168">
        <v>0</v>
      </c>
      <c r="R168">
        <v>0</v>
      </c>
      <c r="T168">
        <v>0</v>
      </c>
      <c r="U168" t="b">
        <v>0</v>
      </c>
      <c r="Y168">
        <v>0</v>
      </c>
      <c r="Z168">
        <v>0</v>
      </c>
      <c r="AE168">
        <v>0</v>
      </c>
      <c r="AF168" t="b">
        <v>0</v>
      </c>
    </row>
    <row r="169" spans="1:35" x14ac:dyDescent="0.3">
      <c r="A169" t="s">
        <v>414</v>
      </c>
      <c r="B169" t="s">
        <v>415</v>
      </c>
      <c r="C169" t="s">
        <v>85</v>
      </c>
      <c r="D169">
        <v>93</v>
      </c>
      <c r="E169">
        <v>1505</v>
      </c>
      <c r="F169">
        <v>9</v>
      </c>
      <c r="G169">
        <v>120</v>
      </c>
      <c r="H169">
        <v>60</v>
      </c>
      <c r="I169">
        <v>1</v>
      </c>
      <c r="J169">
        <v>1</v>
      </c>
      <c r="K169" t="s">
        <v>86</v>
      </c>
      <c r="P169">
        <v>0</v>
      </c>
      <c r="R169">
        <v>0</v>
      </c>
      <c r="T169">
        <v>0</v>
      </c>
      <c r="U169" t="b">
        <v>0</v>
      </c>
      <c r="Y169">
        <v>0</v>
      </c>
      <c r="Z169">
        <v>10</v>
      </c>
      <c r="AA169">
        <v>0</v>
      </c>
      <c r="AB169">
        <v>0</v>
      </c>
      <c r="AD169">
        <v>0</v>
      </c>
      <c r="AE169">
        <v>0</v>
      </c>
      <c r="AF169" t="b">
        <v>0</v>
      </c>
    </row>
    <row r="170" spans="1:35" x14ac:dyDescent="0.3">
      <c r="A170" t="s">
        <v>416</v>
      </c>
      <c r="B170" t="s">
        <v>417</v>
      </c>
      <c r="C170" t="s">
        <v>85</v>
      </c>
      <c r="D170">
        <v>50</v>
      </c>
      <c r="E170">
        <v>833</v>
      </c>
      <c r="F170">
        <v>9</v>
      </c>
      <c r="G170">
        <v>120</v>
      </c>
      <c r="H170">
        <v>60</v>
      </c>
      <c r="I170">
        <v>1</v>
      </c>
      <c r="J170">
        <v>1</v>
      </c>
      <c r="K170" t="s">
        <v>86</v>
      </c>
      <c r="P170">
        <v>0</v>
      </c>
      <c r="R170">
        <v>0</v>
      </c>
      <c r="T170">
        <v>0</v>
      </c>
      <c r="U170" t="b">
        <v>0</v>
      </c>
      <c r="Y170">
        <v>0</v>
      </c>
      <c r="Z170">
        <v>40</v>
      </c>
      <c r="AA170">
        <v>-7.8431372549019E-3</v>
      </c>
      <c r="AB170">
        <v>-1</v>
      </c>
      <c r="AC170">
        <v>0</v>
      </c>
      <c r="AE170">
        <v>0</v>
      </c>
      <c r="AF170" t="b">
        <v>0</v>
      </c>
    </row>
    <row r="171" spans="1:35" x14ac:dyDescent="0.3">
      <c r="A171" t="s">
        <v>418</v>
      </c>
      <c r="B171" t="s">
        <v>419</v>
      </c>
      <c r="C171" t="s">
        <v>85</v>
      </c>
      <c r="D171">
        <v>62</v>
      </c>
      <c r="E171">
        <v>1477</v>
      </c>
      <c r="F171">
        <v>9</v>
      </c>
      <c r="G171">
        <v>120</v>
      </c>
      <c r="H171">
        <v>60</v>
      </c>
      <c r="I171">
        <v>1</v>
      </c>
      <c r="J171">
        <v>1</v>
      </c>
      <c r="K171" t="s">
        <v>86</v>
      </c>
      <c r="P171">
        <v>0</v>
      </c>
      <c r="R171">
        <v>0</v>
      </c>
      <c r="T171">
        <v>0</v>
      </c>
      <c r="U171" t="b">
        <v>0</v>
      </c>
      <c r="Y171">
        <v>0</v>
      </c>
      <c r="Z171">
        <v>106</v>
      </c>
      <c r="AA171">
        <v>0</v>
      </c>
      <c r="AB171">
        <v>0</v>
      </c>
      <c r="AE171">
        <v>0</v>
      </c>
      <c r="AF171" t="b">
        <v>0</v>
      </c>
    </row>
    <row r="172" spans="1:35" x14ac:dyDescent="0.3">
      <c r="A172" t="s">
        <v>420</v>
      </c>
      <c r="B172" t="s">
        <v>421</v>
      </c>
      <c r="C172" t="s">
        <v>85</v>
      </c>
      <c r="D172">
        <v>749</v>
      </c>
      <c r="E172">
        <v>18102</v>
      </c>
      <c r="F172">
        <v>26</v>
      </c>
      <c r="G172">
        <v>60</v>
      </c>
      <c r="H172">
        <v>60</v>
      </c>
      <c r="I172">
        <v>1</v>
      </c>
      <c r="J172">
        <v>1</v>
      </c>
      <c r="K172" t="s">
        <v>86</v>
      </c>
      <c r="P172">
        <v>0</v>
      </c>
      <c r="R172">
        <v>0</v>
      </c>
      <c r="T172">
        <v>0</v>
      </c>
      <c r="U172" t="b">
        <v>0</v>
      </c>
      <c r="V172">
        <v>2.1958041958041958</v>
      </c>
      <c r="Y172">
        <v>0</v>
      </c>
      <c r="Z172">
        <v>555</v>
      </c>
      <c r="AA172">
        <v>1.34029369323486E-2</v>
      </c>
      <c r="AB172">
        <v>1.354783354783355</v>
      </c>
      <c r="AC172">
        <v>1.9752109704641301E-2</v>
      </c>
      <c r="AD172">
        <v>7.5566750629722E-3</v>
      </c>
      <c r="AE172">
        <v>0</v>
      </c>
      <c r="AF172" t="b">
        <v>0</v>
      </c>
    </row>
    <row r="173" spans="1:35" x14ac:dyDescent="0.3">
      <c r="A173" t="s">
        <v>422</v>
      </c>
      <c r="B173" t="s">
        <v>423</v>
      </c>
      <c r="C173" t="s">
        <v>85</v>
      </c>
      <c r="D173">
        <v>72</v>
      </c>
      <c r="E173">
        <v>1839</v>
      </c>
      <c r="F173">
        <v>11</v>
      </c>
      <c r="G173">
        <v>60</v>
      </c>
      <c r="H173">
        <v>60</v>
      </c>
      <c r="I173">
        <v>1</v>
      </c>
      <c r="J173">
        <v>1</v>
      </c>
      <c r="K173" t="s">
        <v>86</v>
      </c>
      <c r="P173">
        <v>0</v>
      </c>
      <c r="R173">
        <v>0</v>
      </c>
      <c r="T173">
        <v>0</v>
      </c>
      <c r="U173" t="b">
        <v>0</v>
      </c>
      <c r="Y173">
        <v>0</v>
      </c>
      <c r="Z173">
        <v>0</v>
      </c>
      <c r="AE173">
        <v>0</v>
      </c>
      <c r="AF173" t="b">
        <v>0</v>
      </c>
    </row>
    <row r="174" spans="1:35" x14ac:dyDescent="0.3">
      <c r="A174" t="s">
        <v>424</v>
      </c>
      <c r="B174" t="s">
        <v>425</v>
      </c>
      <c r="C174" t="s">
        <v>85</v>
      </c>
      <c r="D174">
        <v>50</v>
      </c>
      <c r="E174">
        <v>1710</v>
      </c>
      <c r="F174">
        <v>8</v>
      </c>
      <c r="G174">
        <v>60</v>
      </c>
      <c r="H174">
        <v>60</v>
      </c>
      <c r="I174">
        <v>1</v>
      </c>
      <c r="J174">
        <v>1</v>
      </c>
      <c r="K174" t="s">
        <v>86</v>
      </c>
      <c r="P174">
        <v>0</v>
      </c>
      <c r="R174">
        <v>0</v>
      </c>
      <c r="T174">
        <v>0</v>
      </c>
      <c r="U174" t="b">
        <v>0</v>
      </c>
      <c r="Y174">
        <v>0</v>
      </c>
      <c r="Z174">
        <v>125</v>
      </c>
      <c r="AA174">
        <v>-0.01</v>
      </c>
      <c r="AB174">
        <v>-0.8</v>
      </c>
      <c r="AE174">
        <v>0</v>
      </c>
      <c r="AF174" t="b">
        <v>0</v>
      </c>
    </row>
    <row r="175" spans="1:35" x14ac:dyDescent="0.3">
      <c r="A175" t="s">
        <v>426</v>
      </c>
      <c r="B175" t="s">
        <v>427</v>
      </c>
      <c r="C175" t="s">
        <v>428</v>
      </c>
      <c r="D175">
        <v>3582</v>
      </c>
      <c r="E175">
        <v>75568</v>
      </c>
      <c r="F175">
        <v>12</v>
      </c>
      <c r="G175">
        <v>60</v>
      </c>
      <c r="H175">
        <v>60</v>
      </c>
      <c r="I175">
        <v>1</v>
      </c>
      <c r="J175">
        <v>1</v>
      </c>
      <c r="K175" t="s">
        <v>86</v>
      </c>
      <c r="P175">
        <v>0</v>
      </c>
      <c r="R175">
        <v>0</v>
      </c>
      <c r="T175">
        <v>1</v>
      </c>
      <c r="U175" t="b">
        <v>1</v>
      </c>
      <c r="V175">
        <v>4.101943362949652</v>
      </c>
      <c r="W175">
        <v>0</v>
      </c>
      <c r="X175" t="b">
        <v>1</v>
      </c>
      <c r="Y175">
        <v>0</v>
      </c>
      <c r="Z175">
        <v>1639</v>
      </c>
      <c r="AA175">
        <v>5.3597262736683002E-3</v>
      </c>
      <c r="AB175">
        <v>0.5136213694785996</v>
      </c>
      <c r="AC175">
        <v>5.2370204634209999E-4</v>
      </c>
      <c r="AD175">
        <v>1.00396289268653E-2</v>
      </c>
      <c r="AE175">
        <v>1</v>
      </c>
      <c r="AF175" t="b">
        <v>1</v>
      </c>
      <c r="AG175">
        <v>0</v>
      </c>
      <c r="AH175">
        <v>0</v>
      </c>
      <c r="AI175" t="b">
        <v>1</v>
      </c>
    </row>
    <row r="176" spans="1:35" x14ac:dyDescent="0.3">
      <c r="A176" t="s">
        <v>429</v>
      </c>
      <c r="B176" t="s">
        <v>430</v>
      </c>
      <c r="C176" t="s">
        <v>431</v>
      </c>
      <c r="D176">
        <v>2183</v>
      </c>
      <c r="E176">
        <v>86034</v>
      </c>
      <c r="F176">
        <v>480</v>
      </c>
      <c r="G176">
        <v>76</v>
      </c>
      <c r="H176">
        <v>1</v>
      </c>
      <c r="I176">
        <v>2.4548434339912099E-2</v>
      </c>
      <c r="J176">
        <v>0.16324517950054979</v>
      </c>
      <c r="K176" t="s">
        <v>432</v>
      </c>
      <c r="L176">
        <v>0.85505061382726688</v>
      </c>
      <c r="M176">
        <v>1</v>
      </c>
      <c r="N176">
        <v>2.13973220204162E-2</v>
      </c>
      <c r="O176" t="s">
        <v>433</v>
      </c>
      <c r="P176">
        <v>73816</v>
      </c>
      <c r="Q176">
        <v>0.43674813048661532</v>
      </c>
      <c r="R176">
        <v>0</v>
      </c>
      <c r="T176">
        <v>0</v>
      </c>
      <c r="U176" t="b">
        <v>0</v>
      </c>
      <c r="V176">
        <v>9.7465760356845177</v>
      </c>
      <c r="Y176">
        <v>0</v>
      </c>
      <c r="Z176">
        <v>2247</v>
      </c>
      <c r="AA176">
        <v>4.3313847484789999E-3</v>
      </c>
      <c r="AB176">
        <v>0.4178023119435198</v>
      </c>
      <c r="AC176">
        <v>-3.9886822229579601E-2</v>
      </c>
      <c r="AD176">
        <v>4.7350098066243698E-2</v>
      </c>
      <c r="AE176">
        <v>0</v>
      </c>
      <c r="AF176" t="b">
        <v>0</v>
      </c>
    </row>
    <row r="177" spans="1:35" x14ac:dyDescent="0.3">
      <c r="A177" t="s">
        <v>434</v>
      </c>
      <c r="B177" t="s">
        <v>435</v>
      </c>
      <c r="C177" t="s">
        <v>428</v>
      </c>
      <c r="D177">
        <v>63</v>
      </c>
      <c r="E177">
        <v>1102</v>
      </c>
      <c r="F177">
        <v>7</v>
      </c>
      <c r="G177">
        <v>60</v>
      </c>
      <c r="H177">
        <v>60</v>
      </c>
      <c r="I177">
        <v>1</v>
      </c>
      <c r="J177">
        <v>1</v>
      </c>
      <c r="K177" t="s">
        <v>86</v>
      </c>
      <c r="P177">
        <v>0</v>
      </c>
      <c r="R177">
        <v>0</v>
      </c>
      <c r="T177">
        <v>0</v>
      </c>
      <c r="U177" t="b">
        <v>0</v>
      </c>
      <c r="Y177">
        <v>0</v>
      </c>
      <c r="Z177">
        <v>0</v>
      </c>
      <c r="AE177">
        <v>0</v>
      </c>
      <c r="AF177" t="b">
        <v>0</v>
      </c>
    </row>
    <row r="178" spans="1:35" x14ac:dyDescent="0.3">
      <c r="A178" t="s">
        <v>436</v>
      </c>
      <c r="B178" t="s">
        <v>437</v>
      </c>
      <c r="C178" t="s">
        <v>428</v>
      </c>
      <c r="D178">
        <v>210</v>
      </c>
      <c r="E178">
        <v>1240</v>
      </c>
      <c r="F178">
        <v>21</v>
      </c>
      <c r="G178">
        <v>360</v>
      </c>
      <c r="H178">
        <v>60</v>
      </c>
      <c r="I178">
        <v>1</v>
      </c>
      <c r="J178">
        <v>1</v>
      </c>
      <c r="K178" t="s">
        <v>86</v>
      </c>
      <c r="P178">
        <v>0</v>
      </c>
      <c r="R178">
        <v>0</v>
      </c>
      <c r="T178">
        <v>1</v>
      </c>
      <c r="U178" t="b">
        <v>0</v>
      </c>
      <c r="V178">
        <v>1.454545454545455</v>
      </c>
      <c r="W178">
        <v>7.4952200577200578</v>
      </c>
      <c r="Y178">
        <v>0</v>
      </c>
      <c r="Z178">
        <v>28</v>
      </c>
      <c r="AA178">
        <v>-3.4664618535586202E-2</v>
      </c>
      <c r="AB178">
        <v>-11.513605442176869</v>
      </c>
      <c r="AC178">
        <v>-6.14035087719298E-2</v>
      </c>
      <c r="AD178">
        <v>-5.4166666666666599E-2</v>
      </c>
      <c r="AE178">
        <v>1</v>
      </c>
      <c r="AF178" t="b">
        <v>1</v>
      </c>
      <c r="AG178">
        <v>6.9744753524430001E-3</v>
      </c>
      <c r="AH178">
        <v>1.1859121759371141</v>
      </c>
      <c r="AI178" t="b">
        <v>0</v>
      </c>
    </row>
    <row r="179" spans="1:35" x14ac:dyDescent="0.3">
      <c r="A179" t="s">
        <v>438</v>
      </c>
      <c r="B179" t="s">
        <v>439</v>
      </c>
      <c r="C179" t="s">
        <v>428</v>
      </c>
      <c r="D179">
        <v>270</v>
      </c>
      <c r="E179">
        <v>6256</v>
      </c>
      <c r="F179">
        <v>4</v>
      </c>
      <c r="G179">
        <v>60</v>
      </c>
      <c r="H179">
        <v>60</v>
      </c>
      <c r="I179">
        <v>1</v>
      </c>
      <c r="J179">
        <v>1</v>
      </c>
      <c r="K179" t="s">
        <v>86</v>
      </c>
      <c r="P179">
        <v>0</v>
      </c>
      <c r="R179">
        <v>0</v>
      </c>
      <c r="T179">
        <v>0</v>
      </c>
      <c r="U179" t="b">
        <v>0</v>
      </c>
      <c r="V179">
        <v>9.8684210526315694E-2</v>
      </c>
      <c r="Y179">
        <v>0</v>
      </c>
      <c r="Z179">
        <v>156</v>
      </c>
      <c r="AA179">
        <v>3.5318823978616998E-3</v>
      </c>
      <c r="AB179">
        <v>0.29647435897435898</v>
      </c>
      <c r="AC179">
        <v>3.4501061571125002E-3</v>
      </c>
      <c r="AD179">
        <v>0</v>
      </c>
      <c r="AE179">
        <v>0</v>
      </c>
      <c r="AF179" t="b">
        <v>0</v>
      </c>
    </row>
    <row r="180" spans="1:35" x14ac:dyDescent="0.3">
      <c r="A180" t="s">
        <v>440</v>
      </c>
      <c r="B180" t="s">
        <v>441</v>
      </c>
      <c r="C180" t="s">
        <v>428</v>
      </c>
      <c r="D180">
        <v>4242</v>
      </c>
      <c r="E180">
        <v>99870</v>
      </c>
      <c r="F180">
        <v>36</v>
      </c>
      <c r="G180">
        <v>120</v>
      </c>
      <c r="H180">
        <v>60</v>
      </c>
      <c r="I180">
        <v>1</v>
      </c>
      <c r="J180">
        <v>1</v>
      </c>
      <c r="K180" t="s">
        <v>86</v>
      </c>
      <c r="P180">
        <v>0</v>
      </c>
      <c r="R180">
        <v>0</v>
      </c>
      <c r="T180">
        <v>0</v>
      </c>
      <c r="U180" t="b">
        <v>0</v>
      </c>
      <c r="V180">
        <v>2.994033960532354</v>
      </c>
      <c r="Y180">
        <v>0</v>
      </c>
      <c r="Z180">
        <v>2750</v>
      </c>
      <c r="AA180">
        <v>1.6869800378433601E-2</v>
      </c>
      <c r="AB180">
        <v>1.663471861471862</v>
      </c>
      <c r="AC180">
        <v>1.5637211566796001E-2</v>
      </c>
      <c r="AD180">
        <v>1.9790738804332301E-2</v>
      </c>
      <c r="AE180">
        <v>0</v>
      </c>
      <c r="AF180" t="b">
        <v>0</v>
      </c>
    </row>
    <row r="181" spans="1:35" x14ac:dyDescent="0.3">
      <c r="A181" t="s">
        <v>442</v>
      </c>
      <c r="B181" t="s">
        <v>443</v>
      </c>
      <c r="C181" t="s">
        <v>444</v>
      </c>
      <c r="D181">
        <v>57</v>
      </c>
      <c r="E181">
        <v>570</v>
      </c>
      <c r="F181">
        <v>3</v>
      </c>
      <c r="G181">
        <v>60</v>
      </c>
      <c r="H181">
        <v>60</v>
      </c>
      <c r="I181">
        <v>1</v>
      </c>
      <c r="J181">
        <v>1</v>
      </c>
      <c r="K181" t="s">
        <v>86</v>
      </c>
      <c r="P181">
        <v>0</v>
      </c>
      <c r="R181">
        <v>0</v>
      </c>
      <c r="T181">
        <v>0</v>
      </c>
      <c r="U181" t="b">
        <v>0</v>
      </c>
      <c r="Y181">
        <v>0</v>
      </c>
      <c r="Z181">
        <v>10</v>
      </c>
      <c r="AA181">
        <v>0</v>
      </c>
      <c r="AB181">
        <v>0</v>
      </c>
      <c r="AC181">
        <v>0</v>
      </c>
      <c r="AD181">
        <v>0</v>
      </c>
      <c r="AE181">
        <v>0</v>
      </c>
      <c r="AF181" t="b">
        <v>0</v>
      </c>
    </row>
    <row r="182" spans="1:35" x14ac:dyDescent="0.3">
      <c r="A182" t="s">
        <v>445</v>
      </c>
      <c r="B182" t="s">
        <v>446</v>
      </c>
      <c r="C182" t="s">
        <v>447</v>
      </c>
      <c r="D182">
        <v>7534</v>
      </c>
      <c r="E182">
        <v>350666</v>
      </c>
      <c r="F182">
        <v>317</v>
      </c>
      <c r="G182">
        <v>88</v>
      </c>
      <c r="H182">
        <v>1</v>
      </c>
      <c r="I182">
        <v>1.6668282639320599E-2</v>
      </c>
      <c r="J182">
        <v>5.7688442211055201E-2</v>
      </c>
      <c r="K182" t="s">
        <v>86</v>
      </c>
      <c r="P182">
        <v>0</v>
      </c>
      <c r="R182">
        <v>0</v>
      </c>
      <c r="T182">
        <v>0</v>
      </c>
      <c r="U182" t="b">
        <v>0</v>
      </c>
      <c r="Y182">
        <v>0</v>
      </c>
      <c r="Z182">
        <v>4270</v>
      </c>
      <c r="AA182">
        <v>-1.5855429444346059E-7</v>
      </c>
      <c r="AB182">
        <v>-1.589270933617876E-5</v>
      </c>
      <c r="AC182">
        <v>-8.0944339201135363E-7</v>
      </c>
      <c r="AD182">
        <v>3.4116357095642741E-7</v>
      </c>
      <c r="AE182">
        <v>0</v>
      </c>
      <c r="AF182" t="b">
        <v>0</v>
      </c>
    </row>
    <row r="183" spans="1:35" x14ac:dyDescent="0.3">
      <c r="A183" t="s">
        <v>448</v>
      </c>
      <c r="B183" t="s">
        <v>449</v>
      </c>
      <c r="C183" t="s">
        <v>447</v>
      </c>
      <c r="D183">
        <v>122</v>
      </c>
      <c r="E183">
        <v>6124</v>
      </c>
      <c r="F183">
        <v>154</v>
      </c>
      <c r="G183">
        <v>68</v>
      </c>
      <c r="H183">
        <v>1</v>
      </c>
      <c r="I183">
        <v>8.0013063357282001E-3</v>
      </c>
      <c r="J183">
        <v>5.722939582337E-2</v>
      </c>
      <c r="K183" t="s">
        <v>86</v>
      </c>
      <c r="P183">
        <v>0</v>
      </c>
      <c r="R183">
        <v>0</v>
      </c>
      <c r="T183">
        <v>0</v>
      </c>
      <c r="U183" t="b">
        <v>0</v>
      </c>
      <c r="Y183">
        <v>0</v>
      </c>
      <c r="Z183">
        <v>254</v>
      </c>
      <c r="AA183">
        <v>0</v>
      </c>
      <c r="AB183">
        <v>0</v>
      </c>
      <c r="AC183">
        <v>0</v>
      </c>
      <c r="AD183">
        <v>0</v>
      </c>
      <c r="AE183">
        <v>0</v>
      </c>
      <c r="AF183" t="b">
        <v>0</v>
      </c>
    </row>
    <row r="184" spans="1:35" x14ac:dyDescent="0.3">
      <c r="A184" t="s">
        <v>450</v>
      </c>
      <c r="B184" t="s">
        <v>451</v>
      </c>
      <c r="C184" t="s">
        <v>447</v>
      </c>
      <c r="D184">
        <v>566</v>
      </c>
      <c r="E184">
        <v>18888</v>
      </c>
      <c r="F184">
        <v>108</v>
      </c>
      <c r="G184">
        <v>53</v>
      </c>
      <c r="H184">
        <v>1</v>
      </c>
      <c r="I184">
        <v>1.38182973316391E-2</v>
      </c>
      <c r="J184">
        <v>9.5096124190397799E-2</v>
      </c>
      <c r="K184" t="s">
        <v>86</v>
      </c>
      <c r="P184">
        <v>0</v>
      </c>
      <c r="R184">
        <v>0</v>
      </c>
      <c r="T184">
        <v>0</v>
      </c>
      <c r="U184" t="b">
        <v>0</v>
      </c>
      <c r="Y184">
        <v>0</v>
      </c>
      <c r="Z184">
        <v>353</v>
      </c>
      <c r="AA184">
        <v>0</v>
      </c>
      <c r="AB184">
        <v>0</v>
      </c>
      <c r="AC184">
        <v>0</v>
      </c>
      <c r="AD184">
        <v>0</v>
      </c>
      <c r="AE184">
        <v>0</v>
      </c>
      <c r="AF184" t="b">
        <v>0</v>
      </c>
    </row>
    <row r="185" spans="1:35" x14ac:dyDescent="0.3">
      <c r="A185" t="s">
        <v>452</v>
      </c>
      <c r="B185" t="s">
        <v>453</v>
      </c>
      <c r="C185" t="s">
        <v>454</v>
      </c>
      <c r="D185">
        <v>34120</v>
      </c>
      <c r="E185">
        <v>879659</v>
      </c>
      <c r="F185">
        <v>13</v>
      </c>
      <c r="G185">
        <v>120</v>
      </c>
      <c r="H185">
        <v>60</v>
      </c>
      <c r="I185">
        <v>1</v>
      </c>
      <c r="J185">
        <v>1</v>
      </c>
      <c r="K185" t="s">
        <v>86</v>
      </c>
      <c r="P185">
        <v>0</v>
      </c>
      <c r="R185">
        <v>0</v>
      </c>
      <c r="T185">
        <v>1</v>
      </c>
      <c r="U185" t="b">
        <v>1</v>
      </c>
      <c r="V185">
        <v>9.1592043842790805</v>
      </c>
      <c r="W185">
        <v>15.23281536107773</v>
      </c>
      <c r="X185" t="b">
        <v>0</v>
      </c>
      <c r="Y185">
        <v>0</v>
      </c>
      <c r="Z185">
        <v>7908</v>
      </c>
      <c r="AA185">
        <v>7.5999951268812E-3</v>
      </c>
      <c r="AB185">
        <v>0.90503355710777045</v>
      </c>
      <c r="AC185">
        <v>-7.3031902434136002E-3</v>
      </c>
      <c r="AD185">
        <v>2.6149227589891098E-2</v>
      </c>
      <c r="AE185">
        <v>1</v>
      </c>
      <c r="AF185" t="b">
        <v>1</v>
      </c>
      <c r="AG185">
        <v>1.7676482907850999E-3</v>
      </c>
      <c r="AH185">
        <v>0.25642034684303711</v>
      </c>
      <c r="AI185" t="b">
        <v>1</v>
      </c>
    </row>
    <row r="186" spans="1:35" x14ac:dyDescent="0.3">
      <c r="A186" t="s">
        <v>455</v>
      </c>
      <c r="B186" t="s">
        <v>456</v>
      </c>
      <c r="C186" t="s">
        <v>457</v>
      </c>
      <c r="D186">
        <v>14470</v>
      </c>
      <c r="E186">
        <v>425759</v>
      </c>
      <c r="F186">
        <v>683</v>
      </c>
      <c r="G186">
        <v>62</v>
      </c>
      <c r="H186">
        <v>1</v>
      </c>
      <c r="I186">
        <v>2.84503674614042E-2</v>
      </c>
      <c r="J186">
        <v>0.14384131051024859</v>
      </c>
      <c r="K186" t="s">
        <v>432</v>
      </c>
      <c r="L186">
        <v>0.98331652493094923</v>
      </c>
      <c r="M186">
        <v>1</v>
      </c>
      <c r="N186">
        <v>0.12931526341442001</v>
      </c>
      <c r="O186" t="s">
        <v>433</v>
      </c>
      <c r="P186">
        <v>14383</v>
      </c>
      <c r="Q186">
        <v>0.81735382048251404</v>
      </c>
      <c r="R186">
        <v>0</v>
      </c>
      <c r="T186">
        <v>1</v>
      </c>
      <c r="U186" t="b">
        <v>1</v>
      </c>
      <c r="V186">
        <v>12.01318310093904</v>
      </c>
      <c r="W186">
        <v>0.54895104895104874</v>
      </c>
      <c r="X186" t="b">
        <v>1</v>
      </c>
      <c r="Y186">
        <v>0</v>
      </c>
      <c r="Z186">
        <v>8772</v>
      </c>
      <c r="AA186">
        <v>0.1339592892576062</v>
      </c>
      <c r="AB186">
        <v>10.04065328361779</v>
      </c>
      <c r="AC186">
        <v>8.3737930559092802E-2</v>
      </c>
      <c r="AD186">
        <v>0.1790941952290134</v>
      </c>
      <c r="AE186">
        <v>1</v>
      </c>
      <c r="AF186" t="b">
        <v>1</v>
      </c>
      <c r="AG186">
        <v>8.6520947176683995E-3</v>
      </c>
      <c r="AH186">
        <v>1.9</v>
      </c>
      <c r="AI186" t="b">
        <v>1</v>
      </c>
    </row>
    <row r="187" spans="1:35" x14ac:dyDescent="0.3">
      <c r="A187" t="s">
        <v>458</v>
      </c>
      <c r="B187" t="s">
        <v>459</v>
      </c>
      <c r="C187" t="s">
        <v>431</v>
      </c>
      <c r="D187">
        <v>127</v>
      </c>
      <c r="E187">
        <v>251</v>
      </c>
      <c r="F187">
        <v>8</v>
      </c>
      <c r="G187">
        <v>120</v>
      </c>
      <c r="H187">
        <v>60</v>
      </c>
      <c r="I187">
        <v>1</v>
      </c>
      <c r="J187">
        <v>1</v>
      </c>
      <c r="K187" t="s">
        <v>432</v>
      </c>
      <c r="L187">
        <v>0.91088840736728061</v>
      </c>
      <c r="M187">
        <v>1</v>
      </c>
      <c r="N187">
        <v>1</v>
      </c>
      <c r="O187" t="s">
        <v>433</v>
      </c>
      <c r="P187">
        <v>0</v>
      </c>
      <c r="R187">
        <v>0</v>
      </c>
      <c r="T187">
        <v>0</v>
      </c>
      <c r="U187" t="b">
        <v>0</v>
      </c>
      <c r="V187">
        <v>3.75</v>
      </c>
      <c r="Y187">
        <v>0.68959913326110511</v>
      </c>
      <c r="Z187">
        <v>9</v>
      </c>
      <c r="AA187">
        <v>9.5238095238095004E-3</v>
      </c>
      <c r="AB187">
        <v>1.904761904761904</v>
      </c>
      <c r="AC187">
        <v>0</v>
      </c>
      <c r="AD187">
        <v>1.6666666666666601E-2</v>
      </c>
      <c r="AE187">
        <v>0</v>
      </c>
      <c r="AF187" t="b">
        <v>0</v>
      </c>
    </row>
    <row r="188" spans="1:35" x14ac:dyDescent="0.3">
      <c r="A188" t="s">
        <v>460</v>
      </c>
      <c r="B188" t="s">
        <v>461</v>
      </c>
      <c r="C188" t="s">
        <v>462</v>
      </c>
      <c r="D188">
        <v>635</v>
      </c>
      <c r="E188">
        <v>17022</v>
      </c>
      <c r="F188">
        <v>281</v>
      </c>
      <c r="G188">
        <v>49</v>
      </c>
      <c r="H188">
        <v>1</v>
      </c>
      <c r="I188">
        <v>1.47456233110092E-2</v>
      </c>
      <c r="J188">
        <v>5.36897547714787E-2</v>
      </c>
      <c r="K188" t="s">
        <v>86</v>
      </c>
      <c r="P188">
        <v>0</v>
      </c>
      <c r="R188">
        <v>0</v>
      </c>
      <c r="T188">
        <v>0</v>
      </c>
      <c r="U188" t="b">
        <v>0</v>
      </c>
      <c r="Y188">
        <v>0</v>
      </c>
      <c r="Z188">
        <v>373</v>
      </c>
      <c r="AA188">
        <v>-1.48524152722721E-2</v>
      </c>
      <c r="AB188">
        <v>-0.96799012723945677</v>
      </c>
      <c r="AC188">
        <v>-2.8453037205568799E-2</v>
      </c>
      <c r="AD188">
        <v>-6.5880378257675998E-3</v>
      </c>
      <c r="AE188">
        <v>0</v>
      </c>
      <c r="AF188" t="b">
        <v>0</v>
      </c>
    </row>
    <row r="189" spans="1:35" x14ac:dyDescent="0.3">
      <c r="A189" t="s">
        <v>463</v>
      </c>
      <c r="B189" t="s">
        <v>464</v>
      </c>
      <c r="C189" t="s">
        <v>465</v>
      </c>
      <c r="D189">
        <v>2424</v>
      </c>
      <c r="E189">
        <v>69974</v>
      </c>
      <c r="F189">
        <v>10</v>
      </c>
      <c r="G189">
        <v>60</v>
      </c>
      <c r="H189">
        <v>60</v>
      </c>
      <c r="I189">
        <v>1</v>
      </c>
      <c r="J189">
        <v>1</v>
      </c>
      <c r="K189" t="s">
        <v>86</v>
      </c>
      <c r="P189">
        <v>0</v>
      </c>
      <c r="R189">
        <v>0</v>
      </c>
      <c r="T189">
        <v>0</v>
      </c>
      <c r="U189" t="b">
        <v>0</v>
      </c>
      <c r="V189">
        <v>4.9797816989028387</v>
      </c>
      <c r="Y189">
        <v>0</v>
      </c>
      <c r="Z189">
        <v>2070</v>
      </c>
      <c r="AA189">
        <v>0.1110481529798921</v>
      </c>
      <c r="AB189">
        <v>9.6970764624217303</v>
      </c>
      <c r="AC189">
        <v>0.1153689921345574</v>
      </c>
      <c r="AD189">
        <v>0.1140495487626578</v>
      </c>
      <c r="AE189">
        <v>0</v>
      </c>
      <c r="AF189" t="b">
        <v>0</v>
      </c>
    </row>
    <row r="190" spans="1:35" x14ac:dyDescent="0.3">
      <c r="A190" t="s">
        <v>466</v>
      </c>
      <c r="B190" t="s">
        <v>467</v>
      </c>
      <c r="C190" t="s">
        <v>465</v>
      </c>
      <c r="D190">
        <v>1869</v>
      </c>
      <c r="E190">
        <v>41154</v>
      </c>
      <c r="F190">
        <v>19</v>
      </c>
      <c r="G190">
        <v>60</v>
      </c>
      <c r="H190">
        <v>60</v>
      </c>
      <c r="I190">
        <v>1</v>
      </c>
      <c r="J190">
        <v>1</v>
      </c>
      <c r="K190" t="s">
        <v>86</v>
      </c>
      <c r="P190">
        <v>0</v>
      </c>
      <c r="R190">
        <v>0</v>
      </c>
      <c r="T190">
        <v>0</v>
      </c>
      <c r="U190" t="b">
        <v>0</v>
      </c>
      <c r="V190">
        <v>14.834380467123831</v>
      </c>
      <c r="Y190">
        <v>0</v>
      </c>
      <c r="Z190">
        <v>964</v>
      </c>
      <c r="AA190">
        <v>-1.04136454874068E-2</v>
      </c>
      <c r="AB190">
        <v>-0.94351129538349998</v>
      </c>
      <c r="AC190">
        <v>-2.6178950109234701E-2</v>
      </c>
      <c r="AD190">
        <v>-9.4323342910519997E-4</v>
      </c>
      <c r="AE190">
        <v>0</v>
      </c>
      <c r="AF190" t="b">
        <v>0</v>
      </c>
    </row>
    <row r="191" spans="1:35" x14ac:dyDescent="0.3">
      <c r="A191" t="s">
        <v>468</v>
      </c>
      <c r="B191" t="s">
        <v>469</v>
      </c>
      <c r="C191" t="s">
        <v>465</v>
      </c>
      <c r="D191">
        <v>1069</v>
      </c>
      <c r="E191">
        <v>16728</v>
      </c>
      <c r="F191">
        <v>6</v>
      </c>
      <c r="G191">
        <v>120</v>
      </c>
      <c r="H191">
        <v>60</v>
      </c>
      <c r="I191">
        <v>1</v>
      </c>
      <c r="J191">
        <v>1</v>
      </c>
      <c r="K191" t="s">
        <v>86</v>
      </c>
      <c r="P191">
        <v>0</v>
      </c>
      <c r="R191">
        <v>0</v>
      </c>
      <c r="T191">
        <v>0</v>
      </c>
      <c r="U191" t="b">
        <v>0</v>
      </c>
      <c r="V191">
        <v>3.5699546485260769</v>
      </c>
      <c r="Y191">
        <v>0</v>
      </c>
      <c r="Z191">
        <v>441</v>
      </c>
      <c r="AA191">
        <v>5.6139244555873996E-3</v>
      </c>
      <c r="AB191">
        <v>0.60151620865906608</v>
      </c>
      <c r="AC191">
        <v>6.7593298468970999E-3</v>
      </c>
      <c r="AD191">
        <v>2.9881605149679E-3</v>
      </c>
      <c r="AE191">
        <v>0</v>
      </c>
      <c r="AF191" t="b">
        <v>0</v>
      </c>
    </row>
    <row r="192" spans="1:35" x14ac:dyDescent="0.3">
      <c r="A192" t="s">
        <v>470</v>
      </c>
      <c r="B192" t="s">
        <v>471</v>
      </c>
      <c r="C192" t="s">
        <v>465</v>
      </c>
      <c r="D192">
        <v>8092</v>
      </c>
      <c r="E192">
        <v>148450</v>
      </c>
      <c r="F192">
        <v>12</v>
      </c>
      <c r="G192">
        <v>120</v>
      </c>
      <c r="H192">
        <v>60</v>
      </c>
      <c r="I192">
        <v>1</v>
      </c>
      <c r="J192">
        <v>1</v>
      </c>
      <c r="K192" t="s">
        <v>86</v>
      </c>
      <c r="P192">
        <v>0</v>
      </c>
      <c r="R192">
        <v>0</v>
      </c>
      <c r="T192">
        <v>0</v>
      </c>
      <c r="U192" t="b">
        <v>0</v>
      </c>
      <c r="V192">
        <v>13.168119465645439</v>
      </c>
      <c r="Y192">
        <v>0</v>
      </c>
      <c r="Z192">
        <v>3397</v>
      </c>
      <c r="AA192">
        <v>5.3296579906038297E-2</v>
      </c>
      <c r="AB192">
        <v>5.7506819815182464</v>
      </c>
      <c r="AC192">
        <v>3.2985622899432201E-2</v>
      </c>
      <c r="AD192">
        <v>6.7955126386086195E-2</v>
      </c>
      <c r="AE192">
        <v>0</v>
      </c>
      <c r="AF192" t="b">
        <v>0</v>
      </c>
    </row>
    <row r="193" spans="1:35" x14ac:dyDescent="0.3">
      <c r="A193" t="s">
        <v>472</v>
      </c>
      <c r="B193" t="s">
        <v>473</v>
      </c>
      <c r="C193" t="s">
        <v>474</v>
      </c>
      <c r="D193">
        <v>139</v>
      </c>
      <c r="E193">
        <v>394</v>
      </c>
      <c r="F193">
        <v>18</v>
      </c>
      <c r="G193">
        <v>1200</v>
      </c>
      <c r="H193">
        <v>60</v>
      </c>
      <c r="I193">
        <v>1</v>
      </c>
      <c r="J193">
        <v>1</v>
      </c>
      <c r="K193" t="s">
        <v>86</v>
      </c>
      <c r="P193">
        <v>0</v>
      </c>
      <c r="R193">
        <v>0</v>
      </c>
      <c r="T193">
        <v>0</v>
      </c>
      <c r="U193" t="b">
        <v>0</v>
      </c>
      <c r="V193">
        <v>2.1428571428571428</v>
      </c>
      <c r="Y193">
        <v>0</v>
      </c>
      <c r="Z193">
        <v>8</v>
      </c>
      <c r="AA193">
        <v>3.9622066443157E-3</v>
      </c>
      <c r="AB193">
        <v>4.642857142857153</v>
      </c>
      <c r="AC193">
        <v>4.8765620237731996E-3</v>
      </c>
      <c r="AD193">
        <v>3.7300485773768001E-3</v>
      </c>
      <c r="AE193">
        <v>1</v>
      </c>
      <c r="AF193" t="b">
        <v>0</v>
      </c>
      <c r="AG193">
        <v>-1.5444242209215401E-2</v>
      </c>
      <c r="AH193">
        <v>-4.8187009069361997</v>
      </c>
    </row>
    <row r="194" spans="1:35" x14ac:dyDescent="0.3">
      <c r="A194" t="s">
        <v>475</v>
      </c>
      <c r="B194" t="s">
        <v>476</v>
      </c>
      <c r="C194" t="s">
        <v>431</v>
      </c>
      <c r="D194">
        <v>1404</v>
      </c>
      <c r="E194">
        <v>11972</v>
      </c>
      <c r="F194">
        <v>304</v>
      </c>
      <c r="G194">
        <v>79</v>
      </c>
      <c r="H194">
        <v>1</v>
      </c>
      <c r="I194">
        <v>0.12988640160374201</v>
      </c>
      <c r="J194">
        <v>0.37387858851674638</v>
      </c>
      <c r="K194" t="s">
        <v>432</v>
      </c>
      <c r="L194">
        <v>0.63726076555023925</v>
      </c>
      <c r="M194">
        <v>1</v>
      </c>
      <c r="N194">
        <v>1.7480056311590799E-2</v>
      </c>
      <c r="O194" t="s">
        <v>433</v>
      </c>
      <c r="P194">
        <v>8375</v>
      </c>
      <c r="Q194">
        <v>9.1104477611940293E-2</v>
      </c>
      <c r="R194">
        <v>0</v>
      </c>
      <c r="T194">
        <v>0</v>
      </c>
      <c r="U194" t="b">
        <v>0</v>
      </c>
      <c r="V194">
        <v>2.690956651718984</v>
      </c>
      <c r="Y194">
        <v>0</v>
      </c>
      <c r="Z194">
        <v>379</v>
      </c>
      <c r="AA194">
        <v>1.33242351870806E-2</v>
      </c>
      <c r="AB194">
        <v>1.545646437994723</v>
      </c>
      <c r="AC194">
        <v>1.6945911949685501E-2</v>
      </c>
      <c r="AD194">
        <v>8.4125364692399997E-4</v>
      </c>
      <c r="AE194">
        <v>0</v>
      </c>
      <c r="AF194" t="b">
        <v>0</v>
      </c>
    </row>
    <row r="195" spans="1:35" x14ac:dyDescent="0.3">
      <c r="A195" t="s">
        <v>477</v>
      </c>
      <c r="B195" t="s">
        <v>478</v>
      </c>
      <c r="C195" t="s">
        <v>479</v>
      </c>
      <c r="D195">
        <v>352</v>
      </c>
      <c r="E195">
        <v>6180</v>
      </c>
      <c r="F195">
        <v>8</v>
      </c>
      <c r="G195">
        <v>60</v>
      </c>
      <c r="H195">
        <v>60</v>
      </c>
      <c r="I195">
        <v>1</v>
      </c>
      <c r="J195">
        <v>1</v>
      </c>
      <c r="K195" t="s">
        <v>86</v>
      </c>
      <c r="P195">
        <v>0</v>
      </c>
      <c r="R195">
        <v>0</v>
      </c>
      <c r="T195">
        <v>0</v>
      </c>
      <c r="U195" t="b">
        <v>0</v>
      </c>
      <c r="V195">
        <v>7.1085714285714294</v>
      </c>
      <c r="Y195">
        <v>0</v>
      </c>
      <c r="Z195">
        <v>254</v>
      </c>
      <c r="AA195">
        <v>1.6322383161349301E-2</v>
      </c>
      <c r="AB195">
        <v>1.212129733783277</v>
      </c>
      <c r="AC195">
        <v>1.3230824244591E-3</v>
      </c>
      <c r="AD195">
        <v>5.4942685687592002E-2</v>
      </c>
      <c r="AE195">
        <v>0</v>
      </c>
      <c r="AF195" t="b">
        <v>0</v>
      </c>
    </row>
    <row r="196" spans="1:35" x14ac:dyDescent="0.3">
      <c r="A196" t="s">
        <v>480</v>
      </c>
      <c r="B196" t="s">
        <v>481</v>
      </c>
      <c r="C196" t="s">
        <v>474</v>
      </c>
      <c r="D196">
        <v>1405</v>
      </c>
      <c r="E196">
        <v>34179</v>
      </c>
      <c r="F196">
        <v>23</v>
      </c>
      <c r="G196">
        <v>60</v>
      </c>
      <c r="H196">
        <v>30</v>
      </c>
      <c r="I196">
        <v>0.91126130079873602</v>
      </c>
      <c r="J196">
        <v>0.95097489914836397</v>
      </c>
      <c r="K196" t="s">
        <v>86</v>
      </c>
      <c r="P196">
        <v>0</v>
      </c>
      <c r="R196">
        <v>0</v>
      </c>
      <c r="T196">
        <v>0</v>
      </c>
      <c r="U196" t="b">
        <v>0</v>
      </c>
      <c r="V196">
        <v>1.92236818098887</v>
      </c>
      <c r="Y196">
        <v>0</v>
      </c>
      <c r="Z196">
        <v>1163</v>
      </c>
      <c r="AA196">
        <v>5.8452738492970004E-4</v>
      </c>
      <c r="AB196">
        <v>4.5763969983786901E-2</v>
      </c>
      <c r="AC196">
        <v>-7.4235181623497999E-3</v>
      </c>
      <c r="AD196">
        <v>2.6890199459297E-3</v>
      </c>
      <c r="AE196">
        <v>0</v>
      </c>
      <c r="AF196" t="b">
        <v>0</v>
      </c>
    </row>
    <row r="197" spans="1:35" x14ac:dyDescent="0.3">
      <c r="A197" t="s">
        <v>482</v>
      </c>
      <c r="B197" t="s">
        <v>483</v>
      </c>
      <c r="C197" t="s">
        <v>431</v>
      </c>
      <c r="D197">
        <v>126</v>
      </c>
      <c r="E197">
        <v>1489</v>
      </c>
      <c r="F197">
        <v>175</v>
      </c>
      <c r="G197">
        <v>62</v>
      </c>
      <c r="H197">
        <v>1</v>
      </c>
      <c r="I197">
        <v>8.1934184016118197E-2</v>
      </c>
      <c r="J197">
        <v>0.25758513931888538</v>
      </c>
      <c r="K197" t="s">
        <v>432</v>
      </c>
      <c r="L197">
        <v>0.70092879256965945</v>
      </c>
      <c r="M197">
        <v>0.83229813664596275</v>
      </c>
      <c r="N197">
        <v>1.23674911660777E-2</v>
      </c>
      <c r="O197" t="s">
        <v>433</v>
      </c>
      <c r="P197">
        <v>1118</v>
      </c>
      <c r="Q197">
        <v>0.93738819320214684</v>
      </c>
      <c r="R197">
        <v>0</v>
      </c>
      <c r="T197">
        <v>0</v>
      </c>
      <c r="U197" t="b">
        <v>0</v>
      </c>
      <c r="Y197">
        <v>0</v>
      </c>
      <c r="Z197">
        <v>83</v>
      </c>
      <c r="AA197">
        <v>8.7004126040153895E-2</v>
      </c>
      <c r="AB197">
        <v>9.095180722891568</v>
      </c>
      <c r="AC197">
        <v>0</v>
      </c>
      <c r="AE197">
        <v>0</v>
      </c>
      <c r="AF197" t="b">
        <v>0</v>
      </c>
    </row>
    <row r="198" spans="1:35" x14ac:dyDescent="0.3">
      <c r="A198" t="s">
        <v>484</v>
      </c>
      <c r="B198" t="s">
        <v>485</v>
      </c>
      <c r="C198" t="s">
        <v>431</v>
      </c>
      <c r="D198">
        <v>937</v>
      </c>
      <c r="E198">
        <v>20963</v>
      </c>
      <c r="F198">
        <v>181</v>
      </c>
      <c r="G198">
        <v>53</v>
      </c>
      <c r="H198">
        <v>1</v>
      </c>
      <c r="I198">
        <v>3.3773791919095499E-2</v>
      </c>
      <c r="J198">
        <v>0.2213698630136986</v>
      </c>
      <c r="K198" t="s">
        <v>432</v>
      </c>
      <c r="L198">
        <v>3.1689497716894902E-2</v>
      </c>
      <c r="M198">
        <v>0.2214467603508441</v>
      </c>
      <c r="N198">
        <v>0.21902017291066281</v>
      </c>
      <c r="O198" t="s">
        <v>433</v>
      </c>
      <c r="P198">
        <v>542</v>
      </c>
      <c r="Q198">
        <v>0.38929889298892989</v>
      </c>
      <c r="R198">
        <v>16460</v>
      </c>
      <c r="S198">
        <v>0.59981773997569865</v>
      </c>
      <c r="T198">
        <v>0</v>
      </c>
      <c r="U198" t="b">
        <v>0</v>
      </c>
      <c r="V198">
        <v>0.38777936281502612</v>
      </c>
      <c r="Y198">
        <v>0</v>
      </c>
      <c r="Z198">
        <v>881</v>
      </c>
      <c r="AA198">
        <v>1.2803219214593E-3</v>
      </c>
      <c r="AB198">
        <v>8.2745527268796207E-2</v>
      </c>
      <c r="AC198">
        <v>-1.5234483300260001E-4</v>
      </c>
      <c r="AD198">
        <v>3.7166304706622E-3</v>
      </c>
      <c r="AE198">
        <v>0</v>
      </c>
      <c r="AF198" t="b">
        <v>0</v>
      </c>
    </row>
    <row r="199" spans="1:35" x14ac:dyDescent="0.3">
      <c r="A199" t="s">
        <v>486</v>
      </c>
      <c r="B199" t="s">
        <v>487</v>
      </c>
      <c r="C199" t="s">
        <v>474</v>
      </c>
      <c r="D199">
        <v>3992</v>
      </c>
      <c r="E199">
        <v>68545</v>
      </c>
      <c r="F199">
        <v>16</v>
      </c>
      <c r="G199">
        <v>60</v>
      </c>
      <c r="H199">
        <v>60</v>
      </c>
      <c r="I199">
        <v>1</v>
      </c>
      <c r="J199">
        <v>1</v>
      </c>
      <c r="K199" t="s">
        <v>86</v>
      </c>
      <c r="P199">
        <v>0</v>
      </c>
      <c r="R199">
        <v>0</v>
      </c>
      <c r="T199">
        <v>1</v>
      </c>
      <c r="U199" t="b">
        <v>1</v>
      </c>
      <c r="V199">
        <v>1.724943451498907</v>
      </c>
      <c r="W199">
        <v>6.5934065934065894E-2</v>
      </c>
      <c r="X199" t="b">
        <v>1</v>
      </c>
      <c r="Y199">
        <v>0</v>
      </c>
      <c r="Z199">
        <v>1494</v>
      </c>
      <c r="AA199">
        <v>3.5282632862858E-3</v>
      </c>
      <c r="AB199">
        <v>0.29448098974799131</v>
      </c>
      <c r="AC199">
        <v>1.744938654227E-3</v>
      </c>
      <c r="AD199">
        <v>9.6286256918689007E-3</v>
      </c>
      <c r="AE199">
        <v>1</v>
      </c>
      <c r="AF199" t="b">
        <v>1</v>
      </c>
      <c r="AG199">
        <v>3.3057851239660002E-4</v>
      </c>
      <c r="AH199">
        <v>3.4285714285714301E-2</v>
      </c>
      <c r="AI199" t="b">
        <v>1</v>
      </c>
    </row>
    <row r="200" spans="1:35" x14ac:dyDescent="0.3">
      <c r="A200" t="s">
        <v>488</v>
      </c>
      <c r="B200" t="s">
        <v>489</v>
      </c>
      <c r="C200" t="s">
        <v>474</v>
      </c>
      <c r="D200">
        <v>958</v>
      </c>
      <c r="E200">
        <v>12273</v>
      </c>
      <c r="F200">
        <v>81</v>
      </c>
      <c r="G200">
        <v>70</v>
      </c>
      <c r="H200">
        <v>1</v>
      </c>
      <c r="I200">
        <v>0.25552024769819931</v>
      </c>
      <c r="J200">
        <v>0.2139671982465422</v>
      </c>
      <c r="K200" t="s">
        <v>86</v>
      </c>
      <c r="P200">
        <v>0</v>
      </c>
      <c r="R200">
        <v>0</v>
      </c>
      <c r="T200">
        <v>0</v>
      </c>
      <c r="U200" t="b">
        <v>0</v>
      </c>
      <c r="V200">
        <v>0.29092526690391451</v>
      </c>
      <c r="Y200">
        <v>0</v>
      </c>
      <c r="Z200">
        <v>423</v>
      </c>
      <c r="AA200">
        <v>2.3678259714772E-3</v>
      </c>
      <c r="AB200">
        <v>0.2167764268828099</v>
      </c>
      <c r="AC200">
        <v>4.9162569785851E-3</v>
      </c>
      <c r="AD200">
        <v>1.3087587551447E-3</v>
      </c>
      <c r="AE200">
        <v>0</v>
      </c>
      <c r="AF200" t="b">
        <v>0</v>
      </c>
    </row>
    <row r="201" spans="1:35" x14ac:dyDescent="0.3">
      <c r="A201" t="s">
        <v>490</v>
      </c>
      <c r="B201" t="s">
        <v>491</v>
      </c>
      <c r="C201" t="s">
        <v>431</v>
      </c>
      <c r="D201">
        <v>124</v>
      </c>
      <c r="E201">
        <v>73</v>
      </c>
      <c r="F201">
        <v>3</v>
      </c>
      <c r="G201">
        <v>600</v>
      </c>
      <c r="H201">
        <v>300</v>
      </c>
      <c r="I201">
        <v>1</v>
      </c>
      <c r="J201">
        <v>1</v>
      </c>
      <c r="K201" t="s">
        <v>86</v>
      </c>
      <c r="P201">
        <v>0</v>
      </c>
      <c r="R201">
        <v>0</v>
      </c>
      <c r="T201">
        <v>0</v>
      </c>
      <c r="U201" t="b">
        <v>0</v>
      </c>
      <c r="V201">
        <v>0</v>
      </c>
      <c r="Y201">
        <v>0.81613210543029535</v>
      </c>
      <c r="Z201">
        <v>2</v>
      </c>
      <c r="AA201">
        <v>0</v>
      </c>
      <c r="AB201">
        <v>0</v>
      </c>
      <c r="AC201">
        <v>0</v>
      </c>
      <c r="AD201">
        <v>0</v>
      </c>
      <c r="AE201">
        <v>0</v>
      </c>
      <c r="AF201" t="b">
        <v>0</v>
      </c>
    </row>
    <row r="202" spans="1:35" x14ac:dyDescent="0.3">
      <c r="A202" t="s">
        <v>492</v>
      </c>
      <c r="B202" t="s">
        <v>493</v>
      </c>
      <c r="C202" t="s">
        <v>479</v>
      </c>
      <c r="D202">
        <v>1017</v>
      </c>
      <c r="E202">
        <v>5666</v>
      </c>
      <c r="F202">
        <v>36</v>
      </c>
      <c r="G202">
        <v>360</v>
      </c>
      <c r="H202">
        <v>60</v>
      </c>
      <c r="I202">
        <v>1</v>
      </c>
      <c r="J202">
        <v>1</v>
      </c>
      <c r="K202" t="s">
        <v>86</v>
      </c>
      <c r="P202">
        <v>0</v>
      </c>
      <c r="R202">
        <v>0</v>
      </c>
      <c r="T202">
        <v>1</v>
      </c>
      <c r="U202" t="b">
        <v>1</v>
      </c>
      <c r="V202">
        <v>2.6580237358101102</v>
      </c>
      <c r="W202">
        <v>10.813859683431829</v>
      </c>
      <c r="X202" t="b">
        <v>0</v>
      </c>
      <c r="Y202">
        <v>0</v>
      </c>
      <c r="Z202">
        <v>28</v>
      </c>
      <c r="AA202">
        <v>9.2835750730487498E-2</v>
      </c>
      <c r="AB202">
        <v>35.211274027063503</v>
      </c>
      <c r="AC202">
        <v>9.6045197740112997E-2</v>
      </c>
      <c r="AD202">
        <v>8.9037225555302899E-2</v>
      </c>
      <c r="AE202">
        <v>1</v>
      </c>
      <c r="AF202" t="b">
        <v>1</v>
      </c>
      <c r="AG202">
        <v>7.1947844642697E-3</v>
      </c>
      <c r="AH202">
        <v>1.451066598770347</v>
      </c>
      <c r="AI202" t="b">
        <v>1</v>
      </c>
    </row>
    <row r="203" spans="1:35" x14ac:dyDescent="0.3">
      <c r="A203" t="s">
        <v>494</v>
      </c>
      <c r="B203" t="s">
        <v>495</v>
      </c>
      <c r="C203" t="s">
        <v>431</v>
      </c>
      <c r="D203">
        <v>96</v>
      </c>
      <c r="E203">
        <v>755</v>
      </c>
      <c r="F203">
        <v>5</v>
      </c>
      <c r="G203">
        <v>120</v>
      </c>
      <c r="H203">
        <v>60</v>
      </c>
      <c r="I203">
        <v>1</v>
      </c>
      <c r="J203">
        <v>1</v>
      </c>
      <c r="K203" t="s">
        <v>432</v>
      </c>
      <c r="L203">
        <v>0.79502868068833654</v>
      </c>
      <c r="M203">
        <v>1</v>
      </c>
      <c r="N203">
        <v>1</v>
      </c>
      <c r="O203" t="s">
        <v>433</v>
      </c>
      <c r="P203">
        <v>0</v>
      </c>
      <c r="R203">
        <v>0</v>
      </c>
      <c r="T203">
        <v>0</v>
      </c>
      <c r="U203" t="b">
        <v>0</v>
      </c>
      <c r="Y203">
        <v>0.53804971319311667</v>
      </c>
      <c r="Z203">
        <v>32</v>
      </c>
      <c r="AA203">
        <v>0</v>
      </c>
      <c r="AB203">
        <v>0</v>
      </c>
      <c r="AD203">
        <v>0</v>
      </c>
      <c r="AE203">
        <v>0</v>
      </c>
      <c r="AF203" t="b">
        <v>0</v>
      </c>
    </row>
    <row r="204" spans="1:35" x14ac:dyDescent="0.3">
      <c r="A204" t="s">
        <v>496</v>
      </c>
      <c r="B204" t="s">
        <v>497</v>
      </c>
      <c r="C204" t="s">
        <v>457</v>
      </c>
      <c r="D204">
        <v>1403</v>
      </c>
      <c r="E204">
        <v>35941</v>
      </c>
      <c r="F204">
        <v>267</v>
      </c>
      <c r="G204">
        <v>50</v>
      </c>
      <c r="H204">
        <v>1</v>
      </c>
      <c r="I204">
        <v>2.7851200578726198E-2</v>
      </c>
      <c r="J204">
        <v>0.18776778063410449</v>
      </c>
      <c r="K204" t="s">
        <v>432</v>
      </c>
      <c r="L204">
        <v>0.83461868037703513</v>
      </c>
      <c r="M204">
        <v>1</v>
      </c>
      <c r="N204">
        <v>2.68223819301848E-2</v>
      </c>
      <c r="O204" t="s">
        <v>433</v>
      </c>
      <c r="P204">
        <v>30332</v>
      </c>
      <c r="Q204">
        <v>0.97520770143742597</v>
      </c>
      <c r="R204">
        <v>0</v>
      </c>
      <c r="T204">
        <v>0</v>
      </c>
      <c r="U204" t="b">
        <v>0</v>
      </c>
      <c r="V204">
        <v>1.404892561399792</v>
      </c>
      <c r="Y204">
        <v>0</v>
      </c>
      <c r="Z204">
        <v>1146</v>
      </c>
      <c r="AA204">
        <v>1.5637509356477401E-2</v>
      </c>
      <c r="AB204">
        <v>1.0237178736524291</v>
      </c>
      <c r="AC204">
        <v>1.9957846897259199E-2</v>
      </c>
      <c r="AD204">
        <v>2.0849443632425999E-2</v>
      </c>
      <c r="AE204">
        <v>0</v>
      </c>
      <c r="AF204" t="b">
        <v>0</v>
      </c>
    </row>
    <row r="205" spans="1:35" x14ac:dyDescent="0.3">
      <c r="A205" t="s">
        <v>498</v>
      </c>
      <c r="B205" t="s">
        <v>499</v>
      </c>
      <c r="C205" t="s">
        <v>428</v>
      </c>
      <c r="D205">
        <v>71</v>
      </c>
      <c r="E205">
        <v>1327</v>
      </c>
      <c r="F205">
        <v>4</v>
      </c>
      <c r="G205">
        <v>60</v>
      </c>
      <c r="H205">
        <v>60</v>
      </c>
      <c r="I205">
        <v>1</v>
      </c>
      <c r="J205">
        <v>1</v>
      </c>
      <c r="K205" t="s">
        <v>86</v>
      </c>
      <c r="P205">
        <v>0</v>
      </c>
      <c r="R205">
        <v>0</v>
      </c>
      <c r="T205">
        <v>0</v>
      </c>
      <c r="U205" t="b">
        <v>0</v>
      </c>
      <c r="Y205">
        <v>0</v>
      </c>
      <c r="Z205">
        <v>74</v>
      </c>
      <c r="AA205">
        <v>-3.38983050847457E-2</v>
      </c>
      <c r="AB205">
        <v>-2.7027027027027022</v>
      </c>
      <c r="AE205">
        <v>0</v>
      </c>
      <c r="AF205" t="b">
        <v>0</v>
      </c>
    </row>
    <row r="206" spans="1:35" x14ac:dyDescent="0.3">
      <c r="A206" t="s">
        <v>500</v>
      </c>
      <c r="B206" t="s">
        <v>501</v>
      </c>
      <c r="C206" t="s">
        <v>474</v>
      </c>
      <c r="D206">
        <v>3486</v>
      </c>
      <c r="E206">
        <v>52017</v>
      </c>
      <c r="F206">
        <v>72</v>
      </c>
      <c r="G206">
        <v>60</v>
      </c>
      <c r="H206">
        <v>60</v>
      </c>
      <c r="I206">
        <v>0.91120210700347959</v>
      </c>
      <c r="J206">
        <v>0.91358153078202997</v>
      </c>
      <c r="K206" t="s">
        <v>86</v>
      </c>
      <c r="P206">
        <v>0</v>
      </c>
      <c r="R206">
        <v>0</v>
      </c>
      <c r="T206">
        <v>1</v>
      </c>
      <c r="U206" t="b">
        <v>1</v>
      </c>
      <c r="V206">
        <v>2.7023636740617878</v>
      </c>
      <c r="W206">
        <v>3.4252165982672138</v>
      </c>
      <c r="X206" t="b">
        <v>0</v>
      </c>
      <c r="Y206">
        <v>0</v>
      </c>
      <c r="Z206">
        <v>1520</v>
      </c>
      <c r="AA206">
        <v>3.65364058179E-4</v>
      </c>
      <c r="AB206">
        <v>4.0099329205366303E-2</v>
      </c>
      <c r="AC206">
        <v>1.7303696055698001E-3</v>
      </c>
      <c r="AD206">
        <v>1.5240714471982E-3</v>
      </c>
      <c r="AE206">
        <v>2</v>
      </c>
      <c r="AF206" t="b">
        <v>1</v>
      </c>
      <c r="AG206">
        <v>-1.1186242939242E-3</v>
      </c>
      <c r="AH206">
        <v>-0.1886724517703269</v>
      </c>
      <c r="AI206" t="b">
        <v>1</v>
      </c>
    </row>
    <row r="207" spans="1:35" x14ac:dyDescent="0.3">
      <c r="A207" t="s">
        <v>502</v>
      </c>
      <c r="B207" t="s">
        <v>503</v>
      </c>
      <c r="C207" t="s">
        <v>504</v>
      </c>
      <c r="D207">
        <v>102774</v>
      </c>
      <c r="E207">
        <v>1774039</v>
      </c>
      <c r="F207">
        <v>691</v>
      </c>
      <c r="G207">
        <v>63</v>
      </c>
      <c r="H207">
        <v>1</v>
      </c>
      <c r="I207">
        <v>0.75373878477305178</v>
      </c>
      <c r="J207">
        <v>0.83115353140956849</v>
      </c>
      <c r="K207" t="s">
        <v>432</v>
      </c>
      <c r="L207">
        <v>0.8878098171113824</v>
      </c>
      <c r="M207">
        <v>0.98701716882152757</v>
      </c>
      <c r="N207">
        <v>0.81145745500907618</v>
      </c>
      <c r="O207" t="s">
        <v>433</v>
      </c>
      <c r="P207">
        <v>86134</v>
      </c>
      <c r="Q207">
        <v>0.1982144101051849</v>
      </c>
      <c r="R207">
        <v>828</v>
      </c>
      <c r="S207">
        <v>4.8309178743961003E-3</v>
      </c>
      <c r="T207">
        <v>3</v>
      </c>
      <c r="U207" t="b">
        <v>1</v>
      </c>
      <c r="V207">
        <v>7.2602994213028822</v>
      </c>
      <c r="W207">
        <v>4.0903675085179607</v>
      </c>
      <c r="X207" t="b">
        <v>1</v>
      </c>
      <c r="Y207">
        <v>0</v>
      </c>
      <c r="Z207">
        <v>48536</v>
      </c>
      <c r="AA207">
        <v>2.6580813857538601E-2</v>
      </c>
      <c r="AB207">
        <v>3.131023691853092</v>
      </c>
      <c r="AC207">
        <v>2.8914290861722598E-2</v>
      </c>
      <c r="AD207">
        <v>4.3244832631708002E-2</v>
      </c>
      <c r="AE207">
        <v>3</v>
      </c>
      <c r="AF207" t="b">
        <v>1</v>
      </c>
      <c r="AG207">
        <v>4.7985617274620002E-3</v>
      </c>
      <c r="AH207">
        <v>0.46541909811895049</v>
      </c>
      <c r="AI207" t="b">
        <v>1</v>
      </c>
    </row>
    <row r="208" spans="1:35" x14ac:dyDescent="0.3">
      <c r="A208" t="s">
        <v>505</v>
      </c>
      <c r="B208" t="s">
        <v>506</v>
      </c>
      <c r="C208" t="s">
        <v>507</v>
      </c>
      <c r="D208">
        <v>58603</v>
      </c>
      <c r="E208">
        <v>1290997</v>
      </c>
      <c r="F208">
        <v>47</v>
      </c>
      <c r="G208">
        <v>60</v>
      </c>
      <c r="H208">
        <v>60</v>
      </c>
      <c r="I208">
        <v>1</v>
      </c>
      <c r="J208">
        <v>1</v>
      </c>
      <c r="K208" t="s">
        <v>86</v>
      </c>
      <c r="P208">
        <v>0</v>
      </c>
      <c r="R208">
        <v>0</v>
      </c>
      <c r="T208">
        <v>3</v>
      </c>
      <c r="U208" t="b">
        <v>1</v>
      </c>
      <c r="V208">
        <v>1.917949962402828</v>
      </c>
      <c r="W208">
        <v>1.5539867109634551</v>
      </c>
      <c r="X208" t="b">
        <v>1</v>
      </c>
      <c r="Y208">
        <v>0</v>
      </c>
      <c r="Z208">
        <v>21223</v>
      </c>
      <c r="AA208">
        <v>1.1999512016414599E-2</v>
      </c>
      <c r="AB208">
        <v>1.0081019623289329</v>
      </c>
      <c r="AC208">
        <v>1.2209050946492399E-2</v>
      </c>
      <c r="AD208">
        <v>1.4795155268705401E-2</v>
      </c>
      <c r="AE208">
        <v>4</v>
      </c>
      <c r="AF208" t="b">
        <v>1</v>
      </c>
      <c r="AG208">
        <v>1.7406072140598E-3</v>
      </c>
      <c r="AH208">
        <v>0.51855081655303648</v>
      </c>
      <c r="AI208" t="b">
        <v>1</v>
      </c>
    </row>
    <row r="209" spans="1:35" x14ac:dyDescent="0.3">
      <c r="A209" t="s">
        <v>508</v>
      </c>
      <c r="B209" t="s">
        <v>509</v>
      </c>
      <c r="C209" t="s">
        <v>431</v>
      </c>
      <c r="D209">
        <v>19728</v>
      </c>
      <c r="E209">
        <v>632861</v>
      </c>
      <c r="F209">
        <v>791</v>
      </c>
      <c r="G209">
        <v>60</v>
      </c>
      <c r="H209">
        <v>1</v>
      </c>
      <c r="I209">
        <v>0.1074106320345225</v>
      </c>
      <c r="J209">
        <v>0.27557003847297451</v>
      </c>
      <c r="K209" t="s">
        <v>432</v>
      </c>
      <c r="L209">
        <v>0.82592978870805367</v>
      </c>
      <c r="M209">
        <v>1</v>
      </c>
      <c r="N209">
        <v>0.1228915926858596</v>
      </c>
      <c r="O209" t="s">
        <v>433</v>
      </c>
      <c r="P209">
        <v>465251</v>
      </c>
      <c r="Q209">
        <v>0.87169936227971567</v>
      </c>
      <c r="R209">
        <v>0</v>
      </c>
      <c r="T209">
        <v>1</v>
      </c>
      <c r="U209" t="b">
        <v>1</v>
      </c>
      <c r="V209">
        <v>9.5961283437609239</v>
      </c>
      <c r="W209">
        <v>0.18409090909090911</v>
      </c>
      <c r="X209" t="b">
        <v>1</v>
      </c>
      <c r="Y209">
        <v>0</v>
      </c>
      <c r="Z209">
        <v>14394</v>
      </c>
      <c r="AA209">
        <v>4.6976309657698098E-2</v>
      </c>
      <c r="AB209">
        <v>3.387309242630216</v>
      </c>
      <c r="AC209">
        <v>-7.6465141913653004E-3</v>
      </c>
      <c r="AD209">
        <v>0.1060494731554224</v>
      </c>
      <c r="AE209">
        <v>1</v>
      </c>
      <c r="AF209" t="b">
        <v>1</v>
      </c>
      <c r="AG209">
        <v>-1.779279279279E-4</v>
      </c>
      <c r="AH209">
        <v>-2.9924242424242301E-2</v>
      </c>
      <c r="AI209" t="b">
        <v>1</v>
      </c>
    </row>
    <row r="210" spans="1:35" x14ac:dyDescent="0.3">
      <c r="A210" t="s">
        <v>510</v>
      </c>
      <c r="B210" t="s">
        <v>511</v>
      </c>
      <c r="C210" t="s">
        <v>512</v>
      </c>
      <c r="D210">
        <v>3266</v>
      </c>
      <c r="E210">
        <v>48938</v>
      </c>
      <c r="F210">
        <v>34</v>
      </c>
      <c r="G210">
        <v>120</v>
      </c>
      <c r="H210">
        <v>60</v>
      </c>
      <c r="I210">
        <v>1</v>
      </c>
      <c r="J210">
        <v>1</v>
      </c>
      <c r="K210" t="s">
        <v>86</v>
      </c>
      <c r="P210">
        <v>0</v>
      </c>
      <c r="R210">
        <v>0</v>
      </c>
      <c r="T210">
        <v>1</v>
      </c>
      <c r="U210" t="b">
        <v>1</v>
      </c>
      <c r="V210">
        <v>2.9448456305599162</v>
      </c>
      <c r="W210">
        <v>1.875</v>
      </c>
      <c r="X210" t="b">
        <v>1</v>
      </c>
      <c r="Y210">
        <v>0</v>
      </c>
      <c r="Z210">
        <v>1682</v>
      </c>
      <c r="AA210">
        <v>5.1076576169878001E-3</v>
      </c>
      <c r="AB210">
        <v>0.571768303040598</v>
      </c>
      <c r="AC210">
        <v>9.7901216648495007E-3</v>
      </c>
      <c r="AD210">
        <v>-9.5313127568199998E-4</v>
      </c>
      <c r="AE210">
        <v>2</v>
      </c>
      <c r="AF210" t="b">
        <v>1</v>
      </c>
      <c r="AG210">
        <v>1.3314610543412E-2</v>
      </c>
      <c r="AH210">
        <v>2.162087912087912</v>
      </c>
      <c r="AI210" t="b">
        <v>0</v>
      </c>
    </row>
    <row r="211" spans="1:35" x14ac:dyDescent="0.3">
      <c r="A211" t="s">
        <v>513</v>
      </c>
      <c r="B211" t="s">
        <v>514</v>
      </c>
      <c r="C211" t="s">
        <v>512</v>
      </c>
      <c r="D211">
        <v>3345</v>
      </c>
      <c r="E211">
        <v>68563</v>
      </c>
      <c r="F211">
        <v>22</v>
      </c>
      <c r="G211">
        <v>60</v>
      </c>
      <c r="H211">
        <v>60</v>
      </c>
      <c r="I211">
        <v>1</v>
      </c>
      <c r="J211">
        <v>1</v>
      </c>
      <c r="K211" t="s">
        <v>86</v>
      </c>
      <c r="P211">
        <v>0</v>
      </c>
      <c r="R211">
        <v>0</v>
      </c>
      <c r="T211">
        <v>2</v>
      </c>
      <c r="U211" t="b">
        <v>1</v>
      </c>
      <c r="V211">
        <v>0.3240968801313629</v>
      </c>
      <c r="W211">
        <v>8.8142857142857149</v>
      </c>
      <c r="X211" t="b">
        <v>0</v>
      </c>
      <c r="Y211">
        <v>0</v>
      </c>
      <c r="Z211">
        <v>2514</v>
      </c>
      <c r="AA211">
        <v>4.3462186762792E-3</v>
      </c>
      <c r="AB211">
        <v>0.42425199435939293</v>
      </c>
      <c r="AC211">
        <v>8.4871087002147006E-3</v>
      </c>
      <c r="AD211">
        <v>3.6735130593982999E-3</v>
      </c>
      <c r="AE211">
        <v>2</v>
      </c>
      <c r="AF211" t="b">
        <v>1</v>
      </c>
      <c r="AG211">
        <v>1.9427817903920001E-4</v>
      </c>
      <c r="AH211">
        <v>1.71102198240356E-2</v>
      </c>
      <c r="AI211" t="b">
        <v>1</v>
      </c>
    </row>
    <row r="212" spans="1:35" x14ac:dyDescent="0.3">
      <c r="A212" t="s">
        <v>515</v>
      </c>
      <c r="B212" t="s">
        <v>516</v>
      </c>
      <c r="C212" t="s">
        <v>517</v>
      </c>
      <c r="D212">
        <v>21822</v>
      </c>
      <c r="E212">
        <v>532785</v>
      </c>
      <c r="F212">
        <v>57</v>
      </c>
      <c r="G212">
        <v>60</v>
      </c>
      <c r="H212">
        <v>60</v>
      </c>
      <c r="I212">
        <v>1</v>
      </c>
      <c r="J212">
        <v>1</v>
      </c>
      <c r="K212" t="s">
        <v>432</v>
      </c>
      <c r="L212">
        <v>0.87090639225628674</v>
      </c>
      <c r="M212">
        <v>1</v>
      </c>
      <c r="N212">
        <v>1</v>
      </c>
      <c r="O212" t="s">
        <v>518</v>
      </c>
      <c r="P212">
        <v>0</v>
      </c>
      <c r="R212">
        <v>0</v>
      </c>
      <c r="T212">
        <v>1</v>
      </c>
      <c r="U212" t="b">
        <v>1</v>
      </c>
      <c r="V212">
        <v>8.3675777478713549</v>
      </c>
      <c r="W212">
        <v>4.0375837559693482</v>
      </c>
      <c r="X212" t="b">
        <v>1</v>
      </c>
      <c r="Y212">
        <v>0</v>
      </c>
      <c r="Z212">
        <v>13360</v>
      </c>
      <c r="AA212">
        <v>6.0505133292563601E-2</v>
      </c>
      <c r="AB212">
        <v>4.8268841880513458</v>
      </c>
      <c r="AC212">
        <v>5.62554346328469E-2</v>
      </c>
      <c r="AD212">
        <v>7.01925593218512E-2</v>
      </c>
      <c r="AE212">
        <v>1</v>
      </c>
      <c r="AF212" t="b">
        <v>1</v>
      </c>
      <c r="AG212">
        <v>9.7009112136869999E-3</v>
      </c>
      <c r="AH212">
        <v>1.5366275064804471</v>
      </c>
      <c r="AI212" t="b">
        <v>1</v>
      </c>
    </row>
    <row r="213" spans="1:35" x14ac:dyDescent="0.3">
      <c r="A213" t="s">
        <v>519</v>
      </c>
      <c r="B213" t="s">
        <v>520</v>
      </c>
      <c r="C213" t="s">
        <v>521</v>
      </c>
      <c r="D213">
        <v>10705</v>
      </c>
      <c r="E213">
        <v>226704</v>
      </c>
      <c r="F213">
        <v>314</v>
      </c>
      <c r="G213">
        <v>87</v>
      </c>
      <c r="H213">
        <v>1</v>
      </c>
      <c r="I213">
        <v>0.1083174535958783</v>
      </c>
      <c r="J213">
        <v>0.42957933355517269</v>
      </c>
      <c r="K213" t="s">
        <v>86</v>
      </c>
      <c r="P213">
        <v>0</v>
      </c>
      <c r="R213">
        <v>0</v>
      </c>
      <c r="T213">
        <v>2</v>
      </c>
      <c r="U213" t="b">
        <v>1</v>
      </c>
      <c r="V213">
        <v>12.52487494917116</v>
      </c>
      <c r="W213">
        <v>6.2082858278707613</v>
      </c>
      <c r="X213" t="b">
        <v>1</v>
      </c>
      <c r="Y213">
        <v>0</v>
      </c>
      <c r="Z213">
        <v>2163</v>
      </c>
      <c r="AA213">
        <v>0.11749603498996811</v>
      </c>
      <c r="AB213">
        <v>11.27895772307388</v>
      </c>
      <c r="AC213">
        <v>7.7310964782036307E-2</v>
      </c>
      <c r="AD213">
        <v>0.1563169816680883</v>
      </c>
      <c r="AE213">
        <v>2</v>
      </c>
      <c r="AF213" t="b">
        <v>1</v>
      </c>
      <c r="AG213">
        <v>5.0085175524541302E-2</v>
      </c>
      <c r="AH213">
        <v>4.9070696343739213</v>
      </c>
      <c r="AI213" t="b">
        <v>1</v>
      </c>
    </row>
    <row r="214" spans="1:35" x14ac:dyDescent="0.3">
      <c r="A214" t="s">
        <v>522</v>
      </c>
      <c r="B214" t="s">
        <v>523</v>
      </c>
      <c r="C214" t="s">
        <v>431</v>
      </c>
      <c r="D214">
        <v>52</v>
      </c>
      <c r="E214">
        <v>936</v>
      </c>
      <c r="F214">
        <v>11</v>
      </c>
      <c r="G214">
        <v>120</v>
      </c>
      <c r="H214">
        <v>60</v>
      </c>
      <c r="I214">
        <v>1</v>
      </c>
      <c r="J214">
        <v>1</v>
      </c>
      <c r="K214" t="s">
        <v>86</v>
      </c>
      <c r="P214">
        <v>0</v>
      </c>
      <c r="R214">
        <v>0</v>
      </c>
      <c r="T214">
        <v>0</v>
      </c>
      <c r="U214" t="b">
        <v>0</v>
      </c>
      <c r="Y214">
        <v>0</v>
      </c>
      <c r="Z214">
        <v>72</v>
      </c>
      <c r="AA214">
        <v>0</v>
      </c>
      <c r="AB214">
        <v>0</v>
      </c>
      <c r="AE214">
        <v>0</v>
      </c>
      <c r="AF214" t="b">
        <v>0</v>
      </c>
    </row>
    <row r="215" spans="1:35" x14ac:dyDescent="0.3">
      <c r="A215" t="s">
        <v>524</v>
      </c>
      <c r="B215" t="s">
        <v>525</v>
      </c>
      <c r="C215" t="s">
        <v>479</v>
      </c>
      <c r="D215">
        <v>650243</v>
      </c>
      <c r="E215">
        <v>11997670</v>
      </c>
      <c r="F215">
        <v>373</v>
      </c>
      <c r="G215">
        <v>60</v>
      </c>
      <c r="H215">
        <v>1</v>
      </c>
      <c r="I215">
        <v>0.95481147589490278</v>
      </c>
      <c r="J215">
        <v>0.95448813147858036</v>
      </c>
      <c r="K215" t="s">
        <v>86</v>
      </c>
      <c r="P215">
        <v>0</v>
      </c>
      <c r="R215">
        <v>0</v>
      </c>
      <c r="T215">
        <v>2</v>
      </c>
      <c r="U215" t="b">
        <v>1</v>
      </c>
      <c r="V215">
        <v>1.292982687205513</v>
      </c>
      <c r="W215">
        <v>0.34454058339627408</v>
      </c>
      <c r="X215" t="b">
        <v>1</v>
      </c>
      <c r="Y215">
        <v>0</v>
      </c>
      <c r="Z215">
        <v>335360</v>
      </c>
      <c r="AA215">
        <v>2.1965651777744E-3</v>
      </c>
      <c r="AB215">
        <v>0.22131013657103671</v>
      </c>
      <c r="AC215">
        <v>3.7164500472513999E-3</v>
      </c>
      <c r="AD215">
        <v>4.2762958578943999E-3</v>
      </c>
      <c r="AE215">
        <v>2</v>
      </c>
      <c r="AF215" t="b">
        <v>1</v>
      </c>
      <c r="AG215">
        <v>1.4323149397382001E-3</v>
      </c>
      <c r="AH215">
        <v>0.13532248562147639</v>
      </c>
      <c r="AI215" t="b">
        <v>1</v>
      </c>
    </row>
    <row r="216" spans="1:35" x14ac:dyDescent="0.3">
      <c r="A216" t="s">
        <v>526</v>
      </c>
      <c r="B216" t="s">
        <v>527</v>
      </c>
      <c r="C216" t="s">
        <v>512</v>
      </c>
      <c r="D216">
        <v>14620</v>
      </c>
      <c r="E216">
        <v>335126</v>
      </c>
      <c r="F216">
        <v>345</v>
      </c>
      <c r="G216">
        <v>65</v>
      </c>
      <c r="H216">
        <v>5</v>
      </c>
      <c r="I216">
        <v>0.29174698471619631</v>
      </c>
      <c r="J216">
        <v>0.2412234780098815</v>
      </c>
      <c r="K216" t="s">
        <v>86</v>
      </c>
      <c r="P216">
        <v>0</v>
      </c>
      <c r="R216">
        <v>0</v>
      </c>
      <c r="T216">
        <v>0</v>
      </c>
      <c r="U216" t="b">
        <v>0</v>
      </c>
      <c r="Y216">
        <v>0</v>
      </c>
      <c r="Z216">
        <v>9908</v>
      </c>
      <c r="AA216">
        <v>8.5050025095912099E-2</v>
      </c>
      <c r="AB216">
        <v>8.5326306753512036</v>
      </c>
      <c r="AC216">
        <v>8.7990718165867496E-2</v>
      </c>
      <c r="AD216">
        <v>8.9882334206307798E-2</v>
      </c>
      <c r="AE216">
        <v>2</v>
      </c>
      <c r="AF216" t="b">
        <v>1</v>
      </c>
      <c r="AG216">
        <v>8.0681461098790002E-4</v>
      </c>
      <c r="AH216">
        <v>0.2348163841807909</v>
      </c>
      <c r="AI216" t="b">
        <v>1</v>
      </c>
    </row>
    <row r="217" spans="1:35" x14ac:dyDescent="0.3">
      <c r="A217" t="s">
        <v>528</v>
      </c>
      <c r="B217" t="s">
        <v>529</v>
      </c>
      <c r="C217" t="s">
        <v>512</v>
      </c>
      <c r="D217">
        <v>133548</v>
      </c>
      <c r="E217">
        <v>1835060</v>
      </c>
      <c r="F217">
        <v>57</v>
      </c>
      <c r="G217">
        <v>60</v>
      </c>
      <c r="H217">
        <v>60</v>
      </c>
      <c r="I217">
        <v>1</v>
      </c>
      <c r="J217">
        <v>1</v>
      </c>
      <c r="K217" t="s">
        <v>86</v>
      </c>
      <c r="P217">
        <v>0</v>
      </c>
      <c r="R217">
        <v>0</v>
      </c>
      <c r="T217">
        <v>2</v>
      </c>
      <c r="U217" t="b">
        <v>1</v>
      </c>
      <c r="V217">
        <v>3.6119249133139339</v>
      </c>
      <c r="W217">
        <v>10.150931593887041</v>
      </c>
      <c r="X217" t="b">
        <v>0</v>
      </c>
      <c r="Y217">
        <v>0</v>
      </c>
      <c r="Z217">
        <v>44178</v>
      </c>
      <c r="AA217">
        <v>9.8253930155794006E-3</v>
      </c>
      <c r="AB217">
        <v>0.94477096312917241</v>
      </c>
      <c r="AC217">
        <v>9.2422684845794006E-3</v>
      </c>
      <c r="AD217">
        <v>1.7063840058466902E-2</v>
      </c>
      <c r="AE217">
        <v>3</v>
      </c>
      <c r="AF217" t="b">
        <v>1</v>
      </c>
      <c r="AG217">
        <v>1.9972031215852799E-2</v>
      </c>
      <c r="AH217">
        <v>1.7569339582081189</v>
      </c>
      <c r="AI217" t="b">
        <v>0</v>
      </c>
    </row>
    <row r="218" spans="1:35" x14ac:dyDescent="0.3">
      <c r="A218" t="s">
        <v>530</v>
      </c>
      <c r="B218" t="s">
        <v>531</v>
      </c>
      <c r="C218" t="s">
        <v>532</v>
      </c>
      <c r="D218">
        <v>618</v>
      </c>
      <c r="E218">
        <v>23471</v>
      </c>
      <c r="F218">
        <v>101</v>
      </c>
      <c r="G218">
        <v>45</v>
      </c>
      <c r="H218">
        <v>5</v>
      </c>
      <c r="I218">
        <v>9.9186229815517002E-2</v>
      </c>
      <c r="J218">
        <v>0.22838763228885661</v>
      </c>
      <c r="K218" t="s">
        <v>432</v>
      </c>
      <c r="L218">
        <v>0.88557792073044195</v>
      </c>
      <c r="M218">
        <v>0.98730504171200584</v>
      </c>
      <c r="N218">
        <v>0.1303308651232542</v>
      </c>
      <c r="O218" t="s">
        <v>433</v>
      </c>
      <c r="P218">
        <v>16155</v>
      </c>
      <c r="Q218">
        <v>1.9746208604147299E-2</v>
      </c>
      <c r="R218">
        <v>28</v>
      </c>
      <c r="S218">
        <v>0</v>
      </c>
      <c r="T218">
        <v>0</v>
      </c>
      <c r="U218" t="b">
        <v>0</v>
      </c>
      <c r="V218">
        <v>7.2253086419753094</v>
      </c>
      <c r="Y218">
        <v>0</v>
      </c>
      <c r="Z218">
        <v>785</v>
      </c>
      <c r="AA218">
        <v>3.5448435616945002E-2</v>
      </c>
      <c r="AB218">
        <v>1.924355474673946</v>
      </c>
      <c r="AC218">
        <v>7.7736562380726001E-2</v>
      </c>
      <c r="AD218">
        <v>2.60402983767603E-2</v>
      </c>
      <c r="AE218">
        <v>0</v>
      </c>
      <c r="AF218" t="b">
        <v>0</v>
      </c>
    </row>
    <row r="219" spans="1:35" x14ac:dyDescent="0.3">
      <c r="A219" t="s">
        <v>533</v>
      </c>
      <c r="B219" t="s">
        <v>534</v>
      </c>
      <c r="C219" t="s">
        <v>431</v>
      </c>
      <c r="D219">
        <v>197</v>
      </c>
      <c r="E219">
        <v>581</v>
      </c>
      <c r="F219">
        <v>22</v>
      </c>
      <c r="G219">
        <v>1800</v>
      </c>
      <c r="H219">
        <v>60</v>
      </c>
      <c r="I219">
        <v>1</v>
      </c>
      <c r="J219">
        <v>1</v>
      </c>
      <c r="K219" t="s">
        <v>86</v>
      </c>
      <c r="P219">
        <v>0</v>
      </c>
      <c r="R219">
        <v>0</v>
      </c>
      <c r="T219">
        <v>0</v>
      </c>
      <c r="U219" t="b">
        <v>0</v>
      </c>
      <c r="Y219">
        <v>0</v>
      </c>
      <c r="Z219">
        <v>1</v>
      </c>
      <c r="AA219">
        <v>0</v>
      </c>
      <c r="AB219">
        <v>0</v>
      </c>
      <c r="AD219">
        <v>0</v>
      </c>
      <c r="AE219">
        <v>1</v>
      </c>
      <c r="AF219" t="b">
        <v>0</v>
      </c>
      <c r="AG219">
        <v>6.0826281732205001E-3</v>
      </c>
      <c r="AH219">
        <v>5.5714285714285721</v>
      </c>
    </row>
    <row r="220" spans="1:35" x14ac:dyDescent="0.3">
      <c r="A220" t="s">
        <v>535</v>
      </c>
      <c r="B220" t="s">
        <v>536</v>
      </c>
      <c r="C220" t="s">
        <v>537</v>
      </c>
      <c r="D220">
        <v>15806</v>
      </c>
      <c r="E220">
        <v>752716</v>
      </c>
      <c r="F220">
        <v>432</v>
      </c>
      <c r="G220">
        <v>57</v>
      </c>
      <c r="H220">
        <v>1</v>
      </c>
      <c r="I220">
        <v>1.8849074551358001E-2</v>
      </c>
      <c r="J220">
        <v>0.1411424460319339</v>
      </c>
      <c r="K220" t="s">
        <v>432</v>
      </c>
      <c r="L220">
        <v>0.87475687862730578</v>
      </c>
      <c r="M220">
        <v>0.99967798229941418</v>
      </c>
      <c r="N220">
        <v>1.8221811740664801E-2</v>
      </c>
      <c r="O220" t="s">
        <v>433</v>
      </c>
      <c r="P220">
        <v>660129</v>
      </c>
      <c r="Q220">
        <v>0.29485449056169322</v>
      </c>
      <c r="R220">
        <v>31</v>
      </c>
      <c r="S220">
        <v>3.2258064516128997E-2</v>
      </c>
      <c r="T220">
        <v>1</v>
      </c>
      <c r="U220" t="b">
        <v>1</v>
      </c>
      <c r="V220">
        <v>9.536817190603518</v>
      </c>
      <c r="W220">
        <v>7.5471698113207001E-3</v>
      </c>
      <c r="X220" t="b">
        <v>1</v>
      </c>
      <c r="Y220">
        <v>0</v>
      </c>
      <c r="Z220">
        <v>18942</v>
      </c>
      <c r="AA220">
        <v>0.1127331362073668</v>
      </c>
      <c r="AB220">
        <v>7.0632501853742378</v>
      </c>
      <c r="AC220">
        <v>9.3520431607556007E-2</v>
      </c>
      <c r="AD220">
        <v>0.14081329574716209</v>
      </c>
      <c r="AE220">
        <v>1</v>
      </c>
      <c r="AF220" t="b">
        <v>1</v>
      </c>
      <c r="AG220">
        <v>1.5993090984694629E-5</v>
      </c>
      <c r="AH220">
        <v>3.6518563603164002E-3</v>
      </c>
      <c r="AI220" t="b">
        <v>1</v>
      </c>
    </row>
    <row r="221" spans="1:35" x14ac:dyDescent="0.3">
      <c r="A221" t="s">
        <v>538</v>
      </c>
      <c r="B221" t="s">
        <v>539</v>
      </c>
      <c r="C221" t="s">
        <v>540</v>
      </c>
      <c r="D221">
        <v>1810</v>
      </c>
      <c r="E221">
        <v>76736</v>
      </c>
      <c r="F221">
        <v>456</v>
      </c>
      <c r="G221">
        <v>73</v>
      </c>
      <c r="H221">
        <v>1</v>
      </c>
      <c r="I221">
        <v>2.0902835696413598E-2</v>
      </c>
      <c r="J221">
        <v>3.9085376721920903E-2</v>
      </c>
      <c r="K221" t="s">
        <v>86</v>
      </c>
      <c r="P221">
        <v>0</v>
      </c>
      <c r="R221">
        <v>0</v>
      </c>
      <c r="T221">
        <v>0</v>
      </c>
      <c r="U221" t="b">
        <v>0</v>
      </c>
      <c r="Y221">
        <v>0</v>
      </c>
      <c r="Z221">
        <v>0</v>
      </c>
      <c r="AE221">
        <v>0</v>
      </c>
      <c r="AF221" t="b">
        <v>0</v>
      </c>
    </row>
    <row r="222" spans="1:35" x14ac:dyDescent="0.3">
      <c r="A222" t="s">
        <v>541</v>
      </c>
      <c r="B222" t="s">
        <v>542</v>
      </c>
      <c r="C222" t="s">
        <v>431</v>
      </c>
      <c r="D222">
        <v>250</v>
      </c>
      <c r="E222">
        <v>2566</v>
      </c>
      <c r="F222">
        <v>35</v>
      </c>
      <c r="G222">
        <v>66</v>
      </c>
      <c r="H222">
        <v>4</v>
      </c>
      <c r="I222">
        <v>4.6765393608728997E-3</v>
      </c>
      <c r="J222">
        <v>0.29893617021276597</v>
      </c>
      <c r="K222" t="s">
        <v>432</v>
      </c>
      <c r="L222">
        <v>0.70070921985815604</v>
      </c>
      <c r="M222">
        <v>0.99881516587677721</v>
      </c>
      <c r="N222">
        <v>0</v>
      </c>
      <c r="O222" t="s">
        <v>433</v>
      </c>
      <c r="P222">
        <v>1976</v>
      </c>
      <c r="Q222">
        <v>1</v>
      </c>
      <c r="R222">
        <v>1</v>
      </c>
      <c r="S222">
        <v>0</v>
      </c>
      <c r="T222">
        <v>0</v>
      </c>
      <c r="U222" t="b">
        <v>0</v>
      </c>
      <c r="V222">
        <v>2.7272727272727271</v>
      </c>
      <c r="Y222">
        <v>0</v>
      </c>
      <c r="Z222">
        <v>22</v>
      </c>
      <c r="AA222">
        <v>0</v>
      </c>
      <c r="AB222">
        <v>0</v>
      </c>
      <c r="AC222">
        <v>0</v>
      </c>
      <c r="AD222">
        <v>0</v>
      </c>
      <c r="AE222">
        <v>0</v>
      </c>
      <c r="AF222" t="b">
        <v>0</v>
      </c>
    </row>
    <row r="223" spans="1:35" x14ac:dyDescent="0.3">
      <c r="A223" t="s">
        <v>543</v>
      </c>
      <c r="B223" t="s">
        <v>544</v>
      </c>
      <c r="C223" t="s">
        <v>431</v>
      </c>
      <c r="D223">
        <v>177</v>
      </c>
      <c r="E223">
        <v>3048</v>
      </c>
      <c r="F223">
        <v>12</v>
      </c>
      <c r="G223">
        <v>60</v>
      </c>
      <c r="H223">
        <v>1</v>
      </c>
      <c r="I223">
        <v>0.77559055118110232</v>
      </c>
      <c r="J223">
        <v>0.89054263565891478</v>
      </c>
      <c r="K223" t="s">
        <v>86</v>
      </c>
      <c r="P223">
        <v>0</v>
      </c>
      <c r="R223">
        <v>0</v>
      </c>
      <c r="T223">
        <v>0</v>
      </c>
      <c r="U223" t="b">
        <v>0</v>
      </c>
      <c r="Y223">
        <v>0</v>
      </c>
      <c r="Z223">
        <v>144</v>
      </c>
      <c r="AA223">
        <v>0</v>
      </c>
      <c r="AB223">
        <v>0</v>
      </c>
      <c r="AC223">
        <v>0</v>
      </c>
      <c r="AD223">
        <v>0</v>
      </c>
      <c r="AE223">
        <v>0</v>
      </c>
      <c r="AF223" t="b">
        <v>0</v>
      </c>
    </row>
    <row r="224" spans="1:35" x14ac:dyDescent="0.3">
      <c r="A224" t="s">
        <v>545</v>
      </c>
      <c r="B224" t="s">
        <v>546</v>
      </c>
      <c r="C224" t="s">
        <v>431</v>
      </c>
      <c r="D224">
        <v>512</v>
      </c>
      <c r="E224">
        <v>2772</v>
      </c>
      <c r="F224">
        <v>61</v>
      </c>
      <c r="G224">
        <v>94</v>
      </c>
      <c r="H224">
        <v>1</v>
      </c>
      <c r="I224">
        <v>1.9119769119769099E-2</v>
      </c>
      <c r="J224">
        <v>0.31181485992691838</v>
      </c>
      <c r="K224" t="s">
        <v>432</v>
      </c>
      <c r="L224">
        <v>0.68818514007308162</v>
      </c>
      <c r="M224">
        <v>1</v>
      </c>
      <c r="N224">
        <v>0</v>
      </c>
      <c r="O224" t="s">
        <v>518</v>
      </c>
      <c r="P224">
        <v>2260</v>
      </c>
      <c r="Q224">
        <v>0</v>
      </c>
      <c r="R224">
        <v>0</v>
      </c>
      <c r="T224">
        <v>0</v>
      </c>
      <c r="U224" t="b">
        <v>0</v>
      </c>
      <c r="V224">
        <v>9.1324200913239992E-3</v>
      </c>
      <c r="Y224">
        <v>0</v>
      </c>
      <c r="Z224">
        <v>73</v>
      </c>
      <c r="AA224">
        <v>0</v>
      </c>
      <c r="AB224">
        <v>0</v>
      </c>
      <c r="AC224">
        <v>0</v>
      </c>
      <c r="AD224">
        <v>0</v>
      </c>
      <c r="AE224">
        <v>0</v>
      </c>
      <c r="AF224" t="b">
        <v>0</v>
      </c>
    </row>
    <row r="225" spans="1:35" x14ac:dyDescent="0.3">
      <c r="A225" t="s">
        <v>547</v>
      </c>
      <c r="B225" t="s">
        <v>548</v>
      </c>
      <c r="C225" t="s">
        <v>549</v>
      </c>
      <c r="D225">
        <v>578</v>
      </c>
      <c r="E225">
        <v>23889</v>
      </c>
      <c r="F225">
        <v>256</v>
      </c>
      <c r="G225">
        <v>46</v>
      </c>
      <c r="H225">
        <v>1</v>
      </c>
      <c r="I225">
        <v>1.27255222068734E-2</v>
      </c>
      <c r="J225">
        <v>0.1070830097682592</v>
      </c>
      <c r="K225" t="s">
        <v>432</v>
      </c>
      <c r="L225">
        <v>0.90709935831936883</v>
      </c>
      <c r="M225">
        <v>1</v>
      </c>
      <c r="N225">
        <v>1.5634856267459599E-2</v>
      </c>
      <c r="O225" t="s">
        <v>433</v>
      </c>
      <c r="P225">
        <v>21847</v>
      </c>
      <c r="Q225">
        <v>1</v>
      </c>
      <c r="R225">
        <v>0</v>
      </c>
      <c r="T225">
        <v>0</v>
      </c>
      <c r="U225" t="b">
        <v>0</v>
      </c>
      <c r="V225">
        <v>6.6671728941712631</v>
      </c>
      <c r="Y225">
        <v>0</v>
      </c>
      <c r="Z225">
        <v>690</v>
      </c>
      <c r="AA225">
        <v>3.3190185794964203E-2</v>
      </c>
      <c r="AB225">
        <v>2.0334460521480979</v>
      </c>
      <c r="AC225">
        <v>-1.51506807875535E-2</v>
      </c>
      <c r="AD225">
        <v>0.10054335139393859</v>
      </c>
      <c r="AE225">
        <v>0</v>
      </c>
      <c r="AF225" t="b">
        <v>0</v>
      </c>
    </row>
    <row r="226" spans="1:35" x14ac:dyDescent="0.3">
      <c r="A226" t="s">
        <v>550</v>
      </c>
      <c r="B226" t="s">
        <v>551</v>
      </c>
      <c r="C226" t="s">
        <v>512</v>
      </c>
      <c r="D226">
        <v>1983</v>
      </c>
      <c r="E226">
        <v>26510</v>
      </c>
      <c r="F226">
        <v>22</v>
      </c>
      <c r="G226">
        <v>60</v>
      </c>
      <c r="H226">
        <v>30</v>
      </c>
      <c r="I226">
        <v>0.846812523576009</v>
      </c>
      <c r="J226">
        <v>0.76192815043502671</v>
      </c>
      <c r="K226" t="s">
        <v>86</v>
      </c>
      <c r="P226">
        <v>0</v>
      </c>
      <c r="R226">
        <v>0</v>
      </c>
      <c r="T226">
        <v>1</v>
      </c>
      <c r="U226" t="b">
        <v>1</v>
      </c>
      <c r="V226">
        <v>0.26726844583987441</v>
      </c>
      <c r="W226">
        <v>0</v>
      </c>
      <c r="X226" t="b">
        <v>1</v>
      </c>
      <c r="Y226">
        <v>0</v>
      </c>
      <c r="Z226">
        <v>566</v>
      </c>
      <c r="AA226">
        <v>-1.2027712874292001E-3</v>
      </c>
      <c r="AB226">
        <v>-0.1106974591956924</v>
      </c>
      <c r="AC226">
        <v>-2.1955683838151998E-3</v>
      </c>
      <c r="AD226">
        <v>-2.4548913710559998E-4</v>
      </c>
      <c r="AE226">
        <v>1</v>
      </c>
      <c r="AF226" t="b">
        <v>1</v>
      </c>
      <c r="AG226">
        <v>0</v>
      </c>
      <c r="AH226">
        <v>0</v>
      </c>
      <c r="AI226" t="b">
        <v>0</v>
      </c>
    </row>
    <row r="227" spans="1:35" x14ac:dyDescent="0.3">
      <c r="A227" t="s">
        <v>552</v>
      </c>
      <c r="B227" t="s">
        <v>553</v>
      </c>
      <c r="C227" t="s">
        <v>454</v>
      </c>
      <c r="D227">
        <v>2006</v>
      </c>
      <c r="E227">
        <v>3377</v>
      </c>
      <c r="F227">
        <v>9</v>
      </c>
      <c r="G227">
        <v>120</v>
      </c>
      <c r="H227">
        <v>60</v>
      </c>
      <c r="I227">
        <v>1</v>
      </c>
      <c r="J227">
        <v>1</v>
      </c>
      <c r="K227" t="s">
        <v>86</v>
      </c>
      <c r="P227">
        <v>0</v>
      </c>
      <c r="R227">
        <v>0</v>
      </c>
      <c r="T227">
        <v>0</v>
      </c>
      <c r="U227" t="b">
        <v>0</v>
      </c>
      <c r="V227">
        <v>1.5284090909090911</v>
      </c>
      <c r="Y227">
        <v>0.64884271637002522</v>
      </c>
      <c r="Z227">
        <v>49</v>
      </c>
      <c r="AA227">
        <v>-1.0869966763748999E-3</v>
      </c>
      <c r="AB227">
        <v>-0.16246043220311129</v>
      </c>
      <c r="AC227">
        <v>-5.1179635152217998E-3</v>
      </c>
      <c r="AD227">
        <v>3.3342462076542002E-3</v>
      </c>
      <c r="AE227">
        <v>0</v>
      </c>
      <c r="AF227" t="b">
        <v>0</v>
      </c>
    </row>
    <row r="228" spans="1:35" x14ac:dyDescent="0.3">
      <c r="A228" t="s">
        <v>554</v>
      </c>
      <c r="B228" t="s">
        <v>555</v>
      </c>
      <c r="C228" t="s">
        <v>431</v>
      </c>
      <c r="D228">
        <v>1378</v>
      </c>
      <c r="E228">
        <v>21741</v>
      </c>
      <c r="F228">
        <v>12</v>
      </c>
      <c r="G228">
        <v>60</v>
      </c>
      <c r="H228">
        <v>60</v>
      </c>
      <c r="I228">
        <v>1</v>
      </c>
      <c r="J228">
        <v>1</v>
      </c>
      <c r="K228" t="s">
        <v>432</v>
      </c>
      <c r="L228">
        <v>0.84229524944662015</v>
      </c>
      <c r="M228">
        <v>1</v>
      </c>
      <c r="N228">
        <v>1</v>
      </c>
      <c r="O228" t="s">
        <v>433</v>
      </c>
      <c r="P228">
        <v>0</v>
      </c>
      <c r="R228">
        <v>0</v>
      </c>
      <c r="T228">
        <v>0</v>
      </c>
      <c r="U228" t="b">
        <v>0</v>
      </c>
      <c r="V228">
        <v>8.1967213114753995E-2</v>
      </c>
      <c r="Y228">
        <v>0</v>
      </c>
      <c r="Z228">
        <v>838</v>
      </c>
      <c r="AA228">
        <v>1.8115942028985E-3</v>
      </c>
      <c r="AB228">
        <v>0.1610978520286396</v>
      </c>
      <c r="AC228">
        <v>0</v>
      </c>
      <c r="AD228">
        <v>0</v>
      </c>
      <c r="AE228">
        <v>0</v>
      </c>
      <c r="AF228" t="b">
        <v>0</v>
      </c>
    </row>
    <row r="229" spans="1:35" x14ac:dyDescent="0.3">
      <c r="A229" t="s">
        <v>556</v>
      </c>
      <c r="B229" t="s">
        <v>557</v>
      </c>
      <c r="C229" t="s">
        <v>558</v>
      </c>
      <c r="D229">
        <v>23440</v>
      </c>
      <c r="E229">
        <v>1132697</v>
      </c>
      <c r="F229">
        <v>387</v>
      </c>
      <c r="G229">
        <v>18</v>
      </c>
      <c r="H229">
        <v>1</v>
      </c>
      <c r="I229">
        <v>5.0366514610702996E-3</v>
      </c>
      <c r="J229">
        <v>3.3848637003438001E-2</v>
      </c>
      <c r="K229" t="s">
        <v>86</v>
      </c>
      <c r="P229">
        <v>0</v>
      </c>
      <c r="R229">
        <v>0</v>
      </c>
      <c r="T229">
        <v>1</v>
      </c>
      <c r="U229" t="b">
        <v>1</v>
      </c>
      <c r="V229">
        <v>0</v>
      </c>
      <c r="W229">
        <v>0</v>
      </c>
      <c r="X229" t="b">
        <v>0</v>
      </c>
      <c r="Y229">
        <v>0</v>
      </c>
      <c r="Z229">
        <v>22223</v>
      </c>
      <c r="AA229">
        <v>0</v>
      </c>
      <c r="AB229">
        <v>0</v>
      </c>
      <c r="AC229">
        <v>0</v>
      </c>
      <c r="AD229">
        <v>0</v>
      </c>
      <c r="AE229">
        <v>1</v>
      </c>
      <c r="AF229" t="b">
        <v>1</v>
      </c>
      <c r="AG229">
        <v>0</v>
      </c>
      <c r="AH229">
        <v>0</v>
      </c>
      <c r="AI229" t="b">
        <v>0</v>
      </c>
    </row>
    <row r="230" spans="1:35" x14ac:dyDescent="0.3">
      <c r="A230" t="s">
        <v>559</v>
      </c>
      <c r="B230" t="s">
        <v>560</v>
      </c>
      <c r="C230" t="s">
        <v>428</v>
      </c>
      <c r="D230">
        <v>55</v>
      </c>
      <c r="E230">
        <v>958</v>
      </c>
      <c r="F230">
        <v>7</v>
      </c>
      <c r="G230">
        <v>60</v>
      </c>
      <c r="H230">
        <v>30</v>
      </c>
      <c r="I230">
        <v>0.9603340292275574</v>
      </c>
      <c r="J230">
        <v>0.98124383020730499</v>
      </c>
      <c r="K230" t="s">
        <v>86</v>
      </c>
      <c r="P230">
        <v>0</v>
      </c>
      <c r="R230">
        <v>0</v>
      </c>
      <c r="T230">
        <v>0</v>
      </c>
      <c r="U230" t="b">
        <v>0</v>
      </c>
      <c r="V230">
        <v>0</v>
      </c>
      <c r="Y230">
        <v>0</v>
      </c>
      <c r="Z230">
        <v>40</v>
      </c>
      <c r="AA230">
        <v>0</v>
      </c>
      <c r="AB230">
        <v>0</v>
      </c>
      <c r="AC230">
        <v>0</v>
      </c>
      <c r="AD230">
        <v>0</v>
      </c>
      <c r="AE230">
        <v>0</v>
      </c>
      <c r="AF230" t="b">
        <v>0</v>
      </c>
    </row>
    <row r="231" spans="1:35" x14ac:dyDescent="0.3">
      <c r="A231" t="s">
        <v>561</v>
      </c>
      <c r="B231" t="s">
        <v>562</v>
      </c>
      <c r="C231" t="s">
        <v>532</v>
      </c>
      <c r="D231">
        <v>473</v>
      </c>
      <c r="E231">
        <v>18233</v>
      </c>
      <c r="F231">
        <v>263</v>
      </c>
      <c r="G231">
        <v>50</v>
      </c>
      <c r="H231">
        <v>1</v>
      </c>
      <c r="I231">
        <v>2.40772226183294E-2</v>
      </c>
      <c r="J231">
        <v>0.109365045657252</v>
      </c>
      <c r="K231" t="s">
        <v>432</v>
      </c>
      <c r="L231">
        <v>0.94314079422382679</v>
      </c>
      <c r="M231">
        <v>0.97292250233426703</v>
      </c>
      <c r="N231">
        <v>5.7303687025049198E-2</v>
      </c>
      <c r="O231" t="s">
        <v>433</v>
      </c>
      <c r="P231">
        <v>8869</v>
      </c>
      <c r="Q231">
        <v>0.16033374675837181</v>
      </c>
      <c r="R231">
        <v>5</v>
      </c>
      <c r="S231">
        <v>0.2</v>
      </c>
      <c r="T231">
        <v>0</v>
      </c>
      <c r="U231" t="b">
        <v>0</v>
      </c>
      <c r="V231">
        <v>1.3850308641975311</v>
      </c>
      <c r="Y231">
        <v>0</v>
      </c>
      <c r="Z231">
        <v>649</v>
      </c>
      <c r="AA231">
        <v>-6.4308351373252998E-3</v>
      </c>
      <c r="AB231">
        <v>-0.37206691613471271</v>
      </c>
      <c r="AC231">
        <v>-2.00287628468203E-2</v>
      </c>
      <c r="AD231">
        <v>-1.0157447033338599E-2</v>
      </c>
      <c r="AE231">
        <v>0</v>
      </c>
      <c r="AF231" t="b">
        <v>0</v>
      </c>
    </row>
    <row r="232" spans="1:35" x14ac:dyDescent="0.3">
      <c r="A232" t="s">
        <v>563</v>
      </c>
      <c r="B232" t="s">
        <v>564</v>
      </c>
      <c r="C232" t="s">
        <v>532</v>
      </c>
      <c r="D232">
        <v>301</v>
      </c>
      <c r="E232">
        <v>11716</v>
      </c>
      <c r="F232">
        <v>13</v>
      </c>
      <c r="G232">
        <v>60</v>
      </c>
      <c r="H232">
        <v>60</v>
      </c>
      <c r="I232">
        <v>1</v>
      </c>
      <c r="J232">
        <v>1</v>
      </c>
      <c r="K232" t="s">
        <v>432</v>
      </c>
      <c r="L232">
        <v>0.91278538812785404</v>
      </c>
      <c r="M232">
        <v>1</v>
      </c>
      <c r="N232">
        <v>1</v>
      </c>
      <c r="O232" t="s">
        <v>433</v>
      </c>
      <c r="P232">
        <v>0</v>
      </c>
      <c r="R232">
        <v>0</v>
      </c>
      <c r="T232">
        <v>0</v>
      </c>
      <c r="U232" t="b">
        <v>0</v>
      </c>
      <c r="V232">
        <v>1.2307692307692311</v>
      </c>
      <c r="Y232">
        <v>0</v>
      </c>
      <c r="Z232">
        <v>358</v>
      </c>
      <c r="AA232">
        <v>5.4094649881559998E-4</v>
      </c>
      <c r="AB232">
        <v>4.11013567438148E-2</v>
      </c>
      <c r="AC232">
        <v>-5.9758052761987998E-3</v>
      </c>
      <c r="AD232">
        <v>9.5389507154212995E-3</v>
      </c>
      <c r="AE232">
        <v>0</v>
      </c>
      <c r="AF232" t="b">
        <v>0</v>
      </c>
    </row>
    <row r="233" spans="1:35" x14ac:dyDescent="0.3">
      <c r="A233" t="s">
        <v>565</v>
      </c>
      <c r="B233" t="s">
        <v>566</v>
      </c>
      <c r="C233" t="s">
        <v>532</v>
      </c>
      <c r="D233">
        <v>1652</v>
      </c>
      <c r="E233">
        <v>65810</v>
      </c>
      <c r="F233">
        <v>276</v>
      </c>
      <c r="G233">
        <v>46</v>
      </c>
      <c r="H233">
        <v>1</v>
      </c>
      <c r="I233">
        <v>4.0343412855189102E-2</v>
      </c>
      <c r="J233">
        <v>0.1208330245312384</v>
      </c>
      <c r="K233" t="s">
        <v>432</v>
      </c>
      <c r="L233">
        <v>0.92016601200622561</v>
      </c>
      <c r="M233">
        <v>0.99015967322688436</v>
      </c>
      <c r="N233">
        <v>4.5409880958133898E-2</v>
      </c>
      <c r="O233" t="s">
        <v>433</v>
      </c>
      <c r="P233">
        <v>49144</v>
      </c>
      <c r="Q233">
        <v>2.34006185902653E-2</v>
      </c>
      <c r="R233">
        <v>46</v>
      </c>
      <c r="S233">
        <v>0</v>
      </c>
      <c r="T233">
        <v>0</v>
      </c>
      <c r="U233" t="b">
        <v>0</v>
      </c>
      <c r="V233">
        <v>8.5193000037115389</v>
      </c>
      <c r="Y233">
        <v>0</v>
      </c>
      <c r="Z233">
        <v>1640</v>
      </c>
      <c r="AA233">
        <v>2.22394329184285E-2</v>
      </c>
      <c r="AB233">
        <v>1.2442588509051919</v>
      </c>
      <c r="AC233">
        <v>2.6131226180247599E-2</v>
      </c>
      <c r="AD233">
        <v>1.8728785642159899E-2</v>
      </c>
      <c r="AE233">
        <v>0</v>
      </c>
      <c r="AF233" t="b">
        <v>0</v>
      </c>
    </row>
    <row r="234" spans="1:35" x14ac:dyDescent="0.3">
      <c r="A234" t="s">
        <v>567</v>
      </c>
      <c r="B234" t="s">
        <v>568</v>
      </c>
      <c r="C234" t="s">
        <v>532</v>
      </c>
      <c r="D234">
        <v>374</v>
      </c>
      <c r="E234">
        <v>11053</v>
      </c>
      <c r="F234">
        <v>30</v>
      </c>
      <c r="G234">
        <v>60</v>
      </c>
      <c r="H234">
        <v>30</v>
      </c>
      <c r="I234">
        <v>0.60562743146657017</v>
      </c>
      <c r="J234">
        <v>0.61089290390154494</v>
      </c>
      <c r="K234" t="s">
        <v>432</v>
      </c>
      <c r="L234">
        <v>0.98542375840097762</v>
      </c>
      <c r="M234">
        <v>0.9640718562874252</v>
      </c>
      <c r="N234">
        <v>0.60566873339238259</v>
      </c>
      <c r="O234" t="s">
        <v>433</v>
      </c>
      <c r="P234">
        <v>608</v>
      </c>
      <c r="Q234">
        <v>1.6447368421052599E-2</v>
      </c>
      <c r="R234">
        <v>0</v>
      </c>
      <c r="T234">
        <v>0</v>
      </c>
      <c r="U234" t="b">
        <v>0</v>
      </c>
      <c r="V234">
        <v>4.0509607351712624</v>
      </c>
      <c r="Y234">
        <v>0</v>
      </c>
      <c r="Z234">
        <v>277</v>
      </c>
      <c r="AA234">
        <v>-4.01377802637349E-2</v>
      </c>
      <c r="AB234">
        <v>-2.5424458213266878</v>
      </c>
      <c r="AC234">
        <v>-5.87976539589442E-2</v>
      </c>
      <c r="AD234">
        <v>1.1903646077420499E-2</v>
      </c>
      <c r="AE234">
        <v>0</v>
      </c>
      <c r="AF234" t="b">
        <v>0</v>
      </c>
    </row>
    <row r="235" spans="1:35" x14ac:dyDescent="0.3">
      <c r="A235" t="s">
        <v>569</v>
      </c>
      <c r="B235" t="s">
        <v>570</v>
      </c>
      <c r="C235" t="s">
        <v>532</v>
      </c>
      <c r="D235">
        <v>439</v>
      </c>
      <c r="E235">
        <v>16396</v>
      </c>
      <c r="F235">
        <v>28</v>
      </c>
      <c r="G235">
        <v>40</v>
      </c>
      <c r="H235">
        <v>10</v>
      </c>
      <c r="I235">
        <v>0.24835325689192481</v>
      </c>
      <c r="J235">
        <v>0.15752098127824399</v>
      </c>
      <c r="K235" t="s">
        <v>86</v>
      </c>
      <c r="P235">
        <v>0</v>
      </c>
      <c r="R235">
        <v>0</v>
      </c>
      <c r="T235">
        <v>0</v>
      </c>
      <c r="U235" t="b">
        <v>0</v>
      </c>
      <c r="V235">
        <v>0.44689119170984448</v>
      </c>
      <c r="Y235">
        <v>0</v>
      </c>
      <c r="Z235">
        <v>490</v>
      </c>
      <c r="AA235">
        <v>-5.6041621992891999E-3</v>
      </c>
      <c r="AB235">
        <v>-0.28763362487852279</v>
      </c>
      <c r="AC235">
        <v>-1.14469865990054E-2</v>
      </c>
      <c r="AD235">
        <v>-7.6294535591938002E-3</v>
      </c>
      <c r="AE235">
        <v>0</v>
      </c>
      <c r="AF235" t="b">
        <v>0</v>
      </c>
    </row>
    <row r="236" spans="1:35" x14ac:dyDescent="0.3">
      <c r="A236" t="s">
        <v>571</v>
      </c>
      <c r="B236" t="s">
        <v>572</v>
      </c>
      <c r="C236" t="s">
        <v>573</v>
      </c>
      <c r="D236">
        <v>4203</v>
      </c>
      <c r="E236">
        <v>91342</v>
      </c>
      <c r="F236">
        <v>819</v>
      </c>
      <c r="G236">
        <v>98</v>
      </c>
      <c r="H236">
        <v>1</v>
      </c>
      <c r="I236">
        <v>1.55788136892119E-2</v>
      </c>
      <c r="J236">
        <v>1.5929296098734402E-2</v>
      </c>
      <c r="K236" t="s">
        <v>86</v>
      </c>
      <c r="P236">
        <v>0</v>
      </c>
      <c r="R236">
        <v>0</v>
      </c>
      <c r="T236">
        <v>0</v>
      </c>
      <c r="U236" t="b">
        <v>0</v>
      </c>
      <c r="V236">
        <v>5.787179487179487</v>
      </c>
      <c r="Y236">
        <v>0</v>
      </c>
      <c r="Z236">
        <v>3364</v>
      </c>
      <c r="AA236">
        <v>3.3105032980120002E-4</v>
      </c>
      <c r="AB236">
        <v>4.9083625620879999E-2</v>
      </c>
      <c r="AC236">
        <v>-8.7590989745733004E-3</v>
      </c>
      <c r="AD236">
        <v>-4.2683216204821E-3</v>
      </c>
      <c r="AE236">
        <v>0</v>
      </c>
      <c r="AF236" t="b">
        <v>0</v>
      </c>
    </row>
    <row r="237" spans="1:35" x14ac:dyDescent="0.3">
      <c r="A237" t="s">
        <v>574</v>
      </c>
      <c r="B237" t="s">
        <v>575</v>
      </c>
      <c r="C237" t="s">
        <v>474</v>
      </c>
      <c r="D237">
        <v>10601</v>
      </c>
      <c r="E237">
        <v>86507</v>
      </c>
      <c r="F237">
        <v>65</v>
      </c>
      <c r="G237">
        <v>240</v>
      </c>
      <c r="H237">
        <v>60</v>
      </c>
      <c r="I237">
        <v>0.99986128290196163</v>
      </c>
      <c r="J237">
        <v>0.99993828874695301</v>
      </c>
      <c r="K237" t="s">
        <v>86</v>
      </c>
      <c r="P237">
        <v>0</v>
      </c>
      <c r="R237">
        <v>0</v>
      </c>
      <c r="T237">
        <v>0</v>
      </c>
      <c r="U237" t="b">
        <v>0</v>
      </c>
      <c r="Y237">
        <v>0</v>
      </c>
      <c r="Z237">
        <v>1892</v>
      </c>
      <c r="AA237">
        <v>1.8258535242311601E-2</v>
      </c>
      <c r="AB237">
        <v>4.5523173040117451</v>
      </c>
      <c r="AC237">
        <v>3.01711697021621E-2</v>
      </c>
      <c r="AD237">
        <v>1.0975922215069499E-2</v>
      </c>
      <c r="AE237">
        <v>0</v>
      </c>
      <c r="AF237" t="b">
        <v>0</v>
      </c>
    </row>
    <row r="238" spans="1:35" x14ac:dyDescent="0.3">
      <c r="A238" t="s">
        <v>576</v>
      </c>
      <c r="B238" t="s">
        <v>577</v>
      </c>
      <c r="C238" t="s">
        <v>431</v>
      </c>
      <c r="D238">
        <v>75</v>
      </c>
      <c r="E238">
        <v>4861</v>
      </c>
      <c r="F238">
        <v>81</v>
      </c>
      <c r="G238">
        <v>36</v>
      </c>
      <c r="H238">
        <v>1</v>
      </c>
      <c r="I238">
        <v>1.54289240896934E-2</v>
      </c>
      <c r="J238">
        <v>2.836304700162E-3</v>
      </c>
      <c r="K238" t="s">
        <v>86</v>
      </c>
      <c r="P238">
        <v>0</v>
      </c>
      <c r="R238">
        <v>0</v>
      </c>
      <c r="T238">
        <v>0</v>
      </c>
      <c r="U238" t="b">
        <v>0</v>
      </c>
      <c r="Y238">
        <v>0</v>
      </c>
      <c r="Z238">
        <v>65</v>
      </c>
      <c r="AA238">
        <v>0</v>
      </c>
      <c r="AB238">
        <v>0</v>
      </c>
      <c r="AC238">
        <v>0</v>
      </c>
      <c r="AD238">
        <v>0</v>
      </c>
      <c r="AE238">
        <v>0</v>
      </c>
      <c r="AF238" t="b">
        <v>0</v>
      </c>
    </row>
    <row r="239" spans="1:35" x14ac:dyDescent="0.3">
      <c r="A239" t="s">
        <v>578</v>
      </c>
      <c r="B239" t="s">
        <v>579</v>
      </c>
      <c r="C239" t="s">
        <v>457</v>
      </c>
      <c r="D239">
        <v>140</v>
      </c>
      <c r="E239">
        <v>1182</v>
      </c>
      <c r="F239">
        <v>43</v>
      </c>
      <c r="G239">
        <v>600</v>
      </c>
      <c r="H239">
        <v>60</v>
      </c>
      <c r="I239">
        <v>1</v>
      </c>
      <c r="J239">
        <v>1</v>
      </c>
      <c r="K239" t="s">
        <v>86</v>
      </c>
      <c r="P239">
        <v>0</v>
      </c>
      <c r="R239">
        <v>0</v>
      </c>
      <c r="T239">
        <v>0</v>
      </c>
      <c r="U239" t="b">
        <v>0</v>
      </c>
      <c r="Y239">
        <v>0</v>
      </c>
      <c r="Z239">
        <v>0</v>
      </c>
      <c r="AE239">
        <v>0</v>
      </c>
      <c r="AF239" t="b">
        <v>0</v>
      </c>
    </row>
    <row r="240" spans="1:35" x14ac:dyDescent="0.3">
      <c r="A240" t="s">
        <v>580</v>
      </c>
      <c r="B240" t="s">
        <v>581</v>
      </c>
      <c r="C240" t="s">
        <v>474</v>
      </c>
      <c r="D240">
        <v>64</v>
      </c>
      <c r="E240">
        <v>2170</v>
      </c>
      <c r="F240">
        <v>7</v>
      </c>
      <c r="G240">
        <v>60</v>
      </c>
      <c r="H240">
        <v>60</v>
      </c>
      <c r="I240">
        <v>1</v>
      </c>
      <c r="J240">
        <v>1</v>
      </c>
      <c r="K240" t="s">
        <v>86</v>
      </c>
      <c r="P240">
        <v>0</v>
      </c>
      <c r="R240">
        <v>0</v>
      </c>
      <c r="T240">
        <v>0</v>
      </c>
      <c r="U240" t="b">
        <v>0</v>
      </c>
      <c r="Y240">
        <v>0</v>
      </c>
      <c r="Z240">
        <v>112</v>
      </c>
      <c r="AA240">
        <v>-1.4598540145985399E-2</v>
      </c>
      <c r="AB240">
        <v>-1.071428571428571</v>
      </c>
      <c r="AC240">
        <v>0</v>
      </c>
      <c r="AD240">
        <v>-1.2987012987012899E-2</v>
      </c>
      <c r="AE240">
        <v>0</v>
      </c>
      <c r="AF240" t="b">
        <v>0</v>
      </c>
    </row>
    <row r="241" spans="1:35" x14ac:dyDescent="0.3">
      <c r="A241" t="s">
        <v>582</v>
      </c>
      <c r="B241" t="s">
        <v>583</v>
      </c>
      <c r="C241" t="s">
        <v>85</v>
      </c>
      <c r="D241">
        <v>182</v>
      </c>
      <c r="E241">
        <v>4525</v>
      </c>
      <c r="F241">
        <v>14</v>
      </c>
      <c r="G241">
        <v>60</v>
      </c>
      <c r="H241">
        <v>60</v>
      </c>
      <c r="I241">
        <v>1</v>
      </c>
      <c r="J241">
        <v>1</v>
      </c>
      <c r="K241" t="s">
        <v>86</v>
      </c>
      <c r="P241">
        <v>0</v>
      </c>
      <c r="R241">
        <v>0</v>
      </c>
      <c r="T241">
        <v>0</v>
      </c>
      <c r="U241" t="b">
        <v>0</v>
      </c>
      <c r="V241">
        <v>0</v>
      </c>
      <c r="Y241">
        <v>0</v>
      </c>
      <c r="Z241">
        <v>20</v>
      </c>
      <c r="AA241">
        <v>0</v>
      </c>
      <c r="AB241">
        <v>0</v>
      </c>
      <c r="AE241">
        <v>0</v>
      </c>
      <c r="AF241" t="b">
        <v>0</v>
      </c>
    </row>
    <row r="242" spans="1:35" x14ac:dyDescent="0.3">
      <c r="A242" t="s">
        <v>584</v>
      </c>
      <c r="B242" t="s">
        <v>585</v>
      </c>
      <c r="C242" t="s">
        <v>428</v>
      </c>
      <c r="D242">
        <v>1356</v>
      </c>
      <c r="E242">
        <v>31260</v>
      </c>
      <c r="F242">
        <v>17</v>
      </c>
      <c r="G242">
        <v>60</v>
      </c>
      <c r="H242">
        <v>60</v>
      </c>
      <c r="I242">
        <v>1</v>
      </c>
      <c r="J242">
        <v>1</v>
      </c>
      <c r="K242" t="s">
        <v>86</v>
      </c>
      <c r="P242">
        <v>0</v>
      </c>
      <c r="R242">
        <v>0</v>
      </c>
      <c r="T242">
        <v>0</v>
      </c>
      <c r="U242" t="b">
        <v>0</v>
      </c>
      <c r="V242">
        <v>3.2760053049070388</v>
      </c>
      <c r="Y242">
        <v>0</v>
      </c>
      <c r="Z242">
        <v>803</v>
      </c>
      <c r="AA242">
        <v>-6.3967369257698003E-3</v>
      </c>
      <c r="AB242">
        <v>-0.64203264962415041</v>
      </c>
      <c r="AC242">
        <v>-1.6331092508349999E-2</v>
      </c>
      <c r="AD242">
        <v>4.24936532392E-4</v>
      </c>
      <c r="AE242">
        <v>0</v>
      </c>
      <c r="AF242" t="b">
        <v>0</v>
      </c>
    </row>
    <row r="243" spans="1:35" x14ac:dyDescent="0.3">
      <c r="A243" t="s">
        <v>586</v>
      </c>
      <c r="B243" t="s">
        <v>587</v>
      </c>
      <c r="C243" t="s">
        <v>428</v>
      </c>
      <c r="D243">
        <v>843</v>
      </c>
      <c r="E243">
        <v>15705</v>
      </c>
      <c r="F243">
        <v>8</v>
      </c>
      <c r="G243">
        <v>120</v>
      </c>
      <c r="H243">
        <v>60</v>
      </c>
      <c r="I243">
        <v>1</v>
      </c>
      <c r="J243">
        <v>1</v>
      </c>
      <c r="K243" t="s">
        <v>86</v>
      </c>
      <c r="P243">
        <v>0</v>
      </c>
      <c r="R243">
        <v>0</v>
      </c>
      <c r="T243">
        <v>0</v>
      </c>
      <c r="U243" t="b">
        <v>0</v>
      </c>
      <c r="V243">
        <v>1.83758865248227</v>
      </c>
      <c r="Y243">
        <v>0</v>
      </c>
      <c r="Z243">
        <v>407</v>
      </c>
      <c r="AA243">
        <v>-3.6332049336563E-3</v>
      </c>
      <c r="AB243">
        <v>-0.35068908063560472</v>
      </c>
      <c r="AC243">
        <v>-2.2245577158870999E-3</v>
      </c>
      <c r="AD243">
        <v>-8.3939563514269008E-3</v>
      </c>
      <c r="AE243">
        <v>0</v>
      </c>
      <c r="AF243" t="b">
        <v>0</v>
      </c>
    </row>
    <row r="244" spans="1:35" x14ac:dyDescent="0.3">
      <c r="A244" t="s">
        <v>588</v>
      </c>
      <c r="B244" t="s">
        <v>589</v>
      </c>
      <c r="C244" t="s">
        <v>462</v>
      </c>
      <c r="D244">
        <v>2000</v>
      </c>
      <c r="E244">
        <v>62983</v>
      </c>
      <c r="F244">
        <v>201</v>
      </c>
      <c r="G244">
        <v>41</v>
      </c>
      <c r="H244">
        <v>1</v>
      </c>
      <c r="I244">
        <v>9.7010304367845003E-3</v>
      </c>
      <c r="J244">
        <v>4.3857624301740401E-2</v>
      </c>
      <c r="K244" t="s">
        <v>86</v>
      </c>
      <c r="P244">
        <v>0</v>
      </c>
      <c r="R244">
        <v>0</v>
      </c>
      <c r="T244">
        <v>0</v>
      </c>
      <c r="U244" t="b">
        <v>0</v>
      </c>
      <c r="Y244">
        <v>0</v>
      </c>
      <c r="Z244">
        <v>449</v>
      </c>
      <c r="AA244">
        <v>-5.2128009768007003E-3</v>
      </c>
      <c r="AB244">
        <v>-0.23521084211507379</v>
      </c>
      <c r="AC244">
        <v>-6.5360841480244002E-3</v>
      </c>
      <c r="AD244">
        <v>-4.5551533052393999E-3</v>
      </c>
      <c r="AE244">
        <v>0</v>
      </c>
      <c r="AF244" t="b">
        <v>0</v>
      </c>
    </row>
    <row r="245" spans="1:35" x14ac:dyDescent="0.3">
      <c r="A245" t="s">
        <v>590</v>
      </c>
      <c r="B245" t="s">
        <v>591</v>
      </c>
      <c r="C245" t="s">
        <v>431</v>
      </c>
      <c r="D245">
        <v>639</v>
      </c>
      <c r="E245">
        <v>11969</v>
      </c>
      <c r="F245">
        <v>403</v>
      </c>
      <c r="G245">
        <v>99</v>
      </c>
      <c r="H245">
        <v>1</v>
      </c>
      <c r="I245">
        <v>5.1299189573063703E-2</v>
      </c>
      <c r="J245">
        <v>0.27177783052456678</v>
      </c>
      <c r="K245" t="s">
        <v>432</v>
      </c>
      <c r="L245">
        <v>0.74246380251602184</v>
      </c>
      <c r="M245">
        <v>1</v>
      </c>
      <c r="N245">
        <v>1.9181585677749299E-2</v>
      </c>
      <c r="O245" t="s">
        <v>433</v>
      </c>
      <c r="P245">
        <v>7011</v>
      </c>
      <c r="Q245">
        <v>0.51019825987733558</v>
      </c>
      <c r="R245">
        <v>0</v>
      </c>
      <c r="T245">
        <v>0</v>
      </c>
      <c r="U245" t="b">
        <v>0</v>
      </c>
      <c r="V245">
        <v>2.947916666666667</v>
      </c>
      <c r="Y245">
        <v>0</v>
      </c>
      <c r="Z245">
        <v>393</v>
      </c>
      <c r="AA245">
        <v>1.2541304919157399E-2</v>
      </c>
      <c r="AB245">
        <v>1.631128074639524</v>
      </c>
      <c r="AC245">
        <v>-1.58367869474412E-2</v>
      </c>
      <c r="AD245">
        <v>2.39872110415561E-2</v>
      </c>
      <c r="AE245">
        <v>0</v>
      </c>
      <c r="AF245" t="b">
        <v>0</v>
      </c>
    </row>
    <row r="246" spans="1:35" x14ac:dyDescent="0.3">
      <c r="A246" t="s">
        <v>592</v>
      </c>
      <c r="B246" t="s">
        <v>593</v>
      </c>
      <c r="C246" t="s">
        <v>594</v>
      </c>
      <c r="D246">
        <v>66</v>
      </c>
      <c r="E246">
        <v>799</v>
      </c>
      <c r="F246">
        <v>28</v>
      </c>
      <c r="G246">
        <v>600</v>
      </c>
      <c r="H246">
        <v>60</v>
      </c>
      <c r="I246">
        <v>1</v>
      </c>
      <c r="J246">
        <v>1</v>
      </c>
      <c r="K246" t="s">
        <v>86</v>
      </c>
      <c r="P246">
        <v>0</v>
      </c>
      <c r="R246">
        <v>0</v>
      </c>
      <c r="T246">
        <v>0</v>
      </c>
      <c r="U246" t="b">
        <v>0</v>
      </c>
      <c r="Y246">
        <v>0</v>
      </c>
      <c r="Z246">
        <v>0</v>
      </c>
      <c r="AE246">
        <v>0</v>
      </c>
      <c r="AF246" t="b">
        <v>0</v>
      </c>
    </row>
    <row r="247" spans="1:35" x14ac:dyDescent="0.3">
      <c r="A247" t="s">
        <v>595</v>
      </c>
      <c r="B247" t="s">
        <v>596</v>
      </c>
      <c r="C247" t="s">
        <v>431</v>
      </c>
      <c r="D247">
        <v>71</v>
      </c>
      <c r="E247">
        <v>373</v>
      </c>
      <c r="F247">
        <v>12</v>
      </c>
      <c r="G247">
        <v>300</v>
      </c>
      <c r="H247">
        <v>60</v>
      </c>
      <c r="I247">
        <v>1</v>
      </c>
      <c r="J247">
        <v>1</v>
      </c>
      <c r="K247" t="s">
        <v>432</v>
      </c>
      <c r="L247">
        <v>0.93662628145386762</v>
      </c>
      <c r="M247">
        <v>1</v>
      </c>
      <c r="N247">
        <v>1</v>
      </c>
      <c r="O247" t="s">
        <v>433</v>
      </c>
      <c r="P247">
        <v>0</v>
      </c>
      <c r="R247">
        <v>0</v>
      </c>
      <c r="T247">
        <v>0</v>
      </c>
      <c r="U247" t="b">
        <v>0</v>
      </c>
      <c r="Y247">
        <v>0.3895619757688723</v>
      </c>
      <c r="Z247">
        <v>21</v>
      </c>
      <c r="AA247">
        <v>0</v>
      </c>
      <c r="AB247">
        <v>0</v>
      </c>
      <c r="AC247">
        <v>0</v>
      </c>
      <c r="AE247">
        <v>0</v>
      </c>
      <c r="AF247" t="b">
        <v>0</v>
      </c>
    </row>
    <row r="248" spans="1:35" x14ac:dyDescent="0.3">
      <c r="A248" t="s">
        <v>597</v>
      </c>
      <c r="B248" t="s">
        <v>598</v>
      </c>
      <c r="C248" t="s">
        <v>599</v>
      </c>
      <c r="D248">
        <v>58</v>
      </c>
      <c r="E248">
        <v>341</v>
      </c>
      <c r="F248">
        <v>33</v>
      </c>
      <c r="G248">
        <v>240</v>
      </c>
      <c r="H248">
        <v>60</v>
      </c>
      <c r="I248">
        <v>1</v>
      </c>
      <c r="J248">
        <v>1</v>
      </c>
      <c r="K248" t="s">
        <v>86</v>
      </c>
      <c r="P248">
        <v>0</v>
      </c>
      <c r="R248">
        <v>0</v>
      </c>
      <c r="T248">
        <v>0</v>
      </c>
      <c r="U248" t="b">
        <v>0</v>
      </c>
      <c r="Y248">
        <v>0</v>
      </c>
      <c r="Z248">
        <v>0</v>
      </c>
      <c r="AE248">
        <v>1</v>
      </c>
      <c r="AF248" t="b">
        <v>0</v>
      </c>
      <c r="AG248">
        <v>4.8780487804877997E-3</v>
      </c>
      <c r="AH248">
        <v>1.1764705882352939</v>
      </c>
    </row>
    <row r="249" spans="1:35" x14ac:dyDescent="0.3">
      <c r="A249" t="s">
        <v>600</v>
      </c>
      <c r="B249" t="s">
        <v>601</v>
      </c>
      <c r="C249" t="s">
        <v>512</v>
      </c>
      <c r="D249">
        <v>18155</v>
      </c>
      <c r="E249">
        <v>236935</v>
      </c>
      <c r="F249">
        <v>66</v>
      </c>
      <c r="G249">
        <v>120</v>
      </c>
      <c r="H249">
        <v>60</v>
      </c>
      <c r="I249">
        <v>0.96504104501234522</v>
      </c>
      <c r="J249">
        <v>0.97273111777744703</v>
      </c>
      <c r="K249" t="s">
        <v>86</v>
      </c>
      <c r="P249">
        <v>0</v>
      </c>
      <c r="R249">
        <v>0</v>
      </c>
      <c r="T249">
        <v>1</v>
      </c>
      <c r="U249" t="b">
        <v>1</v>
      </c>
      <c r="V249">
        <v>0.55805823843159863</v>
      </c>
      <c r="W249">
        <v>0</v>
      </c>
      <c r="X249" t="b">
        <v>1</v>
      </c>
      <c r="Y249">
        <v>0</v>
      </c>
      <c r="Z249">
        <v>6028</v>
      </c>
      <c r="AA249">
        <v>-1.8196767480379999E-3</v>
      </c>
      <c r="AB249">
        <v>-0.2181157802051962</v>
      </c>
      <c r="AC249">
        <v>2.0407718280679001E-3</v>
      </c>
      <c r="AD249">
        <v>-3.7590285679856999E-3</v>
      </c>
      <c r="AE249">
        <v>2</v>
      </c>
      <c r="AF249" t="b">
        <v>1</v>
      </c>
      <c r="AG249">
        <v>2.8241886106119998E-4</v>
      </c>
      <c r="AH249">
        <v>7.4626865671641701E-2</v>
      </c>
      <c r="AI249" t="b">
        <v>0</v>
      </c>
    </row>
    <row r="250" spans="1:35" x14ac:dyDescent="0.3">
      <c r="A250" t="s">
        <v>602</v>
      </c>
      <c r="B250" t="s">
        <v>603</v>
      </c>
      <c r="C250" t="s">
        <v>512</v>
      </c>
      <c r="D250">
        <v>33912</v>
      </c>
      <c r="E250">
        <v>580323</v>
      </c>
      <c r="F250">
        <v>46</v>
      </c>
      <c r="G250">
        <v>60</v>
      </c>
      <c r="H250">
        <v>60</v>
      </c>
      <c r="I250">
        <v>0.99998966093020603</v>
      </c>
      <c r="J250">
        <v>0.99997959334240638</v>
      </c>
      <c r="K250" t="s">
        <v>86</v>
      </c>
      <c r="P250">
        <v>0</v>
      </c>
      <c r="R250">
        <v>0</v>
      </c>
      <c r="T250">
        <v>1</v>
      </c>
      <c r="U250" t="b">
        <v>1</v>
      </c>
      <c r="V250">
        <v>1.349564026505836</v>
      </c>
      <c r="W250">
        <v>1.2969709446069839</v>
      </c>
      <c r="X250" t="b">
        <v>1</v>
      </c>
      <c r="Y250">
        <v>0</v>
      </c>
      <c r="Z250">
        <v>18133</v>
      </c>
      <c r="AA250">
        <v>1.3831180683103999E-3</v>
      </c>
      <c r="AB250">
        <v>0.14159414872284809</v>
      </c>
      <c r="AC250">
        <v>3.2643997325389998E-3</v>
      </c>
      <c r="AD250">
        <v>1.0507795453837999E-3</v>
      </c>
      <c r="AE250">
        <v>1</v>
      </c>
      <c r="AF250" t="b">
        <v>1</v>
      </c>
      <c r="AG250">
        <v>6.3980388705969999E-4</v>
      </c>
      <c r="AH250">
        <v>5.7759744628460397E-2</v>
      </c>
      <c r="AI250" t="b">
        <v>1</v>
      </c>
    </row>
    <row r="251" spans="1:35" x14ac:dyDescent="0.3">
      <c r="A251" t="s">
        <v>604</v>
      </c>
      <c r="B251" t="s">
        <v>605</v>
      </c>
      <c r="C251" t="s">
        <v>428</v>
      </c>
      <c r="D251">
        <v>2181</v>
      </c>
      <c r="E251">
        <v>45531</v>
      </c>
      <c r="F251">
        <v>7</v>
      </c>
      <c r="G251">
        <v>60</v>
      </c>
      <c r="H251">
        <v>60</v>
      </c>
      <c r="I251">
        <v>1</v>
      </c>
      <c r="J251">
        <v>1</v>
      </c>
      <c r="K251" t="s">
        <v>86</v>
      </c>
      <c r="P251">
        <v>0</v>
      </c>
      <c r="R251">
        <v>0</v>
      </c>
      <c r="T251">
        <v>1</v>
      </c>
      <c r="U251" t="b">
        <v>1</v>
      </c>
      <c r="V251">
        <v>5.2850563909774442</v>
      </c>
      <c r="W251">
        <v>0</v>
      </c>
      <c r="X251" t="b">
        <v>1</v>
      </c>
      <c r="Y251">
        <v>0</v>
      </c>
      <c r="Z251">
        <v>873</v>
      </c>
      <c r="AA251">
        <v>1.08295766159608E-2</v>
      </c>
      <c r="AB251">
        <v>1.062861540040692</v>
      </c>
      <c r="AC251">
        <v>8.3390322619346993E-3</v>
      </c>
      <c r="AD251">
        <v>1.5801587301587299E-2</v>
      </c>
      <c r="AE251">
        <v>1</v>
      </c>
      <c r="AF251" t="b">
        <v>1</v>
      </c>
      <c r="AG251">
        <v>0</v>
      </c>
      <c r="AH251">
        <v>0</v>
      </c>
      <c r="AI251" t="b">
        <v>1</v>
      </c>
    </row>
    <row r="252" spans="1:35" x14ac:dyDescent="0.3">
      <c r="A252" t="s">
        <v>606</v>
      </c>
      <c r="B252" t="s">
        <v>607</v>
      </c>
      <c r="C252" t="s">
        <v>428</v>
      </c>
      <c r="D252">
        <v>1022</v>
      </c>
      <c r="E252">
        <v>22085</v>
      </c>
      <c r="F252">
        <v>11</v>
      </c>
      <c r="G252">
        <v>120</v>
      </c>
      <c r="H252">
        <v>60</v>
      </c>
      <c r="I252">
        <v>1</v>
      </c>
      <c r="J252">
        <v>1</v>
      </c>
      <c r="K252" t="s">
        <v>86</v>
      </c>
      <c r="P252">
        <v>0</v>
      </c>
      <c r="R252">
        <v>0</v>
      </c>
      <c r="T252">
        <v>0</v>
      </c>
      <c r="U252" t="b">
        <v>0</v>
      </c>
      <c r="V252">
        <v>0.81447963800904977</v>
      </c>
      <c r="Y252">
        <v>0</v>
      </c>
      <c r="Z252">
        <v>791</v>
      </c>
      <c r="AA252">
        <v>-5.0197753520011996E-3</v>
      </c>
      <c r="AB252">
        <v>-0.57305400036120646</v>
      </c>
      <c r="AC252">
        <v>-1.9762845849802002E-3</v>
      </c>
      <c r="AD252">
        <v>-2.3474178403755002E-3</v>
      </c>
      <c r="AE252">
        <v>0</v>
      </c>
      <c r="AF252" t="b">
        <v>0</v>
      </c>
    </row>
    <row r="253" spans="1:35" x14ac:dyDescent="0.3">
      <c r="A253" t="s">
        <v>608</v>
      </c>
      <c r="B253" t="s">
        <v>609</v>
      </c>
      <c r="C253" t="s">
        <v>474</v>
      </c>
      <c r="D253">
        <v>875</v>
      </c>
      <c r="E253">
        <v>20996</v>
      </c>
      <c r="F253">
        <v>25</v>
      </c>
      <c r="G253">
        <v>60</v>
      </c>
      <c r="H253">
        <v>60</v>
      </c>
      <c r="I253">
        <v>1</v>
      </c>
      <c r="J253">
        <v>1</v>
      </c>
      <c r="K253" t="s">
        <v>86</v>
      </c>
      <c r="P253">
        <v>0</v>
      </c>
      <c r="R253">
        <v>0</v>
      </c>
      <c r="T253">
        <v>0</v>
      </c>
      <c r="U253" t="b">
        <v>0</v>
      </c>
      <c r="V253">
        <v>10.211180124223601</v>
      </c>
      <c r="Y253">
        <v>0</v>
      </c>
      <c r="Z253">
        <v>250</v>
      </c>
      <c r="AA253">
        <v>3.7822329947488002E-3</v>
      </c>
      <c r="AB253">
        <v>0.3347186147186148</v>
      </c>
      <c r="AC253">
        <v>4.0747142108845998E-3</v>
      </c>
      <c r="AD253">
        <v>3.0507616699593398E-2</v>
      </c>
      <c r="AE253">
        <v>0</v>
      </c>
      <c r="AF253" t="b">
        <v>0</v>
      </c>
    </row>
    <row r="254" spans="1:35" x14ac:dyDescent="0.3">
      <c r="A254" t="s">
        <v>610</v>
      </c>
      <c r="B254" t="s">
        <v>611</v>
      </c>
      <c r="C254" t="s">
        <v>549</v>
      </c>
      <c r="D254">
        <v>183</v>
      </c>
      <c r="E254">
        <v>366</v>
      </c>
      <c r="F254">
        <v>12</v>
      </c>
      <c r="G254">
        <v>600</v>
      </c>
      <c r="H254">
        <v>60</v>
      </c>
      <c r="I254">
        <v>1</v>
      </c>
      <c r="J254">
        <v>1</v>
      </c>
      <c r="K254" t="s">
        <v>86</v>
      </c>
      <c r="P254">
        <v>0</v>
      </c>
      <c r="R254">
        <v>0</v>
      </c>
      <c r="T254">
        <v>0</v>
      </c>
      <c r="U254" t="b">
        <v>0</v>
      </c>
      <c r="V254">
        <v>85.23848684210526</v>
      </c>
      <c r="Y254">
        <v>0</v>
      </c>
      <c r="Z254">
        <v>4</v>
      </c>
      <c r="AA254">
        <v>0.28994614816385378</v>
      </c>
      <c r="AB254">
        <v>160.92011223093891</v>
      </c>
      <c r="AC254">
        <v>0.2197279516358463</v>
      </c>
      <c r="AD254">
        <v>0.35135135135135132</v>
      </c>
      <c r="AE254">
        <v>0</v>
      </c>
      <c r="AF254" t="b">
        <v>0</v>
      </c>
    </row>
    <row r="255" spans="1:35" x14ac:dyDescent="0.3">
      <c r="A255" t="s">
        <v>612</v>
      </c>
      <c r="B255" t="s">
        <v>613</v>
      </c>
      <c r="C255" t="s">
        <v>549</v>
      </c>
      <c r="D255">
        <v>143</v>
      </c>
      <c r="E255">
        <v>6106</v>
      </c>
      <c r="F255">
        <v>55</v>
      </c>
      <c r="G255">
        <v>30</v>
      </c>
      <c r="H255">
        <v>1</v>
      </c>
      <c r="I255">
        <v>0.35129380936783489</v>
      </c>
      <c r="J255">
        <v>0.65002400384061454</v>
      </c>
      <c r="K255" t="s">
        <v>432</v>
      </c>
      <c r="L255">
        <v>0.74523923827812455</v>
      </c>
      <c r="M255">
        <v>0.8153266331658291</v>
      </c>
      <c r="N255">
        <v>0.59351513850118098</v>
      </c>
      <c r="O255" t="s">
        <v>433</v>
      </c>
      <c r="P255">
        <v>1893</v>
      </c>
      <c r="Q255">
        <v>0.1156893819334389</v>
      </c>
      <c r="R255">
        <v>258</v>
      </c>
      <c r="S255">
        <v>1.5503875968992199E-2</v>
      </c>
      <c r="T255">
        <v>0</v>
      </c>
      <c r="U255" t="b">
        <v>0</v>
      </c>
      <c r="Y255">
        <v>0</v>
      </c>
      <c r="Z255">
        <v>281</v>
      </c>
      <c r="AA255">
        <v>0</v>
      </c>
      <c r="AB255">
        <v>0</v>
      </c>
      <c r="AC255">
        <v>0</v>
      </c>
      <c r="AD255">
        <v>0</v>
      </c>
      <c r="AE255">
        <v>0</v>
      </c>
      <c r="AF255" t="b">
        <v>0</v>
      </c>
    </row>
    <row r="256" spans="1:35" x14ac:dyDescent="0.3">
      <c r="A256" t="s">
        <v>614</v>
      </c>
      <c r="B256" t="s">
        <v>615</v>
      </c>
      <c r="C256" t="s">
        <v>512</v>
      </c>
      <c r="D256">
        <v>1986</v>
      </c>
      <c r="E256">
        <v>29889</v>
      </c>
      <c r="F256">
        <v>21</v>
      </c>
      <c r="G256">
        <v>60</v>
      </c>
      <c r="H256">
        <v>60</v>
      </c>
      <c r="I256">
        <v>0.99993308575061057</v>
      </c>
      <c r="J256">
        <v>0.99996914722942121</v>
      </c>
      <c r="K256" t="s">
        <v>86</v>
      </c>
      <c r="P256">
        <v>0</v>
      </c>
      <c r="R256">
        <v>0</v>
      </c>
      <c r="T256">
        <v>0</v>
      </c>
      <c r="U256" t="b">
        <v>0</v>
      </c>
      <c r="V256">
        <v>3.753968253968254</v>
      </c>
      <c r="Y256">
        <v>0</v>
      </c>
      <c r="Z256">
        <v>1200</v>
      </c>
      <c r="AA256">
        <v>-3.8612595213726002E-3</v>
      </c>
      <c r="AB256">
        <v>-0.37697330447330452</v>
      </c>
      <c r="AC256">
        <v>-1.21662696479345E-2</v>
      </c>
      <c r="AD256">
        <v>-1.1836659304524E-3</v>
      </c>
      <c r="AE256">
        <v>0</v>
      </c>
      <c r="AF256" t="b">
        <v>0</v>
      </c>
    </row>
    <row r="257" spans="1:35" x14ac:dyDescent="0.3">
      <c r="A257" t="s">
        <v>616</v>
      </c>
      <c r="B257" t="s">
        <v>617</v>
      </c>
      <c r="C257" t="s">
        <v>474</v>
      </c>
      <c r="D257">
        <v>904</v>
      </c>
      <c r="E257">
        <v>20288</v>
      </c>
      <c r="F257">
        <v>20</v>
      </c>
      <c r="G257">
        <v>60</v>
      </c>
      <c r="H257">
        <v>60</v>
      </c>
      <c r="I257">
        <v>1</v>
      </c>
      <c r="J257">
        <v>1</v>
      </c>
      <c r="K257" t="s">
        <v>86</v>
      </c>
      <c r="P257">
        <v>0</v>
      </c>
      <c r="R257">
        <v>0</v>
      </c>
      <c r="T257">
        <v>0</v>
      </c>
      <c r="U257" t="b">
        <v>0</v>
      </c>
      <c r="V257">
        <v>20.596970863817219</v>
      </c>
      <c r="Y257">
        <v>0</v>
      </c>
      <c r="Z257">
        <v>707</v>
      </c>
      <c r="AA257">
        <v>7.5758644027945202E-2</v>
      </c>
      <c r="AB257">
        <v>7.3404066466301261</v>
      </c>
      <c r="AC257">
        <v>8.3696076803390904E-2</v>
      </c>
      <c r="AD257">
        <v>3.8666535761621899E-2</v>
      </c>
      <c r="AE257">
        <v>0</v>
      </c>
      <c r="AF257" t="b">
        <v>0</v>
      </c>
    </row>
    <row r="258" spans="1:35" x14ac:dyDescent="0.3">
      <c r="A258" t="s">
        <v>618</v>
      </c>
      <c r="B258" t="s">
        <v>619</v>
      </c>
      <c r="C258" t="s">
        <v>620</v>
      </c>
      <c r="D258">
        <v>64358</v>
      </c>
      <c r="E258">
        <v>789989</v>
      </c>
      <c r="F258">
        <v>36</v>
      </c>
      <c r="G258">
        <v>120</v>
      </c>
      <c r="H258">
        <v>60</v>
      </c>
      <c r="I258">
        <v>1</v>
      </c>
      <c r="J258">
        <v>1</v>
      </c>
      <c r="K258" t="s">
        <v>86</v>
      </c>
      <c r="P258">
        <v>0</v>
      </c>
      <c r="R258">
        <v>0</v>
      </c>
      <c r="T258">
        <v>1</v>
      </c>
      <c r="U258" t="b">
        <v>1</v>
      </c>
      <c r="V258">
        <v>6.9747019065834364</v>
      </c>
      <c r="W258">
        <v>9.2427462024236196</v>
      </c>
      <c r="X258" t="b">
        <v>0</v>
      </c>
      <c r="Y258">
        <v>0</v>
      </c>
      <c r="Z258">
        <v>10841</v>
      </c>
      <c r="AA258">
        <v>-1.15965942840606E-2</v>
      </c>
      <c r="AB258">
        <v>-1.510201126529251</v>
      </c>
      <c r="AC258">
        <v>-4.0460323492037903E-2</v>
      </c>
      <c r="AD258">
        <v>1.06087245222471E-2</v>
      </c>
      <c r="AE258">
        <v>1</v>
      </c>
      <c r="AF258" t="b">
        <v>1</v>
      </c>
      <c r="AG258">
        <v>-1.8301535883238001E-2</v>
      </c>
      <c r="AH258">
        <v>-2.1976694033867208</v>
      </c>
      <c r="AI258" t="b">
        <v>1</v>
      </c>
    </row>
    <row r="259" spans="1:35" x14ac:dyDescent="0.3">
      <c r="A259" t="s">
        <v>621</v>
      </c>
      <c r="B259" t="s">
        <v>622</v>
      </c>
      <c r="C259" t="s">
        <v>431</v>
      </c>
      <c r="D259">
        <v>942</v>
      </c>
      <c r="E259">
        <v>17604</v>
      </c>
      <c r="F259">
        <v>212</v>
      </c>
      <c r="G259">
        <v>67</v>
      </c>
      <c r="H259">
        <v>1</v>
      </c>
      <c r="I259">
        <v>1.27811860940695E-2</v>
      </c>
      <c r="J259">
        <v>0.15485819044537899</v>
      </c>
      <c r="K259" t="s">
        <v>432</v>
      </c>
      <c r="L259">
        <v>0.85743556562061896</v>
      </c>
      <c r="M259">
        <v>1</v>
      </c>
      <c r="N259">
        <v>1.4337819142246201E-2</v>
      </c>
      <c r="O259" t="s">
        <v>433</v>
      </c>
      <c r="P259">
        <v>15674</v>
      </c>
      <c r="Q259">
        <v>1</v>
      </c>
      <c r="R259">
        <v>0</v>
      </c>
      <c r="T259">
        <v>0</v>
      </c>
      <c r="U259" t="b">
        <v>0</v>
      </c>
      <c r="V259">
        <v>0.80446775446775454</v>
      </c>
      <c r="Y259">
        <v>0</v>
      </c>
      <c r="Z259">
        <v>457</v>
      </c>
      <c r="AA259">
        <v>-5.3776107023427999E-3</v>
      </c>
      <c r="AB259">
        <v>-0.52228720136430273</v>
      </c>
      <c r="AC259">
        <v>-6.9372310394452998E-3</v>
      </c>
      <c r="AD259">
        <v>0</v>
      </c>
      <c r="AE259">
        <v>0</v>
      </c>
      <c r="AF259" t="b">
        <v>0</v>
      </c>
    </row>
    <row r="260" spans="1:35" x14ac:dyDescent="0.3">
      <c r="A260" t="s">
        <v>623</v>
      </c>
      <c r="B260" t="s">
        <v>624</v>
      </c>
      <c r="C260" t="s">
        <v>474</v>
      </c>
      <c r="D260">
        <v>2048</v>
      </c>
      <c r="E260">
        <v>47396</v>
      </c>
      <c r="F260">
        <v>30</v>
      </c>
      <c r="G260">
        <v>60</v>
      </c>
      <c r="H260">
        <v>60</v>
      </c>
      <c r="I260">
        <v>1</v>
      </c>
      <c r="J260">
        <v>1</v>
      </c>
      <c r="K260" t="s">
        <v>86</v>
      </c>
      <c r="P260">
        <v>0</v>
      </c>
      <c r="R260">
        <v>0</v>
      </c>
      <c r="T260">
        <v>0</v>
      </c>
      <c r="U260" t="b">
        <v>0</v>
      </c>
      <c r="V260">
        <v>6.2899613899613902</v>
      </c>
      <c r="Y260">
        <v>0</v>
      </c>
      <c r="Z260">
        <v>1256</v>
      </c>
      <c r="AA260">
        <v>1.4762769974448999E-2</v>
      </c>
      <c r="AB260">
        <v>1.4144952711831691</v>
      </c>
      <c r="AC260">
        <v>4.4937190325971599E-2</v>
      </c>
      <c r="AD260">
        <v>-8.1025654898105003E-3</v>
      </c>
      <c r="AE260">
        <v>0</v>
      </c>
      <c r="AF260" t="b">
        <v>0</v>
      </c>
    </row>
    <row r="261" spans="1:35" x14ac:dyDescent="0.3">
      <c r="A261" t="s">
        <v>625</v>
      </c>
      <c r="B261" t="s">
        <v>626</v>
      </c>
      <c r="C261" t="s">
        <v>431</v>
      </c>
      <c r="D261">
        <v>1941</v>
      </c>
      <c r="E261">
        <v>89119</v>
      </c>
      <c r="F261">
        <v>237</v>
      </c>
      <c r="G261">
        <v>60</v>
      </c>
      <c r="H261">
        <v>1</v>
      </c>
      <c r="I261">
        <v>6.7886758154826699E-2</v>
      </c>
      <c r="J261">
        <v>0.20735435409206041</v>
      </c>
      <c r="K261" t="s">
        <v>432</v>
      </c>
      <c r="L261">
        <v>0.85491090924971613</v>
      </c>
      <c r="M261">
        <v>1</v>
      </c>
      <c r="N261">
        <v>7.2832458526493199E-2</v>
      </c>
      <c r="O261" t="s">
        <v>433</v>
      </c>
      <c r="P261">
        <v>72600</v>
      </c>
      <c r="Q261">
        <v>0.99856749311294757</v>
      </c>
      <c r="R261">
        <v>0</v>
      </c>
      <c r="T261">
        <v>0</v>
      </c>
      <c r="U261" t="b">
        <v>0</v>
      </c>
      <c r="V261">
        <v>8.1717906434392678</v>
      </c>
      <c r="Y261">
        <v>0</v>
      </c>
      <c r="Z261">
        <v>2826</v>
      </c>
      <c r="AA261">
        <v>1.9328886261080799E-2</v>
      </c>
      <c r="AB261">
        <v>1.3415439585400659</v>
      </c>
      <c r="AC261">
        <v>-2.6315872139293699E-2</v>
      </c>
      <c r="AD261">
        <v>7.3551926304588594E-2</v>
      </c>
      <c r="AE261">
        <v>0</v>
      </c>
      <c r="AF261" t="b">
        <v>0</v>
      </c>
    </row>
    <row r="262" spans="1:35" x14ac:dyDescent="0.3">
      <c r="A262" t="s">
        <v>627</v>
      </c>
      <c r="B262" t="s">
        <v>628</v>
      </c>
      <c r="C262" t="s">
        <v>431</v>
      </c>
      <c r="D262">
        <v>1390</v>
      </c>
      <c r="E262">
        <v>25762</v>
      </c>
      <c r="F262">
        <v>9</v>
      </c>
      <c r="G262">
        <v>60</v>
      </c>
      <c r="H262">
        <v>60</v>
      </c>
      <c r="I262">
        <v>1</v>
      </c>
      <c r="J262">
        <v>1</v>
      </c>
      <c r="K262" t="s">
        <v>432</v>
      </c>
      <c r="L262">
        <v>0.83808254852678432</v>
      </c>
      <c r="M262">
        <v>1</v>
      </c>
      <c r="N262">
        <v>1</v>
      </c>
      <c r="O262" t="s">
        <v>518</v>
      </c>
      <c r="P262">
        <v>0</v>
      </c>
      <c r="R262">
        <v>0</v>
      </c>
      <c r="T262">
        <v>0</v>
      </c>
      <c r="U262" t="b">
        <v>0</v>
      </c>
      <c r="V262">
        <v>8.1137184115523464</v>
      </c>
      <c r="Y262">
        <v>0</v>
      </c>
      <c r="Z262">
        <v>750</v>
      </c>
      <c r="AA262">
        <v>3.2543939403179999E-4</v>
      </c>
      <c r="AB262">
        <v>2.53968253968254E-2</v>
      </c>
      <c r="AC262">
        <v>-2.0195897965444701E-2</v>
      </c>
      <c r="AD262">
        <v>2.05351869519785E-2</v>
      </c>
      <c r="AE262">
        <v>0</v>
      </c>
      <c r="AF262" t="b">
        <v>0</v>
      </c>
    </row>
    <row r="263" spans="1:35" x14ac:dyDescent="0.3">
      <c r="A263" t="s">
        <v>629</v>
      </c>
      <c r="B263" t="s">
        <v>630</v>
      </c>
      <c r="C263" t="s">
        <v>631</v>
      </c>
      <c r="D263">
        <v>119</v>
      </c>
      <c r="E263">
        <v>818</v>
      </c>
      <c r="F263">
        <v>20</v>
      </c>
      <c r="G263">
        <v>1500</v>
      </c>
      <c r="H263">
        <v>60</v>
      </c>
      <c r="I263">
        <v>1</v>
      </c>
      <c r="J263">
        <v>1</v>
      </c>
      <c r="K263" t="s">
        <v>86</v>
      </c>
      <c r="P263">
        <v>0</v>
      </c>
      <c r="R263">
        <v>0</v>
      </c>
      <c r="T263">
        <v>0</v>
      </c>
      <c r="U263" t="b">
        <v>0</v>
      </c>
      <c r="Y263">
        <v>0</v>
      </c>
      <c r="Z263">
        <v>4</v>
      </c>
      <c r="AA263">
        <v>-1.01010101010101E-2</v>
      </c>
      <c r="AB263">
        <v>-12.5</v>
      </c>
      <c r="AD263">
        <v>0</v>
      </c>
      <c r="AE263">
        <v>0</v>
      </c>
      <c r="AF263" t="b">
        <v>0</v>
      </c>
    </row>
    <row r="264" spans="1:35" x14ac:dyDescent="0.3">
      <c r="A264" t="s">
        <v>632</v>
      </c>
      <c r="B264" t="s">
        <v>633</v>
      </c>
      <c r="C264" t="s">
        <v>431</v>
      </c>
      <c r="D264">
        <v>84</v>
      </c>
      <c r="E264">
        <v>1850</v>
      </c>
      <c r="F264">
        <v>38</v>
      </c>
      <c r="G264">
        <v>60</v>
      </c>
      <c r="H264">
        <v>1</v>
      </c>
      <c r="I264">
        <v>0.80324324324324325</v>
      </c>
      <c r="J264">
        <v>0.90417801998183478</v>
      </c>
      <c r="K264" t="s">
        <v>432</v>
      </c>
      <c r="L264">
        <v>0.1012715712988192</v>
      </c>
      <c r="M264">
        <v>1</v>
      </c>
      <c r="N264">
        <v>5.3811659192825101E-2</v>
      </c>
      <c r="O264" t="s">
        <v>433</v>
      </c>
      <c r="P264">
        <v>211</v>
      </c>
      <c r="Q264">
        <v>1</v>
      </c>
      <c r="R264">
        <v>0</v>
      </c>
      <c r="T264">
        <v>0</v>
      </c>
      <c r="U264" t="b">
        <v>0</v>
      </c>
      <c r="V264">
        <v>0</v>
      </c>
      <c r="Y264">
        <v>0</v>
      </c>
      <c r="Z264">
        <v>89</v>
      </c>
      <c r="AA264">
        <v>0</v>
      </c>
      <c r="AB264">
        <v>0</v>
      </c>
      <c r="AC264">
        <v>0</v>
      </c>
      <c r="AD264">
        <v>0</v>
      </c>
      <c r="AE264">
        <v>0</v>
      </c>
      <c r="AF264" t="b">
        <v>0</v>
      </c>
    </row>
    <row r="265" spans="1:35" x14ac:dyDescent="0.3">
      <c r="A265" t="s">
        <v>634</v>
      </c>
      <c r="B265" t="s">
        <v>635</v>
      </c>
      <c r="C265" t="s">
        <v>431</v>
      </c>
      <c r="D265">
        <v>3131</v>
      </c>
      <c r="E265">
        <v>88647</v>
      </c>
      <c r="F265">
        <v>48</v>
      </c>
      <c r="G265">
        <v>60</v>
      </c>
      <c r="H265">
        <v>60</v>
      </c>
      <c r="I265">
        <v>1</v>
      </c>
      <c r="J265">
        <v>1</v>
      </c>
      <c r="K265" t="s">
        <v>432</v>
      </c>
      <c r="L265">
        <v>0.83046538522890412</v>
      </c>
      <c r="M265">
        <v>1</v>
      </c>
      <c r="N265">
        <v>1</v>
      </c>
      <c r="O265" t="s">
        <v>433</v>
      </c>
      <c r="P265">
        <v>0</v>
      </c>
      <c r="R265">
        <v>0</v>
      </c>
      <c r="T265">
        <v>0</v>
      </c>
      <c r="U265" t="b">
        <v>0</v>
      </c>
      <c r="V265">
        <v>1.3838849701573519</v>
      </c>
      <c r="Y265">
        <v>0</v>
      </c>
      <c r="Z265">
        <v>1844</v>
      </c>
      <c r="AA265">
        <v>2.315048557975E-4</v>
      </c>
      <c r="AB265">
        <v>2.0876538501267299E-2</v>
      </c>
      <c r="AC265">
        <v>-6.8574293041750002E-4</v>
      </c>
      <c r="AD265">
        <v>9.8519031990689995E-4</v>
      </c>
      <c r="AE265">
        <v>0</v>
      </c>
      <c r="AF265" t="b">
        <v>0</v>
      </c>
    </row>
    <row r="266" spans="1:35" x14ac:dyDescent="0.3">
      <c r="A266" t="s">
        <v>636</v>
      </c>
      <c r="B266" t="s">
        <v>637</v>
      </c>
      <c r="C266" t="s">
        <v>638</v>
      </c>
      <c r="D266">
        <v>145990</v>
      </c>
      <c r="E266">
        <v>9577006</v>
      </c>
      <c r="F266">
        <v>827</v>
      </c>
      <c r="G266">
        <v>56</v>
      </c>
      <c r="H266">
        <v>2</v>
      </c>
      <c r="I266">
        <v>2.9911957870758302E-2</v>
      </c>
      <c r="J266">
        <v>4.7051442459692998E-2</v>
      </c>
      <c r="K266" t="s">
        <v>432</v>
      </c>
      <c r="L266">
        <v>0.8797060612888804</v>
      </c>
      <c r="M266">
        <v>0.150515270191203</v>
      </c>
      <c r="N266">
        <v>3.2903453830721803E-2</v>
      </c>
      <c r="O266" t="s">
        <v>433</v>
      </c>
      <c r="P266">
        <v>8279917</v>
      </c>
      <c r="Q266">
        <v>0.7501267222847765</v>
      </c>
      <c r="R266">
        <v>851954</v>
      </c>
      <c r="S266">
        <v>0.15987717646727401</v>
      </c>
      <c r="T266">
        <v>0</v>
      </c>
      <c r="U266" t="b">
        <v>0</v>
      </c>
      <c r="V266">
        <v>0</v>
      </c>
      <c r="Y266">
        <v>0</v>
      </c>
      <c r="Z266">
        <v>125310</v>
      </c>
      <c r="AA266">
        <v>0</v>
      </c>
      <c r="AB266">
        <v>0</v>
      </c>
      <c r="AC266">
        <v>0</v>
      </c>
      <c r="AD266">
        <v>0</v>
      </c>
      <c r="AE266">
        <v>0</v>
      </c>
      <c r="AF266" t="b">
        <v>0</v>
      </c>
    </row>
    <row r="267" spans="1:35" x14ac:dyDescent="0.3">
      <c r="A267" t="s">
        <v>639</v>
      </c>
      <c r="B267" t="s">
        <v>640</v>
      </c>
      <c r="C267" t="s">
        <v>512</v>
      </c>
      <c r="D267">
        <v>9662</v>
      </c>
      <c r="E267">
        <v>234578</v>
      </c>
      <c r="F267">
        <v>39</v>
      </c>
      <c r="G267">
        <v>60</v>
      </c>
      <c r="H267">
        <v>60</v>
      </c>
      <c r="I267">
        <v>0.90291075889469596</v>
      </c>
      <c r="J267">
        <v>0.95220705505164915</v>
      </c>
      <c r="K267" t="s">
        <v>86</v>
      </c>
      <c r="P267">
        <v>0</v>
      </c>
      <c r="R267">
        <v>0</v>
      </c>
      <c r="T267">
        <v>2</v>
      </c>
      <c r="U267" t="b">
        <v>1</v>
      </c>
      <c r="V267">
        <v>0.39533333333333331</v>
      </c>
      <c r="W267">
        <v>5</v>
      </c>
      <c r="X267" t="b">
        <v>0</v>
      </c>
      <c r="Y267">
        <v>0</v>
      </c>
      <c r="Z267">
        <v>7056</v>
      </c>
      <c r="AA267">
        <v>1.0733813945728999E-3</v>
      </c>
      <c r="AB267">
        <v>9.6353396295248001E-2</v>
      </c>
      <c r="AC267">
        <v>2.1244977706537001E-3</v>
      </c>
      <c r="AD267">
        <v>5.3025505707469999E-4</v>
      </c>
      <c r="AE267">
        <v>2</v>
      </c>
      <c r="AF267" t="b">
        <v>1</v>
      </c>
      <c r="AG267">
        <v>-5.1750554697279998E-4</v>
      </c>
      <c r="AH267">
        <v>-0.1245918367346938</v>
      </c>
      <c r="AI267" t="b">
        <v>1</v>
      </c>
    </row>
    <row r="268" spans="1:35" x14ac:dyDescent="0.3">
      <c r="A268" t="s">
        <v>641</v>
      </c>
      <c r="B268" t="s">
        <v>642</v>
      </c>
      <c r="C268" t="s">
        <v>532</v>
      </c>
      <c r="D268">
        <v>700</v>
      </c>
      <c r="E268">
        <v>28536</v>
      </c>
      <c r="F268">
        <v>16</v>
      </c>
      <c r="G268">
        <v>60</v>
      </c>
      <c r="H268">
        <v>60</v>
      </c>
      <c r="I268">
        <v>1</v>
      </c>
      <c r="J268">
        <v>1</v>
      </c>
      <c r="K268" t="s">
        <v>432</v>
      </c>
      <c r="L268">
        <v>0.97267130774984178</v>
      </c>
      <c r="M268">
        <v>1</v>
      </c>
      <c r="N268">
        <v>1</v>
      </c>
      <c r="O268" t="s">
        <v>433</v>
      </c>
      <c r="P268">
        <v>0</v>
      </c>
      <c r="R268">
        <v>0</v>
      </c>
      <c r="T268">
        <v>0</v>
      </c>
      <c r="U268" t="b">
        <v>0</v>
      </c>
      <c r="V268">
        <v>0.19106407995296881</v>
      </c>
      <c r="Y268">
        <v>0</v>
      </c>
      <c r="Z268">
        <v>775</v>
      </c>
      <c r="AA268">
        <v>-8.8630333379000005E-4</v>
      </c>
      <c r="AB268">
        <v>-6.6342689568495997E-2</v>
      </c>
      <c r="AC268">
        <v>1.0087519890883999E-3</v>
      </c>
      <c r="AD268">
        <v>-1.3474497489435E-3</v>
      </c>
      <c r="AE268">
        <v>0</v>
      </c>
      <c r="AF268" t="b">
        <v>0</v>
      </c>
    </row>
    <row r="269" spans="1:35" x14ac:dyDescent="0.3">
      <c r="A269" t="s">
        <v>643</v>
      </c>
      <c r="B269" t="s">
        <v>644</v>
      </c>
      <c r="C269" t="s">
        <v>431</v>
      </c>
      <c r="D269">
        <v>79</v>
      </c>
      <c r="E269">
        <v>2115</v>
      </c>
      <c r="F269">
        <v>138</v>
      </c>
      <c r="G269">
        <v>60</v>
      </c>
      <c r="H269">
        <v>1</v>
      </c>
      <c r="I269">
        <v>0.59479905437352243</v>
      </c>
      <c r="J269">
        <v>0.70810564663023678</v>
      </c>
      <c r="K269" t="s">
        <v>432</v>
      </c>
      <c r="L269">
        <v>0.45537340619307831</v>
      </c>
      <c r="M269">
        <v>1</v>
      </c>
      <c r="N269">
        <v>0.35899999999999999</v>
      </c>
      <c r="O269" t="s">
        <v>433</v>
      </c>
      <c r="P269">
        <v>641</v>
      </c>
      <c r="Q269">
        <v>0.87831513260530425</v>
      </c>
      <c r="R269">
        <v>0</v>
      </c>
      <c r="T269">
        <v>0</v>
      </c>
      <c r="U269" t="b">
        <v>0</v>
      </c>
      <c r="Y269">
        <v>0</v>
      </c>
      <c r="Z269">
        <v>60</v>
      </c>
      <c r="AA269">
        <v>-2.01511335012594E-2</v>
      </c>
      <c r="AB269">
        <v>-2</v>
      </c>
      <c r="AD269">
        <v>0</v>
      </c>
      <c r="AE269">
        <v>0</v>
      </c>
      <c r="AF269" t="b">
        <v>0</v>
      </c>
    </row>
    <row r="270" spans="1:35" x14ac:dyDescent="0.3">
      <c r="A270" t="s">
        <v>645</v>
      </c>
      <c r="B270" t="s">
        <v>646</v>
      </c>
      <c r="C270" t="s">
        <v>431</v>
      </c>
      <c r="D270">
        <v>1882</v>
      </c>
      <c r="E270">
        <v>75702</v>
      </c>
      <c r="F270">
        <v>494</v>
      </c>
      <c r="G270">
        <v>46</v>
      </c>
      <c r="H270">
        <v>1</v>
      </c>
      <c r="I270">
        <v>2.29320229320229E-2</v>
      </c>
      <c r="J270">
        <v>0.16870047033051991</v>
      </c>
      <c r="K270" t="s">
        <v>86</v>
      </c>
      <c r="P270">
        <v>0</v>
      </c>
      <c r="R270">
        <v>0</v>
      </c>
      <c r="T270">
        <v>0</v>
      </c>
      <c r="U270" t="b">
        <v>0</v>
      </c>
      <c r="V270">
        <v>7.0614767449920288</v>
      </c>
      <c r="Y270">
        <v>0</v>
      </c>
      <c r="Z270">
        <v>2702</v>
      </c>
      <c r="AA270">
        <v>2.9079589533136899E-2</v>
      </c>
      <c r="AB270">
        <v>1.979266640711866</v>
      </c>
      <c r="AC270">
        <v>-8.8785079347952003E-3</v>
      </c>
      <c r="AD270">
        <v>6.3928466918499002E-2</v>
      </c>
      <c r="AE270">
        <v>0</v>
      </c>
      <c r="AF270" t="b">
        <v>0</v>
      </c>
    </row>
    <row r="271" spans="1:35" x14ac:dyDescent="0.3">
      <c r="A271" t="s">
        <v>647</v>
      </c>
      <c r="B271" t="s">
        <v>648</v>
      </c>
      <c r="C271" t="s">
        <v>431</v>
      </c>
      <c r="D271">
        <v>1611</v>
      </c>
      <c r="E271">
        <v>90347</v>
      </c>
      <c r="F271">
        <v>258</v>
      </c>
      <c r="G271">
        <v>45</v>
      </c>
      <c r="H271">
        <v>1</v>
      </c>
      <c r="I271">
        <v>1.6193122073782099E-2</v>
      </c>
      <c r="J271">
        <v>0.1173579242697753</v>
      </c>
      <c r="K271" t="s">
        <v>432</v>
      </c>
      <c r="L271">
        <v>0.89834489658322281</v>
      </c>
      <c r="M271">
        <v>1</v>
      </c>
      <c r="N271">
        <v>1.7479724004357801E-2</v>
      </c>
      <c r="O271" t="s">
        <v>433</v>
      </c>
      <c r="P271">
        <v>77110</v>
      </c>
      <c r="Q271">
        <v>0.87420568019712097</v>
      </c>
      <c r="R271">
        <v>0</v>
      </c>
      <c r="T271">
        <v>0</v>
      </c>
      <c r="U271" t="b">
        <v>0</v>
      </c>
      <c r="V271">
        <v>3.4824508523647562</v>
      </c>
      <c r="Y271">
        <v>0</v>
      </c>
      <c r="Z271">
        <v>3221</v>
      </c>
      <c r="AA271">
        <v>-3.5083625675964999E-3</v>
      </c>
      <c r="AB271">
        <v>-0.1929746616425945</v>
      </c>
      <c r="AC271">
        <v>-2.1097533126739999E-2</v>
      </c>
      <c r="AD271">
        <v>2.2544936953587599E-2</v>
      </c>
      <c r="AE271">
        <v>0</v>
      </c>
      <c r="AF271" t="b">
        <v>0</v>
      </c>
    </row>
    <row r="272" spans="1:35" x14ac:dyDescent="0.3">
      <c r="A272" t="s">
        <v>649</v>
      </c>
      <c r="B272" t="s">
        <v>650</v>
      </c>
      <c r="C272" t="s">
        <v>431</v>
      </c>
      <c r="D272">
        <v>213</v>
      </c>
      <c r="E272">
        <v>2216</v>
      </c>
      <c r="F272">
        <v>11</v>
      </c>
      <c r="G272">
        <v>60</v>
      </c>
      <c r="H272">
        <v>60</v>
      </c>
      <c r="I272">
        <v>1</v>
      </c>
      <c r="J272">
        <v>1</v>
      </c>
      <c r="K272" t="s">
        <v>432</v>
      </c>
      <c r="L272">
        <v>0.73018677435638568</v>
      </c>
      <c r="M272">
        <v>1</v>
      </c>
      <c r="N272">
        <v>1</v>
      </c>
      <c r="O272" t="s">
        <v>433</v>
      </c>
      <c r="P272">
        <v>0</v>
      </c>
      <c r="R272">
        <v>0</v>
      </c>
      <c r="T272">
        <v>0</v>
      </c>
      <c r="U272" t="b">
        <v>0</v>
      </c>
      <c r="V272">
        <v>0</v>
      </c>
      <c r="Y272">
        <v>0</v>
      </c>
      <c r="Z272">
        <v>130</v>
      </c>
      <c r="AA272">
        <v>4.3290043290043004E-3</v>
      </c>
      <c r="AB272">
        <v>0.34615384615384609</v>
      </c>
      <c r="AC272">
        <v>0</v>
      </c>
      <c r="AD272">
        <v>0</v>
      </c>
      <c r="AE272">
        <v>0</v>
      </c>
      <c r="AF272" t="b">
        <v>0</v>
      </c>
    </row>
    <row r="273" spans="1:35" x14ac:dyDescent="0.3">
      <c r="A273" t="s">
        <v>651</v>
      </c>
      <c r="B273" t="s">
        <v>652</v>
      </c>
      <c r="C273" t="s">
        <v>431</v>
      </c>
      <c r="D273">
        <v>700</v>
      </c>
      <c r="E273">
        <v>78</v>
      </c>
      <c r="F273">
        <v>2</v>
      </c>
      <c r="G273">
        <v>60</v>
      </c>
      <c r="I273">
        <v>0.98717948717948723</v>
      </c>
      <c r="J273">
        <v>0.99929353585305558</v>
      </c>
      <c r="K273" t="s">
        <v>432</v>
      </c>
      <c r="L273">
        <v>0.81541370541826952</v>
      </c>
      <c r="M273">
        <v>0.99929353585305558</v>
      </c>
      <c r="O273" t="s">
        <v>518</v>
      </c>
      <c r="P273">
        <v>0</v>
      </c>
      <c r="R273">
        <v>0</v>
      </c>
      <c r="T273">
        <v>0</v>
      </c>
      <c r="U273" t="b">
        <v>0</v>
      </c>
      <c r="V273">
        <v>0</v>
      </c>
      <c r="Y273">
        <v>0.81541370541826952</v>
      </c>
      <c r="Z273">
        <v>3</v>
      </c>
      <c r="AA273">
        <v>0</v>
      </c>
      <c r="AB273">
        <v>0</v>
      </c>
      <c r="AC273">
        <v>0</v>
      </c>
      <c r="AD273">
        <v>0</v>
      </c>
      <c r="AE273">
        <v>0</v>
      </c>
      <c r="AF273" t="b">
        <v>0</v>
      </c>
    </row>
    <row r="274" spans="1:35" x14ac:dyDescent="0.3">
      <c r="A274" t="s">
        <v>653</v>
      </c>
      <c r="B274" t="s">
        <v>654</v>
      </c>
      <c r="C274" t="s">
        <v>431</v>
      </c>
      <c r="D274">
        <v>960</v>
      </c>
      <c r="E274">
        <v>19811</v>
      </c>
      <c r="F274">
        <v>263</v>
      </c>
      <c r="G274">
        <v>70</v>
      </c>
      <c r="H274">
        <v>1</v>
      </c>
      <c r="I274">
        <v>4.0381606178385702E-2</v>
      </c>
      <c r="J274">
        <v>0.25323768715998268</v>
      </c>
      <c r="K274" t="s">
        <v>432</v>
      </c>
      <c r="L274">
        <v>0.77276009821385583</v>
      </c>
      <c r="M274">
        <v>1</v>
      </c>
      <c r="N274">
        <v>3.3642763690735697E-2</v>
      </c>
      <c r="O274" t="s">
        <v>433</v>
      </c>
      <c r="P274">
        <v>15511</v>
      </c>
      <c r="Q274">
        <v>0.34343369221842562</v>
      </c>
      <c r="R274">
        <v>0</v>
      </c>
      <c r="T274">
        <v>0</v>
      </c>
      <c r="U274" t="b">
        <v>0</v>
      </c>
      <c r="V274">
        <v>1.2995051085568321</v>
      </c>
      <c r="Y274">
        <v>0</v>
      </c>
      <c r="Z274">
        <v>766</v>
      </c>
      <c r="AA274">
        <v>3.2989689145254998E-3</v>
      </c>
      <c r="AB274">
        <v>0.32149370844943731</v>
      </c>
      <c r="AC274">
        <v>4.7012168796071998E-3</v>
      </c>
      <c r="AD274">
        <v>-3.4741735640248001E-3</v>
      </c>
      <c r="AE274">
        <v>0</v>
      </c>
      <c r="AF274" t="b">
        <v>0</v>
      </c>
    </row>
    <row r="275" spans="1:35" x14ac:dyDescent="0.3">
      <c r="A275" t="s">
        <v>655</v>
      </c>
      <c r="B275" t="s">
        <v>656</v>
      </c>
      <c r="C275" t="s">
        <v>431</v>
      </c>
      <c r="D275">
        <v>85</v>
      </c>
      <c r="E275">
        <v>1688</v>
      </c>
      <c r="F275">
        <v>14</v>
      </c>
      <c r="G275">
        <v>60</v>
      </c>
      <c r="H275">
        <v>60</v>
      </c>
      <c r="I275">
        <v>1</v>
      </c>
      <c r="J275">
        <v>1</v>
      </c>
      <c r="K275" t="s">
        <v>432</v>
      </c>
      <c r="L275">
        <v>3.8330494037478002E-3</v>
      </c>
      <c r="M275">
        <v>1</v>
      </c>
      <c r="N275">
        <v>1</v>
      </c>
      <c r="O275" t="s">
        <v>433</v>
      </c>
      <c r="P275">
        <v>0</v>
      </c>
      <c r="R275">
        <v>0</v>
      </c>
      <c r="T275">
        <v>0</v>
      </c>
      <c r="U275" t="b">
        <v>0</v>
      </c>
      <c r="Y275">
        <v>0</v>
      </c>
      <c r="Z275">
        <v>0</v>
      </c>
      <c r="AE275">
        <v>0</v>
      </c>
      <c r="AF275" t="b">
        <v>0</v>
      </c>
    </row>
    <row r="276" spans="1:35" x14ac:dyDescent="0.3">
      <c r="A276" t="s">
        <v>657</v>
      </c>
      <c r="B276" t="s">
        <v>658</v>
      </c>
      <c r="C276" t="s">
        <v>85</v>
      </c>
      <c r="D276">
        <v>265</v>
      </c>
      <c r="E276">
        <v>9600</v>
      </c>
      <c r="F276">
        <v>8</v>
      </c>
      <c r="G276">
        <v>60</v>
      </c>
      <c r="H276">
        <v>60</v>
      </c>
      <c r="I276">
        <v>1</v>
      </c>
      <c r="J276">
        <v>1</v>
      </c>
      <c r="K276" t="s">
        <v>86</v>
      </c>
      <c r="P276">
        <v>0</v>
      </c>
      <c r="R276">
        <v>0</v>
      </c>
      <c r="T276">
        <v>0</v>
      </c>
      <c r="U276" t="b">
        <v>0</v>
      </c>
      <c r="V276">
        <v>12.706069751844399</v>
      </c>
      <c r="Y276">
        <v>0</v>
      </c>
      <c r="Z276">
        <v>317</v>
      </c>
      <c r="AA276">
        <v>8.0551791057044297E-2</v>
      </c>
      <c r="AB276">
        <v>6.7228239688807516</v>
      </c>
      <c r="AC276">
        <v>0.1153699699265674</v>
      </c>
      <c r="AD276">
        <v>6.5108205566164395E-2</v>
      </c>
      <c r="AE276">
        <v>0</v>
      </c>
      <c r="AF276" t="b">
        <v>0</v>
      </c>
    </row>
    <row r="277" spans="1:35" x14ac:dyDescent="0.3">
      <c r="A277" t="s">
        <v>659</v>
      </c>
      <c r="B277" t="s">
        <v>660</v>
      </c>
      <c r="C277" t="s">
        <v>517</v>
      </c>
      <c r="D277">
        <v>208</v>
      </c>
      <c r="E277">
        <v>3493</v>
      </c>
      <c r="F277">
        <v>213</v>
      </c>
      <c r="G277">
        <v>55</v>
      </c>
      <c r="H277">
        <v>1</v>
      </c>
      <c r="I277">
        <v>0.18093329516175199</v>
      </c>
      <c r="J277">
        <v>0.41777084957131722</v>
      </c>
      <c r="K277" t="s">
        <v>432</v>
      </c>
      <c r="L277">
        <v>0.896002024291498</v>
      </c>
      <c r="M277">
        <v>1</v>
      </c>
      <c r="N277">
        <v>0.34816753926701571</v>
      </c>
      <c r="O277" t="s">
        <v>518</v>
      </c>
      <c r="P277">
        <v>2241</v>
      </c>
      <c r="Q277">
        <v>4.0160642570280999E-3</v>
      </c>
      <c r="R277">
        <v>0</v>
      </c>
      <c r="T277">
        <v>0</v>
      </c>
      <c r="U277" t="b">
        <v>0</v>
      </c>
      <c r="Y277">
        <v>2.6062753036437201E-2</v>
      </c>
      <c r="Z277">
        <v>33</v>
      </c>
      <c r="AA277">
        <v>-0.1024436536180308</v>
      </c>
      <c r="AB277">
        <v>-5.4520202020202024</v>
      </c>
      <c r="AE277">
        <v>0</v>
      </c>
      <c r="AF277" t="b">
        <v>0</v>
      </c>
    </row>
    <row r="278" spans="1:35" x14ac:dyDescent="0.3">
      <c r="A278" t="s">
        <v>661</v>
      </c>
      <c r="B278" t="s">
        <v>662</v>
      </c>
      <c r="C278" t="s">
        <v>512</v>
      </c>
      <c r="D278">
        <v>557</v>
      </c>
      <c r="E278">
        <v>8647</v>
      </c>
      <c r="F278">
        <v>9</v>
      </c>
      <c r="G278">
        <v>60</v>
      </c>
      <c r="H278">
        <v>60</v>
      </c>
      <c r="I278">
        <v>0.99109517751821441</v>
      </c>
      <c r="J278">
        <v>0.99263842953163339</v>
      </c>
      <c r="K278" t="s">
        <v>86</v>
      </c>
      <c r="P278">
        <v>0</v>
      </c>
      <c r="R278">
        <v>0</v>
      </c>
      <c r="T278">
        <v>0</v>
      </c>
      <c r="U278" t="b">
        <v>0</v>
      </c>
      <c r="V278">
        <v>0</v>
      </c>
      <c r="Y278">
        <v>0</v>
      </c>
      <c r="Z278">
        <v>396</v>
      </c>
      <c r="AA278">
        <v>0</v>
      </c>
      <c r="AB278">
        <v>0</v>
      </c>
      <c r="AC278">
        <v>0</v>
      </c>
      <c r="AD278">
        <v>0</v>
      </c>
      <c r="AE278">
        <v>0</v>
      </c>
      <c r="AF278" t="b">
        <v>0</v>
      </c>
    </row>
    <row r="279" spans="1:35" x14ac:dyDescent="0.3">
      <c r="A279" t="s">
        <v>663</v>
      </c>
      <c r="B279" t="s">
        <v>664</v>
      </c>
      <c r="C279" t="s">
        <v>532</v>
      </c>
      <c r="D279">
        <v>153</v>
      </c>
      <c r="E279">
        <v>3356</v>
      </c>
      <c r="F279">
        <v>9</v>
      </c>
      <c r="G279">
        <v>60</v>
      </c>
      <c r="H279">
        <v>60</v>
      </c>
      <c r="I279">
        <v>1</v>
      </c>
      <c r="J279">
        <v>1</v>
      </c>
      <c r="K279" t="s">
        <v>432</v>
      </c>
      <c r="L279">
        <v>0.89275875639512003</v>
      </c>
      <c r="M279">
        <v>1</v>
      </c>
      <c r="N279">
        <v>1</v>
      </c>
      <c r="O279" t="s">
        <v>433</v>
      </c>
      <c r="P279">
        <v>0</v>
      </c>
      <c r="R279">
        <v>0</v>
      </c>
      <c r="T279">
        <v>0</v>
      </c>
      <c r="U279" t="b">
        <v>0</v>
      </c>
      <c r="V279">
        <v>0</v>
      </c>
      <c r="Y279">
        <v>0</v>
      </c>
      <c r="Z279">
        <v>135</v>
      </c>
      <c r="AA279">
        <v>0</v>
      </c>
      <c r="AB279">
        <v>0</v>
      </c>
      <c r="AC279">
        <v>0</v>
      </c>
      <c r="AD279">
        <v>0</v>
      </c>
      <c r="AE279">
        <v>0</v>
      </c>
      <c r="AF279" t="b">
        <v>0</v>
      </c>
    </row>
    <row r="280" spans="1:35" x14ac:dyDescent="0.3">
      <c r="A280" t="s">
        <v>665</v>
      </c>
      <c r="B280" t="s">
        <v>666</v>
      </c>
      <c r="C280" t="s">
        <v>479</v>
      </c>
      <c r="D280">
        <v>1973</v>
      </c>
      <c r="E280">
        <v>13463</v>
      </c>
      <c r="F280">
        <v>56</v>
      </c>
      <c r="G280">
        <v>300</v>
      </c>
      <c r="H280">
        <v>60</v>
      </c>
      <c r="I280">
        <v>1</v>
      </c>
      <c r="J280">
        <v>1</v>
      </c>
      <c r="K280" t="s">
        <v>86</v>
      </c>
      <c r="P280">
        <v>0</v>
      </c>
      <c r="R280">
        <v>0</v>
      </c>
      <c r="T280">
        <v>2</v>
      </c>
      <c r="U280" t="b">
        <v>0</v>
      </c>
      <c r="V280">
        <v>17.011278195488721</v>
      </c>
      <c r="W280">
        <v>7.8925492833859359</v>
      </c>
      <c r="Y280">
        <v>0</v>
      </c>
      <c r="Z280">
        <v>79</v>
      </c>
      <c r="AA280">
        <v>4.0214220599788797E-2</v>
      </c>
      <c r="AB280">
        <v>18.355670700607408</v>
      </c>
      <c r="AC280">
        <v>3.6565914347236599E-2</v>
      </c>
      <c r="AD280">
        <v>6.2154657094809398E-2</v>
      </c>
      <c r="AE280">
        <v>2</v>
      </c>
      <c r="AF280" t="b">
        <v>1</v>
      </c>
      <c r="AG280">
        <v>3.9095087255925001E-3</v>
      </c>
      <c r="AH280">
        <v>0.55996472663139318</v>
      </c>
      <c r="AI280" t="b">
        <v>1</v>
      </c>
    </row>
    <row r="281" spans="1:35" x14ac:dyDescent="0.3">
      <c r="A281" t="s">
        <v>667</v>
      </c>
      <c r="B281" t="s">
        <v>668</v>
      </c>
      <c r="C281" t="s">
        <v>573</v>
      </c>
      <c r="D281">
        <v>935</v>
      </c>
      <c r="E281">
        <v>8775</v>
      </c>
      <c r="F281">
        <v>48</v>
      </c>
      <c r="G281">
        <v>240</v>
      </c>
      <c r="H281">
        <v>60</v>
      </c>
      <c r="I281">
        <v>1</v>
      </c>
      <c r="J281">
        <v>1</v>
      </c>
      <c r="K281" t="s">
        <v>86</v>
      </c>
      <c r="P281">
        <v>0</v>
      </c>
      <c r="R281">
        <v>0</v>
      </c>
      <c r="T281">
        <v>2</v>
      </c>
      <c r="U281" t="b">
        <v>1</v>
      </c>
      <c r="V281">
        <v>14.878048780487809</v>
      </c>
      <c r="W281">
        <v>8.578508954602249</v>
      </c>
      <c r="X281" t="b">
        <v>1</v>
      </c>
      <c r="Y281">
        <v>0</v>
      </c>
      <c r="Z281">
        <v>74</v>
      </c>
      <c r="AA281">
        <v>1.96662901020817E-2</v>
      </c>
      <c r="AB281">
        <v>6.1837194337194354</v>
      </c>
      <c r="AC281">
        <v>2.8022417934347399E-2</v>
      </c>
      <c r="AD281">
        <v>2.58139953228998E-2</v>
      </c>
      <c r="AE281">
        <v>2</v>
      </c>
      <c r="AF281" t="b">
        <v>1</v>
      </c>
      <c r="AG281">
        <v>2.9197370969522001E-3</v>
      </c>
      <c r="AH281">
        <v>0.55659075224292609</v>
      </c>
      <c r="AI281" t="b">
        <v>1</v>
      </c>
    </row>
    <row r="282" spans="1:35" x14ac:dyDescent="0.3">
      <c r="A282" t="s">
        <v>669</v>
      </c>
      <c r="B282" t="s">
        <v>670</v>
      </c>
      <c r="C282" t="s">
        <v>671</v>
      </c>
      <c r="D282">
        <v>78507</v>
      </c>
      <c r="E282">
        <v>3166198</v>
      </c>
      <c r="F282">
        <v>736</v>
      </c>
      <c r="G282">
        <v>114</v>
      </c>
      <c r="H282">
        <v>1</v>
      </c>
      <c r="I282">
        <v>2.00167519529732E-2</v>
      </c>
      <c r="J282">
        <v>4.0446514330816002E-2</v>
      </c>
      <c r="K282" t="s">
        <v>86</v>
      </c>
      <c r="P282">
        <v>0</v>
      </c>
      <c r="R282">
        <v>0</v>
      </c>
      <c r="T282">
        <v>0</v>
      </c>
      <c r="U282" t="b">
        <v>0</v>
      </c>
      <c r="V282">
        <v>0</v>
      </c>
      <c r="Y282">
        <v>0</v>
      </c>
      <c r="Z282">
        <v>60770</v>
      </c>
      <c r="AA282">
        <v>0</v>
      </c>
      <c r="AB282">
        <v>0</v>
      </c>
      <c r="AC282">
        <v>0</v>
      </c>
      <c r="AD282">
        <v>0</v>
      </c>
      <c r="AE282">
        <v>0</v>
      </c>
      <c r="AF282" t="b">
        <v>0</v>
      </c>
    </row>
    <row r="283" spans="1:35" x14ac:dyDescent="0.3">
      <c r="A283" t="s">
        <v>672</v>
      </c>
      <c r="B283" t="s">
        <v>673</v>
      </c>
      <c r="C283" t="s">
        <v>474</v>
      </c>
      <c r="D283">
        <v>1168</v>
      </c>
      <c r="E283">
        <v>18184</v>
      </c>
      <c r="F283">
        <v>25</v>
      </c>
      <c r="G283">
        <v>120</v>
      </c>
      <c r="H283">
        <v>60</v>
      </c>
      <c r="I283">
        <v>1</v>
      </c>
      <c r="J283">
        <v>1</v>
      </c>
      <c r="K283" t="s">
        <v>86</v>
      </c>
      <c r="P283">
        <v>0</v>
      </c>
      <c r="R283">
        <v>0</v>
      </c>
      <c r="T283">
        <v>0</v>
      </c>
      <c r="U283" t="b">
        <v>0</v>
      </c>
      <c r="V283">
        <v>16.430434997733482</v>
      </c>
      <c r="Y283">
        <v>0</v>
      </c>
      <c r="Z283">
        <v>411</v>
      </c>
      <c r="AA283">
        <v>3.7704659536125201E-2</v>
      </c>
      <c r="AB283">
        <v>5.9088299948139511</v>
      </c>
      <c r="AC283">
        <v>4.4328482530715599E-2</v>
      </c>
      <c r="AD283">
        <v>4.6304911539776998E-2</v>
      </c>
      <c r="AE283">
        <v>0</v>
      </c>
      <c r="AF283" t="b">
        <v>0</v>
      </c>
    </row>
    <row r="284" spans="1:35" x14ac:dyDescent="0.3">
      <c r="A284" t="s">
        <v>674</v>
      </c>
      <c r="B284" t="s">
        <v>675</v>
      </c>
      <c r="C284" t="s">
        <v>428</v>
      </c>
      <c r="D284">
        <v>339</v>
      </c>
      <c r="E284">
        <v>6416</v>
      </c>
      <c r="F284">
        <v>8</v>
      </c>
      <c r="G284">
        <v>60</v>
      </c>
      <c r="H284">
        <v>60</v>
      </c>
      <c r="I284">
        <v>1</v>
      </c>
      <c r="J284">
        <v>1</v>
      </c>
      <c r="K284" t="s">
        <v>86</v>
      </c>
      <c r="P284">
        <v>0</v>
      </c>
      <c r="R284">
        <v>0</v>
      </c>
      <c r="T284">
        <v>0</v>
      </c>
      <c r="U284" t="b">
        <v>0</v>
      </c>
      <c r="V284">
        <v>5.293333333333333</v>
      </c>
      <c r="Y284">
        <v>0</v>
      </c>
      <c r="Z284">
        <v>234</v>
      </c>
      <c r="AA284">
        <v>-1.1930086400161201E-2</v>
      </c>
      <c r="AB284">
        <v>-0.97054227823458583</v>
      </c>
      <c r="AC284">
        <v>-1.50108582943673E-2</v>
      </c>
      <c r="AD284">
        <v>-3.3765883481179503E-2</v>
      </c>
      <c r="AE284">
        <v>0</v>
      </c>
      <c r="AF284" t="b">
        <v>0</v>
      </c>
    </row>
    <row r="285" spans="1:35" x14ac:dyDescent="0.3">
      <c r="A285" t="s">
        <v>676</v>
      </c>
      <c r="B285" t="s">
        <v>677</v>
      </c>
      <c r="C285" t="s">
        <v>462</v>
      </c>
      <c r="D285">
        <v>2053</v>
      </c>
      <c r="E285">
        <v>61550</v>
      </c>
      <c r="F285">
        <v>249</v>
      </c>
      <c r="G285">
        <v>57</v>
      </c>
      <c r="H285">
        <v>1</v>
      </c>
      <c r="I285">
        <v>0.20157595450852961</v>
      </c>
      <c r="J285">
        <v>0.37169630363347639</v>
      </c>
      <c r="K285" t="s">
        <v>432</v>
      </c>
      <c r="L285">
        <v>0.71738754461267551</v>
      </c>
      <c r="M285">
        <v>0.85763560500695413</v>
      </c>
      <c r="N285">
        <v>0.18026211975102999</v>
      </c>
      <c r="O285" t="s">
        <v>433</v>
      </c>
      <c r="P285">
        <v>37403</v>
      </c>
      <c r="Q285">
        <v>0.59473838996871908</v>
      </c>
      <c r="R285">
        <v>2498</v>
      </c>
      <c r="S285">
        <v>0.39431545236188947</v>
      </c>
      <c r="T285">
        <v>0</v>
      </c>
      <c r="U285" t="b">
        <v>0</v>
      </c>
      <c r="V285">
        <v>5.7584251968503937</v>
      </c>
      <c r="Y285">
        <v>0</v>
      </c>
      <c r="Z285">
        <v>2194</v>
      </c>
      <c r="AA285">
        <v>3.6293787153633003E-2</v>
      </c>
      <c r="AB285">
        <v>2.2903190651139602</v>
      </c>
      <c r="AC285">
        <v>2.44747270658634E-2</v>
      </c>
      <c r="AD285">
        <v>6.3176558285411605E-2</v>
      </c>
      <c r="AE285">
        <v>0</v>
      </c>
      <c r="AF285" t="b">
        <v>0</v>
      </c>
    </row>
    <row r="286" spans="1:35" x14ac:dyDescent="0.3">
      <c r="A286" t="s">
        <v>678</v>
      </c>
      <c r="B286" t="s">
        <v>679</v>
      </c>
      <c r="C286" t="s">
        <v>680</v>
      </c>
      <c r="D286">
        <v>21484</v>
      </c>
      <c r="E286">
        <v>1130316</v>
      </c>
      <c r="F286">
        <v>410</v>
      </c>
      <c r="G286">
        <v>59</v>
      </c>
      <c r="H286">
        <v>1</v>
      </c>
      <c r="I286">
        <v>1.5872552454357799E-2</v>
      </c>
      <c r="J286">
        <v>2.3141133966551999E-2</v>
      </c>
      <c r="K286" t="s">
        <v>86</v>
      </c>
      <c r="P286">
        <v>0</v>
      </c>
      <c r="R286">
        <v>0</v>
      </c>
      <c r="T286">
        <v>0</v>
      </c>
      <c r="U286" t="b">
        <v>0</v>
      </c>
      <c r="V286">
        <v>0</v>
      </c>
      <c r="Y286">
        <v>0</v>
      </c>
      <c r="Z286">
        <v>19993</v>
      </c>
      <c r="AA286">
        <v>0</v>
      </c>
      <c r="AB286">
        <v>0</v>
      </c>
      <c r="AC286">
        <v>0</v>
      </c>
      <c r="AD286">
        <v>0</v>
      </c>
      <c r="AE286">
        <v>0</v>
      </c>
      <c r="AF286" t="b">
        <v>0</v>
      </c>
    </row>
    <row r="287" spans="1:35" x14ac:dyDescent="0.3">
      <c r="A287" t="s">
        <v>681</v>
      </c>
      <c r="B287" t="s">
        <v>682</v>
      </c>
      <c r="C287" t="s">
        <v>431</v>
      </c>
      <c r="D287">
        <v>79</v>
      </c>
      <c r="E287">
        <v>402</v>
      </c>
      <c r="F287">
        <v>32</v>
      </c>
      <c r="G287">
        <v>480</v>
      </c>
      <c r="H287">
        <v>60</v>
      </c>
      <c r="I287">
        <v>1</v>
      </c>
      <c r="J287">
        <v>1</v>
      </c>
      <c r="K287" t="s">
        <v>86</v>
      </c>
      <c r="P287">
        <v>0</v>
      </c>
      <c r="R287">
        <v>0</v>
      </c>
      <c r="T287">
        <v>0</v>
      </c>
      <c r="U287" t="b">
        <v>0</v>
      </c>
      <c r="Y287">
        <v>0</v>
      </c>
      <c r="Z287">
        <v>0</v>
      </c>
      <c r="AE287">
        <v>0</v>
      </c>
      <c r="AF287" t="b">
        <v>0</v>
      </c>
    </row>
    <row r="288" spans="1:35" x14ac:dyDescent="0.3">
      <c r="A288" t="s">
        <v>683</v>
      </c>
      <c r="B288" t="s">
        <v>684</v>
      </c>
      <c r="C288" t="s">
        <v>431</v>
      </c>
      <c r="D288">
        <v>1627</v>
      </c>
      <c r="E288">
        <v>34201</v>
      </c>
      <c r="F288">
        <v>233</v>
      </c>
      <c r="G288">
        <v>53</v>
      </c>
      <c r="H288">
        <v>1</v>
      </c>
      <c r="I288">
        <v>3.4414198415251E-2</v>
      </c>
      <c r="J288">
        <v>0.23191358713855079</v>
      </c>
      <c r="K288" t="s">
        <v>86</v>
      </c>
      <c r="P288">
        <v>0</v>
      </c>
      <c r="R288">
        <v>0</v>
      </c>
      <c r="T288">
        <v>0</v>
      </c>
      <c r="U288" t="b">
        <v>0</v>
      </c>
      <c r="V288">
        <v>7.7775090939153451</v>
      </c>
      <c r="Y288">
        <v>0</v>
      </c>
      <c r="Z288">
        <v>958</v>
      </c>
      <c r="AA288">
        <v>2.8803763446877899E-2</v>
      </c>
      <c r="AB288">
        <v>1.90931483414521</v>
      </c>
      <c r="AC288">
        <v>-2.91244118830832E-2</v>
      </c>
      <c r="AD288">
        <v>7.8287998420745603E-2</v>
      </c>
      <c r="AE288">
        <v>0</v>
      </c>
      <c r="AF288" t="b">
        <v>0</v>
      </c>
    </row>
    <row r="289" spans="1:35" x14ac:dyDescent="0.3">
      <c r="A289" t="s">
        <v>685</v>
      </c>
      <c r="B289" t="s">
        <v>686</v>
      </c>
      <c r="C289" t="s">
        <v>431</v>
      </c>
      <c r="D289">
        <v>53</v>
      </c>
      <c r="E289">
        <v>183</v>
      </c>
      <c r="F289">
        <v>19</v>
      </c>
      <c r="G289">
        <v>300</v>
      </c>
      <c r="H289">
        <v>60</v>
      </c>
      <c r="I289">
        <v>1</v>
      </c>
      <c r="J289">
        <v>1</v>
      </c>
      <c r="K289" t="s">
        <v>432</v>
      </c>
      <c r="L289">
        <v>0.67666666666666664</v>
      </c>
      <c r="M289">
        <v>1</v>
      </c>
      <c r="N289">
        <v>1</v>
      </c>
      <c r="O289" t="s">
        <v>518</v>
      </c>
      <c r="P289">
        <v>0</v>
      </c>
      <c r="R289">
        <v>0</v>
      </c>
      <c r="T289">
        <v>0</v>
      </c>
      <c r="U289" t="b">
        <v>0</v>
      </c>
      <c r="Y289">
        <v>0.67400000000000004</v>
      </c>
      <c r="Z289">
        <v>3</v>
      </c>
      <c r="AA289">
        <v>0</v>
      </c>
      <c r="AB289">
        <v>0</v>
      </c>
      <c r="AE289">
        <v>0</v>
      </c>
      <c r="AF289" t="b">
        <v>0</v>
      </c>
    </row>
    <row r="290" spans="1:35" x14ac:dyDescent="0.3">
      <c r="A290" t="s">
        <v>687</v>
      </c>
      <c r="B290" t="s">
        <v>688</v>
      </c>
      <c r="C290" t="s">
        <v>689</v>
      </c>
      <c r="D290">
        <v>37004</v>
      </c>
      <c r="E290">
        <v>1072727</v>
      </c>
      <c r="F290">
        <v>89</v>
      </c>
      <c r="G290">
        <v>60</v>
      </c>
      <c r="H290">
        <v>30</v>
      </c>
      <c r="I290">
        <v>0.75214010647629825</v>
      </c>
      <c r="J290">
        <v>0.87753493132665161</v>
      </c>
      <c r="K290" t="s">
        <v>86</v>
      </c>
      <c r="P290">
        <v>0</v>
      </c>
      <c r="R290">
        <v>0</v>
      </c>
      <c r="T290">
        <v>3</v>
      </c>
      <c r="U290" t="b">
        <v>1</v>
      </c>
      <c r="V290">
        <v>6.1795087765461547</v>
      </c>
      <c r="W290">
        <v>2.2235059438942928</v>
      </c>
      <c r="X290" t="b">
        <v>1</v>
      </c>
      <c r="Y290">
        <v>0</v>
      </c>
      <c r="Z290">
        <v>26751</v>
      </c>
      <c r="AA290">
        <v>3.1548323193769302E-2</v>
      </c>
      <c r="AB290">
        <v>2.666006850188825</v>
      </c>
      <c r="AC290">
        <v>5.1059319983763597E-2</v>
      </c>
      <c r="AD290">
        <v>3.0351445503403501E-2</v>
      </c>
      <c r="AE290">
        <v>3</v>
      </c>
      <c r="AF290" t="b">
        <v>1</v>
      </c>
      <c r="AG290">
        <v>1.9000478625723901E-2</v>
      </c>
      <c r="AH290">
        <v>1.388010289634185</v>
      </c>
      <c r="AI290" t="b">
        <v>1</v>
      </c>
    </row>
    <row r="291" spans="1:35" x14ac:dyDescent="0.3">
      <c r="A291" t="s">
        <v>690</v>
      </c>
      <c r="B291" t="s">
        <v>691</v>
      </c>
      <c r="C291" t="s">
        <v>474</v>
      </c>
      <c r="D291">
        <v>33096</v>
      </c>
      <c r="E291">
        <v>954694</v>
      </c>
      <c r="F291">
        <v>654</v>
      </c>
      <c r="G291">
        <v>66</v>
      </c>
      <c r="H291">
        <v>1</v>
      </c>
      <c r="I291">
        <v>5.2218826136961098E-2</v>
      </c>
      <c r="J291">
        <v>0.13173365096442019</v>
      </c>
      <c r="K291" t="s">
        <v>432</v>
      </c>
      <c r="L291">
        <v>0.86498420607732351</v>
      </c>
      <c r="M291">
        <v>0.54330519961955825</v>
      </c>
      <c r="N291">
        <v>6.7491253233644105E-2</v>
      </c>
      <c r="O291" t="s">
        <v>433</v>
      </c>
      <c r="P291">
        <v>673216</v>
      </c>
      <c r="Q291">
        <v>0.75309261811959316</v>
      </c>
      <c r="R291">
        <v>60982</v>
      </c>
      <c r="S291">
        <v>0.18128300154143839</v>
      </c>
      <c r="T291">
        <v>2</v>
      </c>
      <c r="U291" t="b">
        <v>1</v>
      </c>
      <c r="V291">
        <v>8.5159530947391548</v>
      </c>
      <c r="W291">
        <v>1.4700577200577201</v>
      </c>
      <c r="X291" t="b">
        <v>1</v>
      </c>
      <c r="Y291">
        <v>0</v>
      </c>
      <c r="Z291">
        <v>16226</v>
      </c>
      <c r="AA291">
        <v>1.61697559502984E-2</v>
      </c>
      <c r="AB291">
        <v>1.3073014738401201</v>
      </c>
      <c r="AC291">
        <v>-6.0118960285428001E-3</v>
      </c>
      <c r="AD291">
        <v>3.8229432198684403E-2</v>
      </c>
      <c r="AE291">
        <v>2</v>
      </c>
      <c r="AF291" t="b">
        <v>1</v>
      </c>
      <c r="AG291">
        <v>1.9949683173177998E-3</v>
      </c>
      <c r="AH291">
        <v>0.21315449163105391</v>
      </c>
      <c r="AI291" t="b">
        <v>1</v>
      </c>
    </row>
    <row r="292" spans="1:35" x14ac:dyDescent="0.3">
      <c r="A292" t="s">
        <v>692</v>
      </c>
      <c r="B292" t="s">
        <v>693</v>
      </c>
      <c r="C292" t="s">
        <v>431</v>
      </c>
      <c r="D292">
        <v>201</v>
      </c>
      <c r="E292">
        <v>7020</v>
      </c>
      <c r="F292">
        <v>204</v>
      </c>
      <c r="G292">
        <v>70</v>
      </c>
      <c r="H292">
        <v>1</v>
      </c>
      <c r="I292">
        <v>7.9629629629629606E-2</v>
      </c>
      <c r="J292">
        <v>0.32003877579282641</v>
      </c>
      <c r="K292" t="s">
        <v>432</v>
      </c>
      <c r="L292">
        <v>0.68342334856668052</v>
      </c>
      <c r="M292">
        <v>1</v>
      </c>
      <c r="N292">
        <v>5.0658561296858997E-3</v>
      </c>
      <c r="O292" t="s">
        <v>433</v>
      </c>
      <c r="P292">
        <v>4910</v>
      </c>
      <c r="Q292">
        <v>1</v>
      </c>
      <c r="R292">
        <v>0</v>
      </c>
      <c r="T292">
        <v>0</v>
      </c>
      <c r="U292" t="b">
        <v>0</v>
      </c>
      <c r="V292">
        <v>5.2780172413793114</v>
      </c>
      <c r="Y292">
        <v>0</v>
      </c>
      <c r="Z292">
        <v>300</v>
      </c>
      <c r="AA292">
        <v>3.8773751840188699E-2</v>
      </c>
      <c r="AB292">
        <v>3.7876785714285721</v>
      </c>
      <c r="AC292">
        <v>7.9059370529327599E-2</v>
      </c>
      <c r="AD292">
        <v>8.69549095223969E-2</v>
      </c>
      <c r="AE292">
        <v>0</v>
      </c>
      <c r="AF292" t="b">
        <v>0</v>
      </c>
    </row>
    <row r="293" spans="1:35" x14ac:dyDescent="0.3">
      <c r="A293" t="s">
        <v>694</v>
      </c>
      <c r="B293" t="s">
        <v>695</v>
      </c>
      <c r="C293" t="s">
        <v>549</v>
      </c>
      <c r="D293">
        <v>634</v>
      </c>
      <c r="E293">
        <v>9919</v>
      </c>
      <c r="F293">
        <v>25</v>
      </c>
      <c r="G293">
        <v>60</v>
      </c>
      <c r="H293">
        <v>60</v>
      </c>
      <c r="I293">
        <v>1</v>
      </c>
      <c r="J293">
        <v>1</v>
      </c>
      <c r="K293" t="s">
        <v>432</v>
      </c>
      <c r="L293">
        <v>0.74001201562030638</v>
      </c>
      <c r="M293">
        <v>1</v>
      </c>
      <c r="N293">
        <v>1</v>
      </c>
      <c r="O293" t="s">
        <v>433</v>
      </c>
      <c r="P293">
        <v>0</v>
      </c>
      <c r="R293">
        <v>0</v>
      </c>
      <c r="T293">
        <v>0</v>
      </c>
      <c r="U293" t="b">
        <v>0</v>
      </c>
      <c r="V293">
        <v>7.545551982851018</v>
      </c>
      <c r="Y293">
        <v>0</v>
      </c>
      <c r="Z293">
        <v>329</v>
      </c>
      <c r="AA293">
        <v>5.5692709474760703E-2</v>
      </c>
      <c r="AB293">
        <v>5.9416842023224996</v>
      </c>
      <c r="AC293">
        <v>2.6362038664323299E-2</v>
      </c>
      <c r="AD293">
        <v>8.7832550860719796E-2</v>
      </c>
      <c r="AE293">
        <v>0</v>
      </c>
      <c r="AF293" t="b">
        <v>0</v>
      </c>
    </row>
    <row r="294" spans="1:35" x14ac:dyDescent="0.3">
      <c r="A294" t="s">
        <v>696</v>
      </c>
      <c r="B294" t="s">
        <v>697</v>
      </c>
      <c r="C294" t="s">
        <v>431</v>
      </c>
      <c r="D294">
        <v>6618</v>
      </c>
      <c r="E294">
        <v>174276</v>
      </c>
      <c r="F294">
        <v>30</v>
      </c>
      <c r="G294">
        <v>60</v>
      </c>
      <c r="H294">
        <v>60</v>
      </c>
      <c r="I294">
        <v>1</v>
      </c>
      <c r="J294">
        <v>1</v>
      </c>
      <c r="K294" t="s">
        <v>432</v>
      </c>
      <c r="L294">
        <v>0.8070242182872388</v>
      </c>
      <c r="M294">
        <v>1</v>
      </c>
      <c r="N294">
        <v>1</v>
      </c>
      <c r="O294" t="s">
        <v>433</v>
      </c>
      <c r="P294">
        <v>0</v>
      </c>
      <c r="R294">
        <v>0</v>
      </c>
      <c r="T294">
        <v>1</v>
      </c>
      <c r="U294" t="b">
        <v>1</v>
      </c>
      <c r="V294">
        <v>10.948266325095229</v>
      </c>
      <c r="W294">
        <v>8.7719298245614002E-2</v>
      </c>
      <c r="X294" t="b">
        <v>1</v>
      </c>
      <c r="Y294">
        <v>0</v>
      </c>
      <c r="Z294">
        <v>4021</v>
      </c>
      <c r="AA294">
        <v>2.1957877334645201E-2</v>
      </c>
      <c r="AB294">
        <v>2.0238788086453519</v>
      </c>
      <c r="AC294">
        <v>-1.1063992586197301E-2</v>
      </c>
      <c r="AD294">
        <v>5.2315415555767401E-2</v>
      </c>
      <c r="AE294">
        <v>1</v>
      </c>
      <c r="AF294" t="b">
        <v>1</v>
      </c>
      <c r="AG294">
        <v>-2.7533039647569999E-4</v>
      </c>
      <c r="AH294">
        <v>-4.3859649122807001E-2</v>
      </c>
      <c r="AI294" t="b">
        <v>1</v>
      </c>
    </row>
    <row r="295" spans="1:35" x14ac:dyDescent="0.3">
      <c r="A295" t="s">
        <v>698</v>
      </c>
      <c r="B295" t="s">
        <v>699</v>
      </c>
      <c r="C295" t="s">
        <v>431</v>
      </c>
      <c r="D295">
        <v>1112</v>
      </c>
      <c r="E295">
        <v>26477</v>
      </c>
      <c r="F295">
        <v>365</v>
      </c>
      <c r="G295">
        <v>42</v>
      </c>
      <c r="H295">
        <v>1</v>
      </c>
      <c r="I295">
        <v>3.0668127053669201E-2</v>
      </c>
      <c r="J295">
        <v>0.19938383472272561</v>
      </c>
      <c r="K295" t="s">
        <v>432</v>
      </c>
      <c r="L295">
        <v>0.82439289597680321</v>
      </c>
      <c r="M295">
        <v>1</v>
      </c>
      <c r="N295">
        <v>2.8841503627170799E-2</v>
      </c>
      <c r="O295" t="s">
        <v>433</v>
      </c>
      <c r="P295">
        <v>22089</v>
      </c>
      <c r="Q295">
        <v>0.55905654398116711</v>
      </c>
      <c r="R295">
        <v>0</v>
      </c>
      <c r="T295">
        <v>0</v>
      </c>
      <c r="U295" t="b">
        <v>0</v>
      </c>
      <c r="V295">
        <v>5.5963541666666661</v>
      </c>
      <c r="Y295">
        <v>0</v>
      </c>
      <c r="Z295">
        <v>962</v>
      </c>
      <c r="AA295">
        <v>2.2089977260969298E-2</v>
      </c>
      <c r="AB295">
        <v>1.1594050094050099</v>
      </c>
      <c r="AC295">
        <v>-9.9063631609586002E-3</v>
      </c>
      <c r="AD295">
        <v>3.3946847059548098E-2</v>
      </c>
      <c r="AE295">
        <v>0</v>
      </c>
      <c r="AF295" t="b">
        <v>0</v>
      </c>
    </row>
    <row r="296" spans="1:35" x14ac:dyDescent="0.3">
      <c r="A296" t="s">
        <v>700</v>
      </c>
      <c r="B296" t="s">
        <v>701</v>
      </c>
      <c r="C296" t="s">
        <v>680</v>
      </c>
      <c r="D296">
        <v>50</v>
      </c>
      <c r="E296">
        <v>3063</v>
      </c>
      <c r="F296">
        <v>194</v>
      </c>
      <c r="G296">
        <v>48</v>
      </c>
      <c r="H296">
        <v>1</v>
      </c>
      <c r="I296">
        <v>7.1825008161932003E-3</v>
      </c>
      <c r="J296">
        <v>1.3047530288909599E-2</v>
      </c>
      <c r="K296" t="s">
        <v>86</v>
      </c>
      <c r="P296">
        <v>0</v>
      </c>
      <c r="R296">
        <v>0</v>
      </c>
      <c r="T296">
        <v>0</v>
      </c>
      <c r="U296" t="b">
        <v>0</v>
      </c>
      <c r="Y296">
        <v>0</v>
      </c>
      <c r="Z296">
        <v>104</v>
      </c>
      <c r="AA296">
        <v>0</v>
      </c>
      <c r="AB296">
        <v>0</v>
      </c>
      <c r="AE296">
        <v>0</v>
      </c>
      <c r="AF296" t="b">
        <v>0</v>
      </c>
    </row>
    <row r="297" spans="1:35" x14ac:dyDescent="0.3">
      <c r="A297" t="s">
        <v>702</v>
      </c>
      <c r="B297" t="s">
        <v>703</v>
      </c>
      <c r="C297" t="s">
        <v>680</v>
      </c>
      <c r="D297">
        <v>65</v>
      </c>
      <c r="E297">
        <v>6532</v>
      </c>
      <c r="F297">
        <v>133</v>
      </c>
      <c r="G297">
        <v>48</v>
      </c>
      <c r="H297">
        <v>1</v>
      </c>
      <c r="I297">
        <v>1.14819350887936E-2</v>
      </c>
      <c r="J297">
        <v>6.2149461876610003E-3</v>
      </c>
      <c r="K297" t="s">
        <v>86</v>
      </c>
      <c r="P297">
        <v>0</v>
      </c>
      <c r="R297">
        <v>0</v>
      </c>
      <c r="T297">
        <v>0</v>
      </c>
      <c r="U297" t="b">
        <v>0</v>
      </c>
      <c r="V297">
        <v>0</v>
      </c>
      <c r="Y297">
        <v>0</v>
      </c>
      <c r="Z297">
        <v>211</v>
      </c>
      <c r="AA297">
        <v>0</v>
      </c>
      <c r="AB297">
        <v>0</v>
      </c>
      <c r="AC297">
        <v>0</v>
      </c>
      <c r="AD297">
        <v>0</v>
      </c>
      <c r="AE297">
        <v>0</v>
      </c>
      <c r="AF297" t="b">
        <v>0</v>
      </c>
    </row>
    <row r="298" spans="1:35" x14ac:dyDescent="0.3">
      <c r="A298" t="s">
        <v>704</v>
      </c>
      <c r="B298" t="s">
        <v>705</v>
      </c>
      <c r="C298" t="s">
        <v>431</v>
      </c>
      <c r="D298">
        <v>1338</v>
      </c>
      <c r="E298">
        <v>5989</v>
      </c>
      <c r="F298">
        <v>13</v>
      </c>
      <c r="G298">
        <v>60</v>
      </c>
      <c r="H298">
        <v>60</v>
      </c>
      <c r="I298">
        <v>1</v>
      </c>
      <c r="J298">
        <v>1</v>
      </c>
      <c r="K298" t="s">
        <v>432</v>
      </c>
      <c r="L298">
        <v>0.68214998496322821</v>
      </c>
      <c r="M298">
        <v>1</v>
      </c>
      <c r="O298" t="s">
        <v>518</v>
      </c>
      <c r="P298">
        <v>0</v>
      </c>
      <c r="R298">
        <v>0</v>
      </c>
      <c r="T298">
        <v>0</v>
      </c>
      <c r="U298" t="b">
        <v>0</v>
      </c>
      <c r="V298">
        <v>5.8975834292289981</v>
      </c>
      <c r="Y298">
        <v>0.68214998496322821</v>
      </c>
      <c r="Z298">
        <v>80</v>
      </c>
      <c r="AA298">
        <v>3.8543615173891E-3</v>
      </c>
      <c r="AB298">
        <v>0.41205533596837951</v>
      </c>
      <c r="AC298">
        <v>2.5787887836259999E-3</v>
      </c>
      <c r="AD298">
        <v>5.6733353239772997E-3</v>
      </c>
      <c r="AE298">
        <v>0</v>
      </c>
      <c r="AF298" t="b">
        <v>0</v>
      </c>
    </row>
    <row r="299" spans="1:35" x14ac:dyDescent="0.3">
      <c r="A299" t="s">
        <v>706</v>
      </c>
      <c r="B299" t="s">
        <v>707</v>
      </c>
      <c r="C299" t="s">
        <v>457</v>
      </c>
      <c r="D299">
        <v>1935</v>
      </c>
      <c r="E299">
        <v>128684</v>
      </c>
      <c r="F299">
        <v>506</v>
      </c>
      <c r="G299">
        <v>35</v>
      </c>
      <c r="H299">
        <v>1</v>
      </c>
      <c r="I299">
        <v>1.21693450623232E-2</v>
      </c>
      <c r="J299">
        <v>0.12957036991670751</v>
      </c>
      <c r="K299" t="s">
        <v>432</v>
      </c>
      <c r="L299">
        <v>0.88525845173934348</v>
      </c>
      <c r="M299">
        <v>1</v>
      </c>
      <c r="N299">
        <v>1.6750838839115802E-2</v>
      </c>
      <c r="O299" t="s">
        <v>518</v>
      </c>
      <c r="P299">
        <v>113699</v>
      </c>
      <c r="Q299">
        <v>2.3509441595792401E-2</v>
      </c>
      <c r="R299">
        <v>0</v>
      </c>
      <c r="T299">
        <v>0</v>
      </c>
      <c r="U299" t="b">
        <v>0</v>
      </c>
      <c r="V299">
        <v>9.0575848994963479</v>
      </c>
      <c r="Y299">
        <v>0</v>
      </c>
      <c r="Z299">
        <v>2689</v>
      </c>
      <c r="AA299">
        <v>3.7286539077876497E-2</v>
      </c>
      <c r="AB299">
        <v>1.938725470058418</v>
      </c>
      <c r="AC299">
        <v>3.9061459320086901E-2</v>
      </c>
      <c r="AD299">
        <v>4.7620277327022002E-2</v>
      </c>
      <c r="AE299">
        <v>0</v>
      </c>
      <c r="AF299" t="b">
        <v>0</v>
      </c>
    </row>
    <row r="300" spans="1:35" x14ac:dyDescent="0.3">
      <c r="A300" t="s">
        <v>708</v>
      </c>
      <c r="B300" t="s">
        <v>709</v>
      </c>
      <c r="C300" t="s">
        <v>428</v>
      </c>
      <c r="D300">
        <v>115187</v>
      </c>
      <c r="E300">
        <v>2208238</v>
      </c>
      <c r="F300">
        <v>57</v>
      </c>
      <c r="G300">
        <v>60</v>
      </c>
      <c r="H300">
        <v>60</v>
      </c>
      <c r="I300">
        <v>1</v>
      </c>
      <c r="J300">
        <v>1</v>
      </c>
      <c r="K300" t="s">
        <v>86</v>
      </c>
      <c r="P300">
        <v>0</v>
      </c>
      <c r="R300">
        <v>0</v>
      </c>
      <c r="T300">
        <v>2</v>
      </c>
      <c r="U300" t="b">
        <v>1</v>
      </c>
      <c r="V300">
        <v>7.6401893648071626</v>
      </c>
      <c r="W300">
        <v>13.368590454409359</v>
      </c>
      <c r="X300" t="b">
        <v>0</v>
      </c>
      <c r="Y300">
        <v>0</v>
      </c>
      <c r="Z300">
        <v>41481</v>
      </c>
      <c r="AA300">
        <v>2.9243940674389599E-2</v>
      </c>
      <c r="AB300">
        <v>3.1204037889278831</v>
      </c>
      <c r="AC300">
        <v>2.52848161372736E-2</v>
      </c>
      <c r="AD300">
        <v>3.8441108914127602E-2</v>
      </c>
      <c r="AE300">
        <v>2</v>
      </c>
      <c r="AF300" t="b">
        <v>1</v>
      </c>
      <c r="AG300">
        <v>2.3474523750577701E-2</v>
      </c>
      <c r="AH300">
        <v>2.4604236883784658</v>
      </c>
      <c r="AI300" t="b">
        <v>1</v>
      </c>
    </row>
    <row r="301" spans="1:35" x14ac:dyDescent="0.3">
      <c r="A301" t="s">
        <v>710</v>
      </c>
      <c r="B301" t="s">
        <v>711</v>
      </c>
      <c r="C301" t="s">
        <v>428</v>
      </c>
      <c r="D301">
        <v>8699</v>
      </c>
      <c r="E301">
        <v>179930</v>
      </c>
      <c r="F301">
        <v>14</v>
      </c>
      <c r="G301">
        <v>60</v>
      </c>
      <c r="H301">
        <v>60</v>
      </c>
      <c r="I301">
        <v>1</v>
      </c>
      <c r="J301">
        <v>1</v>
      </c>
      <c r="K301" t="s">
        <v>86</v>
      </c>
      <c r="P301">
        <v>0</v>
      </c>
      <c r="R301">
        <v>0</v>
      </c>
      <c r="T301">
        <v>0</v>
      </c>
      <c r="U301" t="b">
        <v>0</v>
      </c>
      <c r="V301">
        <v>1.182629880409741</v>
      </c>
      <c r="Y301">
        <v>0</v>
      </c>
      <c r="Z301">
        <v>4178</v>
      </c>
      <c r="AA301">
        <v>1.0046607461408201E-2</v>
      </c>
      <c r="AB301">
        <v>0.8975049487029888</v>
      </c>
      <c r="AC301">
        <v>7.7273167903179002E-3</v>
      </c>
      <c r="AD301">
        <v>1.1230679977599E-2</v>
      </c>
      <c r="AE301">
        <v>0</v>
      </c>
      <c r="AF301" t="b">
        <v>0</v>
      </c>
    </row>
    <row r="302" spans="1:35" x14ac:dyDescent="0.3">
      <c r="A302" t="s">
        <v>712</v>
      </c>
      <c r="B302" t="s">
        <v>713</v>
      </c>
      <c r="C302" t="s">
        <v>431</v>
      </c>
      <c r="D302">
        <v>89</v>
      </c>
      <c r="E302">
        <v>1713</v>
      </c>
      <c r="F302">
        <v>134</v>
      </c>
      <c r="G302">
        <v>77</v>
      </c>
      <c r="H302">
        <v>1</v>
      </c>
      <c r="I302">
        <v>6.5382370110916493E-2</v>
      </c>
      <c r="J302">
        <v>0.320754716981132</v>
      </c>
      <c r="K302" t="s">
        <v>432</v>
      </c>
      <c r="L302">
        <v>0.68923418423973359</v>
      </c>
      <c r="M302">
        <v>1</v>
      </c>
      <c r="N302">
        <v>1.4492753623188401E-2</v>
      </c>
      <c r="O302" t="s">
        <v>433</v>
      </c>
      <c r="P302">
        <v>1224</v>
      </c>
      <c r="Q302">
        <v>0.79575163398692805</v>
      </c>
      <c r="R302">
        <v>0</v>
      </c>
      <c r="T302">
        <v>0</v>
      </c>
      <c r="U302" t="b">
        <v>0</v>
      </c>
      <c r="V302">
        <v>0</v>
      </c>
      <c r="Y302">
        <v>0</v>
      </c>
      <c r="Z302">
        <v>126</v>
      </c>
      <c r="AA302">
        <v>-5.5992404508605001E-3</v>
      </c>
      <c r="AB302">
        <v>-0.6084656084656086</v>
      </c>
      <c r="AC302">
        <v>0</v>
      </c>
      <c r="AD302">
        <v>0</v>
      </c>
      <c r="AE302">
        <v>0</v>
      </c>
      <c r="AF302" t="b">
        <v>0</v>
      </c>
    </row>
    <row r="303" spans="1:35" x14ac:dyDescent="0.3">
      <c r="A303" t="s">
        <v>714</v>
      </c>
      <c r="B303" t="s">
        <v>715</v>
      </c>
      <c r="C303" t="s">
        <v>431</v>
      </c>
      <c r="D303">
        <v>698</v>
      </c>
      <c r="E303">
        <v>12888</v>
      </c>
      <c r="F303">
        <v>348</v>
      </c>
      <c r="G303">
        <v>64</v>
      </c>
      <c r="H303">
        <v>1</v>
      </c>
      <c r="I303">
        <v>0.1151458721291123</v>
      </c>
      <c r="J303">
        <v>0.16296187251582511</v>
      </c>
      <c r="K303" t="s">
        <v>432</v>
      </c>
      <c r="L303">
        <v>0.78963639040188427</v>
      </c>
      <c r="M303">
        <v>0.58747375787263822</v>
      </c>
      <c r="N303">
        <v>4.9869500372856E-2</v>
      </c>
      <c r="O303" t="s">
        <v>433</v>
      </c>
      <c r="P303">
        <v>10177</v>
      </c>
      <c r="Q303">
        <v>0.62375945760047169</v>
      </c>
      <c r="R303">
        <v>661</v>
      </c>
      <c r="S303">
        <v>1.81543116490166E-2</v>
      </c>
      <c r="T303">
        <v>0</v>
      </c>
      <c r="U303" t="b">
        <v>0</v>
      </c>
      <c r="V303">
        <v>15.36855921855922</v>
      </c>
      <c r="Y303">
        <v>0</v>
      </c>
      <c r="Z303">
        <v>502</v>
      </c>
      <c r="AA303">
        <v>7.0804253966674696E-2</v>
      </c>
      <c r="AB303">
        <v>5.6806501352200911</v>
      </c>
      <c r="AC303">
        <v>2.90777164601667E-2</v>
      </c>
      <c r="AD303">
        <v>0.14647692651180719</v>
      </c>
      <c r="AE303">
        <v>0</v>
      </c>
      <c r="AF303" t="b">
        <v>0</v>
      </c>
    </row>
    <row r="304" spans="1:35" x14ac:dyDescent="0.3">
      <c r="A304" t="s">
        <v>716</v>
      </c>
      <c r="B304" t="s">
        <v>717</v>
      </c>
      <c r="C304" t="s">
        <v>431</v>
      </c>
      <c r="D304">
        <v>7310</v>
      </c>
      <c r="E304">
        <v>325323</v>
      </c>
      <c r="F304">
        <v>49</v>
      </c>
      <c r="G304">
        <v>60</v>
      </c>
      <c r="H304">
        <v>60</v>
      </c>
      <c r="I304">
        <v>1</v>
      </c>
      <c r="J304">
        <v>1</v>
      </c>
      <c r="K304" t="s">
        <v>432</v>
      </c>
      <c r="L304">
        <v>0.86516717099916074</v>
      </c>
      <c r="M304">
        <v>1</v>
      </c>
      <c r="N304">
        <v>1</v>
      </c>
      <c r="O304" t="s">
        <v>518</v>
      </c>
      <c r="P304">
        <v>0</v>
      </c>
      <c r="R304">
        <v>0</v>
      </c>
      <c r="T304">
        <v>1</v>
      </c>
      <c r="U304" t="b">
        <v>1</v>
      </c>
      <c r="V304">
        <v>6.9665943323010611</v>
      </c>
      <c r="W304">
        <v>0</v>
      </c>
      <c r="X304" t="b">
        <v>1</v>
      </c>
      <c r="Y304">
        <v>0</v>
      </c>
      <c r="Z304">
        <v>7393</v>
      </c>
      <c r="AA304">
        <v>1.27745000181525E-2</v>
      </c>
      <c r="AB304">
        <v>0.96299184343101363</v>
      </c>
      <c r="AC304">
        <v>-8.1670144734679994E-3</v>
      </c>
      <c r="AD304">
        <v>3.5492093868549797E-2</v>
      </c>
      <c r="AE304">
        <v>1</v>
      </c>
      <c r="AF304" t="b">
        <v>1</v>
      </c>
      <c r="AG304">
        <v>0</v>
      </c>
      <c r="AH304">
        <v>0</v>
      </c>
      <c r="AI304" t="b">
        <v>1</v>
      </c>
    </row>
    <row r="305" spans="1:35" x14ac:dyDescent="0.3">
      <c r="A305" t="s">
        <v>718</v>
      </c>
      <c r="B305" t="s">
        <v>719</v>
      </c>
      <c r="C305" t="s">
        <v>431</v>
      </c>
      <c r="D305">
        <v>1944</v>
      </c>
      <c r="E305">
        <v>47625</v>
      </c>
      <c r="F305">
        <v>364</v>
      </c>
      <c r="G305">
        <v>60</v>
      </c>
      <c r="H305">
        <v>1</v>
      </c>
      <c r="I305">
        <v>1.5685039370078702E-2</v>
      </c>
      <c r="J305">
        <v>0.14823780992152349</v>
      </c>
      <c r="K305" t="s">
        <v>432</v>
      </c>
      <c r="L305">
        <v>0.8655207892029293</v>
      </c>
      <c r="M305">
        <v>1</v>
      </c>
      <c r="N305">
        <v>1.5896324266368299E-2</v>
      </c>
      <c r="O305" t="s">
        <v>433</v>
      </c>
      <c r="P305">
        <v>24633</v>
      </c>
      <c r="Q305">
        <v>0.27962489343563512</v>
      </c>
      <c r="R305">
        <v>0</v>
      </c>
      <c r="T305">
        <v>0</v>
      </c>
      <c r="U305" t="b">
        <v>0</v>
      </c>
      <c r="V305">
        <v>0.14696044211751</v>
      </c>
      <c r="Y305">
        <v>0</v>
      </c>
      <c r="Z305">
        <v>1799</v>
      </c>
      <c r="AA305">
        <v>5.9201025487549996E-4</v>
      </c>
      <c r="AB305">
        <v>4.9288896669385802E-2</v>
      </c>
      <c r="AC305">
        <v>6.808384046095E-4</v>
      </c>
      <c r="AD305">
        <v>1.9322667263212E-3</v>
      </c>
      <c r="AE305">
        <v>0</v>
      </c>
      <c r="AF305" t="b">
        <v>0</v>
      </c>
    </row>
    <row r="306" spans="1:35" x14ac:dyDescent="0.3">
      <c r="A306" t="s">
        <v>720</v>
      </c>
      <c r="B306" t="s">
        <v>721</v>
      </c>
      <c r="C306" t="s">
        <v>431</v>
      </c>
      <c r="D306">
        <v>3312</v>
      </c>
      <c r="E306">
        <v>194239</v>
      </c>
      <c r="F306">
        <v>45</v>
      </c>
      <c r="G306">
        <v>60</v>
      </c>
      <c r="H306">
        <v>1</v>
      </c>
      <c r="I306">
        <v>0.79176684393968255</v>
      </c>
      <c r="J306">
        <v>0.89573831567544582</v>
      </c>
      <c r="K306" t="s">
        <v>432</v>
      </c>
      <c r="L306">
        <v>0.88712788090164063</v>
      </c>
      <c r="M306">
        <v>0.98013274733159916</v>
      </c>
      <c r="N306">
        <v>0.88500054207345946</v>
      </c>
      <c r="O306" t="s">
        <v>433</v>
      </c>
      <c r="P306">
        <v>20154</v>
      </c>
      <c r="Q306">
        <v>3.1656246898878602E-2</v>
      </c>
      <c r="R306">
        <v>264</v>
      </c>
      <c r="S306">
        <v>0</v>
      </c>
      <c r="T306">
        <v>0</v>
      </c>
      <c r="U306" t="b">
        <v>0</v>
      </c>
      <c r="V306">
        <v>18.262920584331269</v>
      </c>
      <c r="Y306">
        <v>0</v>
      </c>
      <c r="Z306">
        <v>5803</v>
      </c>
      <c r="AA306">
        <v>2.7804930009561898E-2</v>
      </c>
      <c r="AB306">
        <v>2.1577589334477989</v>
      </c>
      <c r="AC306">
        <v>-2.0425742156963099E-2</v>
      </c>
      <c r="AD306">
        <v>7.7712701476954402E-2</v>
      </c>
      <c r="AE306">
        <v>0</v>
      </c>
      <c r="AF306" t="b">
        <v>0</v>
      </c>
    </row>
    <row r="307" spans="1:35" x14ac:dyDescent="0.3">
      <c r="A307" t="s">
        <v>722</v>
      </c>
      <c r="B307" t="s">
        <v>723</v>
      </c>
      <c r="C307" t="s">
        <v>431</v>
      </c>
      <c r="D307">
        <v>4787</v>
      </c>
      <c r="E307">
        <v>140466</v>
      </c>
      <c r="F307">
        <v>505</v>
      </c>
      <c r="G307">
        <v>76</v>
      </c>
      <c r="H307">
        <v>1</v>
      </c>
      <c r="I307">
        <v>2.1777511995785401E-2</v>
      </c>
      <c r="J307">
        <v>0.17837153105271489</v>
      </c>
      <c r="K307" t="s">
        <v>432</v>
      </c>
      <c r="L307">
        <v>0.83587946548436176</v>
      </c>
      <c r="M307">
        <v>1</v>
      </c>
      <c r="N307">
        <v>1.70491047160953E-2</v>
      </c>
      <c r="O307" t="s">
        <v>433</v>
      </c>
      <c r="P307">
        <v>119339</v>
      </c>
      <c r="Q307">
        <v>0.98714586178868602</v>
      </c>
      <c r="R307">
        <v>0</v>
      </c>
      <c r="T307">
        <v>0</v>
      </c>
      <c r="U307" t="b">
        <v>0</v>
      </c>
      <c r="V307">
        <v>10.836046782009941</v>
      </c>
      <c r="Y307">
        <v>0</v>
      </c>
      <c r="Z307">
        <v>2785</v>
      </c>
      <c r="AA307">
        <v>4.2569101571409598E-2</v>
      </c>
      <c r="AB307">
        <v>4.0666380640537207</v>
      </c>
      <c r="AC307">
        <v>6.899139233627E-4</v>
      </c>
      <c r="AD307">
        <v>8.3060450366071195E-2</v>
      </c>
      <c r="AE307">
        <v>0</v>
      </c>
      <c r="AF307" t="b">
        <v>0</v>
      </c>
    </row>
    <row r="308" spans="1:35" x14ac:dyDescent="0.3">
      <c r="A308" t="s">
        <v>724</v>
      </c>
      <c r="B308" t="s">
        <v>725</v>
      </c>
      <c r="C308" t="s">
        <v>431</v>
      </c>
      <c r="D308">
        <v>946</v>
      </c>
      <c r="E308">
        <v>8057</v>
      </c>
      <c r="F308">
        <v>112</v>
      </c>
      <c r="G308">
        <v>64</v>
      </c>
      <c r="H308">
        <v>1</v>
      </c>
      <c r="I308">
        <v>0.1375201687973191</v>
      </c>
      <c r="J308">
        <v>0.47562596942167068</v>
      </c>
      <c r="K308" t="s">
        <v>432</v>
      </c>
      <c r="L308">
        <v>0.53179703079991136</v>
      </c>
      <c r="M308">
        <v>0.99810695693327023</v>
      </c>
      <c r="N308">
        <v>1.5625E-2</v>
      </c>
      <c r="O308" t="s">
        <v>433</v>
      </c>
      <c r="P308">
        <v>4704</v>
      </c>
      <c r="Q308">
        <v>0.97257653061224481</v>
      </c>
      <c r="R308">
        <v>8</v>
      </c>
      <c r="S308">
        <v>1</v>
      </c>
      <c r="T308">
        <v>0</v>
      </c>
      <c r="U308" t="b">
        <v>0</v>
      </c>
      <c r="V308">
        <v>0.67681159420289849</v>
      </c>
      <c r="Y308">
        <v>0</v>
      </c>
      <c r="Z308">
        <v>189</v>
      </c>
      <c r="AA308">
        <v>-1.22157683821874E-2</v>
      </c>
      <c r="AB308">
        <v>-1.0874619207952541</v>
      </c>
      <c r="AC308">
        <v>-1.5750371471025201E-2</v>
      </c>
      <c r="AD308">
        <v>-1.08362629167998E-2</v>
      </c>
      <c r="AE308">
        <v>0</v>
      </c>
      <c r="AF308" t="b">
        <v>0</v>
      </c>
    </row>
    <row r="309" spans="1:35" x14ac:dyDescent="0.3">
      <c r="A309" t="s">
        <v>726</v>
      </c>
      <c r="B309" t="s">
        <v>727</v>
      </c>
      <c r="C309" t="s">
        <v>431</v>
      </c>
      <c r="D309">
        <v>6729</v>
      </c>
      <c r="E309">
        <v>340036</v>
      </c>
      <c r="F309">
        <v>353</v>
      </c>
      <c r="G309">
        <v>38</v>
      </c>
      <c r="H309">
        <v>1</v>
      </c>
      <c r="I309">
        <v>1.1681116117117E-2</v>
      </c>
      <c r="J309">
        <v>0.13377359306735109</v>
      </c>
      <c r="K309" t="s">
        <v>432</v>
      </c>
      <c r="L309">
        <v>0.87986388476345656</v>
      </c>
      <c r="M309">
        <v>1</v>
      </c>
      <c r="N309">
        <v>1.54995313104298E-2</v>
      </c>
      <c r="O309" t="s">
        <v>433</v>
      </c>
      <c r="P309">
        <v>300377</v>
      </c>
      <c r="Q309">
        <v>0.27940887617893512</v>
      </c>
      <c r="R309">
        <v>0</v>
      </c>
      <c r="T309">
        <v>2</v>
      </c>
      <c r="U309" t="b">
        <v>1</v>
      </c>
      <c r="V309">
        <v>2.870112336601307</v>
      </c>
      <c r="W309">
        <v>0</v>
      </c>
      <c r="X309" t="b">
        <v>1</v>
      </c>
      <c r="Y309">
        <v>0</v>
      </c>
      <c r="Z309">
        <v>8049</v>
      </c>
      <c r="AA309">
        <v>7.9749847912478994E-2</v>
      </c>
      <c r="AB309">
        <v>3.7950977294151089</v>
      </c>
      <c r="AC309">
        <v>6.2647143501418798E-2</v>
      </c>
      <c r="AD309">
        <v>9.6437887875046202E-2</v>
      </c>
      <c r="AE309">
        <v>2</v>
      </c>
      <c r="AF309" t="b">
        <v>1</v>
      </c>
      <c r="AG309">
        <v>0</v>
      </c>
      <c r="AH309">
        <v>0</v>
      </c>
      <c r="AI309" t="b">
        <v>1</v>
      </c>
    </row>
    <row r="310" spans="1:35" x14ac:dyDescent="0.3">
      <c r="A310" t="s">
        <v>728</v>
      </c>
      <c r="B310" t="s">
        <v>729</v>
      </c>
      <c r="C310" t="s">
        <v>431</v>
      </c>
      <c r="D310">
        <v>236</v>
      </c>
      <c r="E310">
        <v>6069</v>
      </c>
      <c r="F310">
        <v>159</v>
      </c>
      <c r="G310">
        <v>47</v>
      </c>
      <c r="H310">
        <v>1</v>
      </c>
      <c r="I310">
        <v>3.8721370901301698E-2</v>
      </c>
      <c r="J310">
        <v>0.22902458366375891</v>
      </c>
      <c r="K310" t="s">
        <v>432</v>
      </c>
      <c r="L310">
        <v>0.7860428231562252</v>
      </c>
      <c r="M310">
        <v>1</v>
      </c>
      <c r="N310">
        <v>1.9168684422921699E-2</v>
      </c>
      <c r="O310" t="s">
        <v>433</v>
      </c>
      <c r="P310">
        <v>4654</v>
      </c>
      <c r="Q310">
        <v>0.8792436613665664</v>
      </c>
      <c r="R310">
        <v>0</v>
      </c>
      <c r="T310">
        <v>0</v>
      </c>
      <c r="U310" t="b">
        <v>0</v>
      </c>
      <c r="V310">
        <v>0.1147486772486772</v>
      </c>
      <c r="Y310">
        <v>0</v>
      </c>
      <c r="Z310">
        <v>369</v>
      </c>
      <c r="AA310">
        <v>-5.1261966927763003E-3</v>
      </c>
      <c r="AB310">
        <v>-0.38574977416440831</v>
      </c>
      <c r="AC310">
        <v>-1.6416168101561E-3</v>
      </c>
      <c r="AD310">
        <v>1.6676742198409999E-4</v>
      </c>
      <c r="AE310">
        <v>0</v>
      </c>
      <c r="AF310" t="b">
        <v>0</v>
      </c>
    </row>
    <row r="311" spans="1:35" x14ac:dyDescent="0.3">
      <c r="A311" t="s">
        <v>730</v>
      </c>
      <c r="B311" t="s">
        <v>731</v>
      </c>
      <c r="C311" t="s">
        <v>431</v>
      </c>
      <c r="D311">
        <v>317</v>
      </c>
      <c r="E311">
        <v>100</v>
      </c>
      <c r="F311">
        <v>9</v>
      </c>
      <c r="G311">
        <v>360</v>
      </c>
      <c r="H311">
        <v>60</v>
      </c>
      <c r="I311">
        <v>1</v>
      </c>
      <c r="J311">
        <v>1</v>
      </c>
      <c r="K311" t="s">
        <v>432</v>
      </c>
      <c r="L311">
        <v>0.78271759549154662</v>
      </c>
      <c r="M311">
        <v>1</v>
      </c>
      <c r="O311" t="s">
        <v>433</v>
      </c>
      <c r="P311">
        <v>0</v>
      </c>
      <c r="R311">
        <v>0</v>
      </c>
      <c r="T311">
        <v>0</v>
      </c>
      <c r="U311" t="b">
        <v>0</v>
      </c>
      <c r="Y311">
        <v>0.78271759549154662</v>
      </c>
      <c r="Z311">
        <v>5</v>
      </c>
      <c r="AA311">
        <v>0</v>
      </c>
      <c r="AB311">
        <v>0</v>
      </c>
      <c r="AD311">
        <v>0</v>
      </c>
      <c r="AE311">
        <v>0</v>
      </c>
      <c r="AF311" t="b">
        <v>0</v>
      </c>
    </row>
    <row r="312" spans="1:35" x14ac:dyDescent="0.3">
      <c r="A312" t="s">
        <v>732</v>
      </c>
      <c r="B312" t="s">
        <v>733</v>
      </c>
      <c r="C312" t="s">
        <v>431</v>
      </c>
      <c r="D312">
        <v>66</v>
      </c>
      <c r="E312">
        <v>1402</v>
      </c>
      <c r="F312">
        <v>12</v>
      </c>
      <c r="G312">
        <v>120</v>
      </c>
      <c r="H312">
        <v>60</v>
      </c>
      <c r="I312">
        <v>1</v>
      </c>
      <c r="J312">
        <v>1</v>
      </c>
      <c r="K312" t="s">
        <v>432</v>
      </c>
      <c r="L312">
        <v>4.4295302013422799E-2</v>
      </c>
      <c r="M312">
        <v>1</v>
      </c>
      <c r="N312">
        <v>1</v>
      </c>
      <c r="O312" t="s">
        <v>433</v>
      </c>
      <c r="P312">
        <v>0</v>
      </c>
      <c r="R312">
        <v>0</v>
      </c>
      <c r="T312">
        <v>0</v>
      </c>
      <c r="U312" t="b">
        <v>0</v>
      </c>
      <c r="Y312">
        <v>0</v>
      </c>
      <c r="Z312">
        <v>112</v>
      </c>
      <c r="AA312">
        <v>0</v>
      </c>
      <c r="AB312">
        <v>0</v>
      </c>
      <c r="AE312">
        <v>0</v>
      </c>
      <c r="AF312" t="b">
        <v>0</v>
      </c>
    </row>
    <row r="313" spans="1:35" x14ac:dyDescent="0.3">
      <c r="A313" t="s">
        <v>734</v>
      </c>
      <c r="B313" t="s">
        <v>735</v>
      </c>
      <c r="C313" t="s">
        <v>431</v>
      </c>
      <c r="D313">
        <v>82</v>
      </c>
      <c r="E313">
        <v>1066</v>
      </c>
      <c r="F313">
        <v>10</v>
      </c>
      <c r="G313">
        <v>150</v>
      </c>
      <c r="H313">
        <v>60</v>
      </c>
      <c r="I313">
        <v>1</v>
      </c>
      <c r="J313">
        <v>1</v>
      </c>
      <c r="K313" t="s">
        <v>86</v>
      </c>
      <c r="P313">
        <v>0</v>
      </c>
      <c r="R313">
        <v>0</v>
      </c>
      <c r="T313">
        <v>0</v>
      </c>
      <c r="U313" t="b">
        <v>0</v>
      </c>
      <c r="V313">
        <v>0</v>
      </c>
      <c r="Y313">
        <v>0</v>
      </c>
      <c r="Z313">
        <v>26</v>
      </c>
      <c r="AA313">
        <v>0</v>
      </c>
      <c r="AB313">
        <v>0</v>
      </c>
      <c r="AC313">
        <v>0</v>
      </c>
      <c r="AD313">
        <v>0</v>
      </c>
      <c r="AE313">
        <v>0</v>
      </c>
      <c r="AF313" t="b">
        <v>0</v>
      </c>
    </row>
    <row r="314" spans="1:35" x14ac:dyDescent="0.3">
      <c r="A314" t="s">
        <v>736</v>
      </c>
      <c r="B314" t="s">
        <v>737</v>
      </c>
      <c r="C314" t="s">
        <v>431</v>
      </c>
      <c r="D314">
        <v>136</v>
      </c>
      <c r="E314">
        <v>1791</v>
      </c>
      <c r="F314">
        <v>41</v>
      </c>
      <c r="G314">
        <v>54</v>
      </c>
      <c r="H314">
        <v>1</v>
      </c>
      <c r="I314">
        <v>1.22836404243439E-2</v>
      </c>
      <c r="J314">
        <v>0.30980799169693818</v>
      </c>
      <c r="K314" t="s">
        <v>432</v>
      </c>
      <c r="L314">
        <v>0.89724961079398025</v>
      </c>
      <c r="M314">
        <v>1</v>
      </c>
      <c r="N314">
        <v>0.2307692307692307</v>
      </c>
      <c r="O314" t="s">
        <v>433</v>
      </c>
      <c r="P314">
        <v>418</v>
      </c>
      <c r="Q314">
        <v>0.68421052631578949</v>
      </c>
      <c r="R314">
        <v>0</v>
      </c>
      <c r="T314">
        <v>0</v>
      </c>
      <c r="U314" t="b">
        <v>0</v>
      </c>
      <c r="V314">
        <v>0</v>
      </c>
      <c r="Y314">
        <v>0</v>
      </c>
      <c r="Z314">
        <v>48</v>
      </c>
      <c r="AA314">
        <v>0</v>
      </c>
      <c r="AB314">
        <v>0</v>
      </c>
      <c r="AC314">
        <v>0</v>
      </c>
      <c r="AD314">
        <v>0</v>
      </c>
      <c r="AE314">
        <v>0</v>
      </c>
      <c r="AF314" t="b">
        <v>0</v>
      </c>
    </row>
    <row r="315" spans="1:35" x14ac:dyDescent="0.3">
      <c r="A315" t="s">
        <v>738</v>
      </c>
      <c r="B315" t="s">
        <v>739</v>
      </c>
      <c r="C315" t="s">
        <v>431</v>
      </c>
      <c r="D315">
        <v>93</v>
      </c>
      <c r="E315">
        <v>739</v>
      </c>
      <c r="F315">
        <v>30</v>
      </c>
      <c r="G315">
        <v>120</v>
      </c>
      <c r="H315">
        <v>60</v>
      </c>
      <c r="I315">
        <v>0.97158322056833557</v>
      </c>
      <c r="J315">
        <v>0.98723897911832958</v>
      </c>
      <c r="K315" t="s">
        <v>432</v>
      </c>
      <c r="L315">
        <v>1.15473441108545E-2</v>
      </c>
      <c r="M315">
        <v>0.98714953271028039</v>
      </c>
      <c r="N315">
        <v>1</v>
      </c>
      <c r="O315" t="s">
        <v>433</v>
      </c>
      <c r="P315">
        <v>0</v>
      </c>
      <c r="R315">
        <v>10</v>
      </c>
      <c r="S315">
        <v>0</v>
      </c>
      <c r="T315">
        <v>0</v>
      </c>
      <c r="U315" t="b">
        <v>0</v>
      </c>
      <c r="Y315">
        <v>4.6189376443417996E-3</v>
      </c>
      <c r="Z315">
        <v>26</v>
      </c>
      <c r="AA315">
        <v>7.1428571428571001E-3</v>
      </c>
      <c r="AB315">
        <v>1.153846153846154</v>
      </c>
      <c r="AD315">
        <v>1.6666666666666601E-2</v>
      </c>
      <c r="AE315">
        <v>0</v>
      </c>
      <c r="AF315" t="b">
        <v>0</v>
      </c>
    </row>
    <row r="316" spans="1:35" x14ac:dyDescent="0.3">
      <c r="A316" t="s">
        <v>740</v>
      </c>
      <c r="B316" t="s">
        <v>741</v>
      </c>
      <c r="C316" t="s">
        <v>431</v>
      </c>
      <c r="D316">
        <v>992</v>
      </c>
      <c r="E316">
        <v>46256</v>
      </c>
      <c r="F316">
        <v>243</v>
      </c>
      <c r="G316">
        <v>46</v>
      </c>
      <c r="H316">
        <v>1</v>
      </c>
      <c r="I316">
        <v>1.38576617087512E-2</v>
      </c>
      <c r="J316">
        <v>0.14868354216051469</v>
      </c>
      <c r="K316" t="s">
        <v>432</v>
      </c>
      <c r="L316">
        <v>0.8647350152387403</v>
      </c>
      <c r="M316">
        <v>1</v>
      </c>
      <c r="N316">
        <v>1.55175367746041E-2</v>
      </c>
      <c r="O316" t="s">
        <v>433</v>
      </c>
      <c r="P316">
        <v>33484</v>
      </c>
      <c r="Q316">
        <v>0.3233185999283239</v>
      </c>
      <c r="R316">
        <v>0</v>
      </c>
      <c r="T316">
        <v>0</v>
      </c>
      <c r="U316" t="b">
        <v>0</v>
      </c>
      <c r="V316">
        <v>8.5014383043149131</v>
      </c>
      <c r="Y316">
        <v>0</v>
      </c>
      <c r="Z316">
        <v>1898</v>
      </c>
      <c r="AA316">
        <v>1.7454240092837699E-2</v>
      </c>
      <c r="AB316">
        <v>0.95794980982019962</v>
      </c>
      <c r="AC316">
        <v>-6.1201997870480897E-2</v>
      </c>
      <c r="AD316">
        <v>7.74671703991342E-2</v>
      </c>
      <c r="AE316">
        <v>0</v>
      </c>
      <c r="AF316" t="b">
        <v>0</v>
      </c>
    </row>
    <row r="317" spans="1:35" x14ac:dyDescent="0.3">
      <c r="A317" t="s">
        <v>742</v>
      </c>
      <c r="B317" t="s">
        <v>743</v>
      </c>
      <c r="C317" t="s">
        <v>431</v>
      </c>
      <c r="D317">
        <v>136</v>
      </c>
      <c r="E317">
        <v>102</v>
      </c>
      <c r="F317">
        <v>5</v>
      </c>
      <c r="G317">
        <v>180</v>
      </c>
      <c r="H317">
        <v>60</v>
      </c>
      <c r="I317">
        <v>1</v>
      </c>
      <c r="J317">
        <v>1</v>
      </c>
      <c r="K317" t="s">
        <v>86</v>
      </c>
      <c r="P317">
        <v>0</v>
      </c>
      <c r="R317">
        <v>0</v>
      </c>
      <c r="T317">
        <v>0</v>
      </c>
      <c r="U317" t="b">
        <v>0</v>
      </c>
      <c r="V317">
        <v>0</v>
      </c>
      <c r="Y317">
        <v>0.76286026997446188</v>
      </c>
      <c r="Z317">
        <v>6</v>
      </c>
      <c r="AA317">
        <v>0</v>
      </c>
      <c r="AB317">
        <v>0</v>
      </c>
      <c r="AC317">
        <v>0</v>
      </c>
      <c r="AD317">
        <v>0</v>
      </c>
      <c r="AE317">
        <v>0</v>
      </c>
      <c r="AF317" t="b">
        <v>0</v>
      </c>
    </row>
    <row r="318" spans="1:35" x14ac:dyDescent="0.3">
      <c r="A318" t="s">
        <v>744</v>
      </c>
      <c r="B318" t="s">
        <v>745</v>
      </c>
      <c r="C318" t="s">
        <v>431</v>
      </c>
      <c r="D318">
        <v>5182</v>
      </c>
      <c r="E318">
        <v>225617</v>
      </c>
      <c r="F318">
        <v>404</v>
      </c>
      <c r="G318">
        <v>46</v>
      </c>
      <c r="H318">
        <v>1</v>
      </c>
      <c r="I318">
        <v>5.47077569509389E-2</v>
      </c>
      <c r="J318">
        <v>0.21041277707265721</v>
      </c>
      <c r="K318" t="s">
        <v>432</v>
      </c>
      <c r="L318">
        <v>0.80168160415159562</v>
      </c>
      <c r="M318">
        <v>0.99984710148093137</v>
      </c>
      <c r="N318">
        <v>1.51240888533465E-2</v>
      </c>
      <c r="O318" t="s">
        <v>433</v>
      </c>
      <c r="P318">
        <v>157520</v>
      </c>
      <c r="Q318">
        <v>0.39233748095479931</v>
      </c>
      <c r="R318">
        <v>0</v>
      </c>
      <c r="T318">
        <v>2</v>
      </c>
      <c r="U318" t="b">
        <v>1</v>
      </c>
      <c r="V318">
        <v>6.67782027086428</v>
      </c>
      <c r="W318">
        <v>0</v>
      </c>
      <c r="X318" t="b">
        <v>1</v>
      </c>
      <c r="Y318">
        <v>0</v>
      </c>
      <c r="Z318">
        <v>6137</v>
      </c>
      <c r="AA318">
        <v>4.59724437879339E-2</v>
      </c>
      <c r="AB318">
        <v>2.6585373045967602</v>
      </c>
      <c r="AC318">
        <v>2.2352921921892002E-3</v>
      </c>
      <c r="AD318">
        <v>9.0098477165749494E-2</v>
      </c>
      <c r="AE318">
        <v>2</v>
      </c>
      <c r="AF318" t="b">
        <v>1</v>
      </c>
      <c r="AG318">
        <v>0</v>
      </c>
      <c r="AH318">
        <v>0</v>
      </c>
      <c r="AI318" t="b">
        <v>1</v>
      </c>
    </row>
    <row r="319" spans="1:35" x14ac:dyDescent="0.3">
      <c r="A319" t="s">
        <v>746</v>
      </c>
      <c r="B319" t="s">
        <v>747</v>
      </c>
      <c r="C319" t="s">
        <v>431</v>
      </c>
      <c r="D319">
        <v>91</v>
      </c>
      <c r="E319">
        <v>4116</v>
      </c>
      <c r="F319">
        <v>140</v>
      </c>
      <c r="G319">
        <v>42</v>
      </c>
      <c r="H319">
        <v>1</v>
      </c>
      <c r="I319">
        <v>3.8872691933916403E-2</v>
      </c>
      <c r="J319">
        <v>0.2407891609222724</v>
      </c>
      <c r="K319" t="s">
        <v>432</v>
      </c>
      <c r="L319">
        <v>0.77275968623722369</v>
      </c>
      <c r="M319">
        <v>1</v>
      </c>
      <c r="N319">
        <v>1.7533066748692702E-2</v>
      </c>
      <c r="O319" t="s">
        <v>433</v>
      </c>
      <c r="P319">
        <v>3194</v>
      </c>
      <c r="Q319">
        <v>1</v>
      </c>
      <c r="R319">
        <v>0</v>
      </c>
      <c r="T319">
        <v>0</v>
      </c>
      <c r="U319" t="b">
        <v>0</v>
      </c>
      <c r="V319">
        <v>0.42528735632183878</v>
      </c>
      <c r="Y319">
        <v>0</v>
      </c>
      <c r="Z319">
        <v>294</v>
      </c>
      <c r="AA319">
        <v>0</v>
      </c>
      <c r="AB319">
        <v>0</v>
      </c>
      <c r="AC319">
        <v>3.2339202299676E-3</v>
      </c>
      <c r="AD319">
        <v>-3.2339202299676E-3</v>
      </c>
      <c r="AE319">
        <v>0</v>
      </c>
      <c r="AF319" t="b">
        <v>0</v>
      </c>
    </row>
    <row r="320" spans="1:35" x14ac:dyDescent="0.3">
      <c r="A320" t="s">
        <v>748</v>
      </c>
      <c r="B320" t="s">
        <v>749</v>
      </c>
      <c r="C320" t="s">
        <v>431</v>
      </c>
      <c r="D320">
        <v>116</v>
      </c>
      <c r="E320">
        <v>197</v>
      </c>
      <c r="F320">
        <v>6</v>
      </c>
      <c r="G320">
        <v>1200</v>
      </c>
      <c r="H320">
        <v>300</v>
      </c>
      <c r="I320">
        <v>1</v>
      </c>
      <c r="J320">
        <v>1</v>
      </c>
      <c r="K320" t="s">
        <v>432</v>
      </c>
      <c r="L320">
        <v>0.89449541284403666</v>
      </c>
      <c r="M320">
        <v>1</v>
      </c>
      <c r="N320">
        <v>1</v>
      </c>
      <c r="O320" t="s">
        <v>433</v>
      </c>
      <c r="P320">
        <v>0</v>
      </c>
      <c r="R320">
        <v>0</v>
      </c>
      <c r="T320">
        <v>0</v>
      </c>
      <c r="U320" t="b">
        <v>0</v>
      </c>
      <c r="Y320">
        <v>4.5871559633027498E-2</v>
      </c>
      <c r="Z320">
        <v>6</v>
      </c>
      <c r="AA320">
        <v>0</v>
      </c>
      <c r="AB320">
        <v>0</v>
      </c>
      <c r="AE320">
        <v>0</v>
      </c>
      <c r="AF320" t="b">
        <v>0</v>
      </c>
    </row>
    <row r="321" spans="1:32" x14ac:dyDescent="0.3">
      <c r="A321" t="s">
        <v>750</v>
      </c>
      <c r="B321" t="s">
        <v>751</v>
      </c>
      <c r="C321" t="s">
        <v>431</v>
      </c>
      <c r="D321">
        <v>524</v>
      </c>
      <c r="E321">
        <v>7649</v>
      </c>
      <c r="F321">
        <v>73</v>
      </c>
      <c r="G321">
        <v>63</v>
      </c>
      <c r="H321">
        <v>1</v>
      </c>
      <c r="I321">
        <v>0.64727415348411554</v>
      </c>
      <c r="J321">
        <v>0.72413376795846918</v>
      </c>
      <c r="K321" t="s">
        <v>432</v>
      </c>
      <c r="L321">
        <v>0.3029095738259085</v>
      </c>
      <c r="M321">
        <v>0.99151368202286105</v>
      </c>
      <c r="N321">
        <v>0.1088082901554404</v>
      </c>
      <c r="O321" t="s">
        <v>433</v>
      </c>
      <c r="P321">
        <v>2236</v>
      </c>
      <c r="Q321">
        <v>0.65787119856887299</v>
      </c>
      <c r="R321">
        <v>49</v>
      </c>
      <c r="S321">
        <v>0</v>
      </c>
      <c r="T321">
        <v>0</v>
      </c>
      <c r="U321" t="b">
        <v>0</v>
      </c>
      <c r="V321">
        <v>2.5597827009591718</v>
      </c>
      <c r="Y321">
        <v>0</v>
      </c>
      <c r="Z321">
        <v>143</v>
      </c>
      <c r="AA321">
        <v>-1.0575381716187399E-2</v>
      </c>
      <c r="AB321">
        <v>-0.96731463529882522</v>
      </c>
      <c r="AC321">
        <v>-2.4336034306474501E-2</v>
      </c>
      <c r="AD321">
        <v>0</v>
      </c>
      <c r="AE321">
        <v>0</v>
      </c>
      <c r="AF321" t="b">
        <v>0</v>
      </c>
    </row>
    <row r="322" spans="1:32" x14ac:dyDescent="0.3">
      <c r="A322" t="s">
        <v>752</v>
      </c>
      <c r="B322" t="s">
        <v>753</v>
      </c>
      <c r="C322" t="s">
        <v>754</v>
      </c>
      <c r="D322">
        <v>8500</v>
      </c>
      <c r="E322">
        <v>487348</v>
      </c>
      <c r="F322">
        <v>1480</v>
      </c>
      <c r="G322">
        <v>53</v>
      </c>
      <c r="H322">
        <v>1</v>
      </c>
      <c r="I322">
        <v>1.4347037435261801E-2</v>
      </c>
      <c r="J322">
        <v>3.2905178794350697E-2</v>
      </c>
      <c r="K322" t="s">
        <v>86</v>
      </c>
      <c r="P322">
        <v>0</v>
      </c>
      <c r="R322">
        <v>0</v>
      </c>
      <c r="T322">
        <v>0</v>
      </c>
      <c r="U322" t="b">
        <v>0</v>
      </c>
      <c r="V322">
        <v>8.3230300732142712</v>
      </c>
      <c r="Y322">
        <v>0</v>
      </c>
      <c r="Z322">
        <v>6161</v>
      </c>
      <c r="AA322">
        <v>5.8019247527146101E-2</v>
      </c>
      <c r="AB322">
        <v>4.0236700127744056</v>
      </c>
      <c r="AC322">
        <v>1.52406210013013E-2</v>
      </c>
      <c r="AD322">
        <v>9.7874108673781796E-2</v>
      </c>
      <c r="AE322">
        <v>0</v>
      </c>
      <c r="AF322" t="b">
        <v>0</v>
      </c>
    </row>
    <row r="323" spans="1:32" x14ac:dyDescent="0.3">
      <c r="A323" t="s">
        <v>755</v>
      </c>
      <c r="B323" t="s">
        <v>756</v>
      </c>
      <c r="C323" t="s">
        <v>757</v>
      </c>
      <c r="D323">
        <v>210</v>
      </c>
      <c r="E323">
        <v>8612</v>
      </c>
      <c r="F323">
        <v>553</v>
      </c>
      <c r="G323">
        <v>48</v>
      </c>
      <c r="H323">
        <v>1</v>
      </c>
      <c r="I323">
        <v>1.1495587552252599E-2</v>
      </c>
      <c r="J323">
        <v>4.1694992068887299E-2</v>
      </c>
      <c r="K323" t="s">
        <v>86</v>
      </c>
      <c r="P323">
        <v>0</v>
      </c>
      <c r="R323">
        <v>0</v>
      </c>
      <c r="T323">
        <v>0</v>
      </c>
      <c r="U323" t="b">
        <v>0</v>
      </c>
      <c r="Y323">
        <v>0</v>
      </c>
      <c r="Z323">
        <v>0</v>
      </c>
      <c r="AE323">
        <v>0</v>
      </c>
      <c r="AF323" t="b">
        <v>0</v>
      </c>
    </row>
    <row r="324" spans="1:32" x14ac:dyDescent="0.3">
      <c r="A324" t="s">
        <v>758</v>
      </c>
      <c r="B324" t="s">
        <v>759</v>
      </c>
      <c r="C324" t="s">
        <v>760</v>
      </c>
      <c r="D324">
        <v>106</v>
      </c>
      <c r="E324">
        <v>1648</v>
      </c>
      <c r="F324">
        <v>1</v>
      </c>
      <c r="G324">
        <v>900</v>
      </c>
      <c r="I324">
        <v>1</v>
      </c>
      <c r="J324">
        <v>1</v>
      </c>
      <c r="K324" t="s">
        <v>86</v>
      </c>
      <c r="P324">
        <v>0</v>
      </c>
      <c r="R324">
        <v>0</v>
      </c>
      <c r="T324">
        <v>0</v>
      </c>
      <c r="U324" t="b">
        <v>0</v>
      </c>
      <c r="Y324">
        <v>0</v>
      </c>
      <c r="Z324">
        <v>0</v>
      </c>
      <c r="AE324">
        <v>0</v>
      </c>
      <c r="AF324" t="b">
        <v>0</v>
      </c>
    </row>
    <row r="325" spans="1:32" x14ac:dyDescent="0.3">
      <c r="A325" t="s">
        <v>761</v>
      </c>
      <c r="B325" t="s">
        <v>762</v>
      </c>
      <c r="C325" t="s">
        <v>431</v>
      </c>
      <c r="D325">
        <v>90</v>
      </c>
      <c r="E325">
        <v>812</v>
      </c>
      <c r="F325">
        <v>28</v>
      </c>
      <c r="G325">
        <v>73</v>
      </c>
      <c r="H325">
        <v>1</v>
      </c>
      <c r="I325">
        <v>0</v>
      </c>
      <c r="J325">
        <v>0.1995565410199556</v>
      </c>
      <c r="K325" t="s">
        <v>432</v>
      </c>
      <c r="L325">
        <v>0.80044345898004432</v>
      </c>
      <c r="M325">
        <v>1</v>
      </c>
      <c r="N325">
        <v>0</v>
      </c>
      <c r="O325" t="s">
        <v>433</v>
      </c>
      <c r="P325">
        <v>722</v>
      </c>
      <c r="Q325">
        <v>1</v>
      </c>
      <c r="R325">
        <v>0</v>
      </c>
      <c r="T325">
        <v>0</v>
      </c>
      <c r="U325" t="b">
        <v>0</v>
      </c>
      <c r="V325">
        <v>1.2832892416225741</v>
      </c>
      <c r="Y325">
        <v>0</v>
      </c>
      <c r="Z325">
        <v>18</v>
      </c>
      <c r="AA325">
        <v>-2.6260504201679998E-3</v>
      </c>
      <c r="AB325">
        <v>-0.1838235294117645</v>
      </c>
      <c r="AC325">
        <v>-4.7272612748802999E-3</v>
      </c>
      <c r="AD325">
        <v>0</v>
      </c>
      <c r="AE325">
        <v>0</v>
      </c>
      <c r="AF325" t="b">
        <v>0</v>
      </c>
    </row>
    <row r="326" spans="1:32" x14ac:dyDescent="0.3">
      <c r="A326" t="s">
        <v>763</v>
      </c>
      <c r="B326" t="s">
        <v>764</v>
      </c>
      <c r="C326" t="s">
        <v>765</v>
      </c>
      <c r="D326">
        <v>4696</v>
      </c>
      <c r="E326">
        <v>136104</v>
      </c>
      <c r="F326">
        <v>870</v>
      </c>
      <c r="G326">
        <v>55</v>
      </c>
      <c r="H326">
        <v>1</v>
      </c>
      <c r="I326">
        <v>1.35705049080115E-2</v>
      </c>
      <c r="J326">
        <v>1.5965909090908999E-2</v>
      </c>
      <c r="K326" t="s">
        <v>86</v>
      </c>
      <c r="P326">
        <v>0</v>
      </c>
      <c r="R326">
        <v>0</v>
      </c>
      <c r="T326">
        <v>0</v>
      </c>
      <c r="U326" t="b">
        <v>0</v>
      </c>
      <c r="Y326">
        <v>0</v>
      </c>
      <c r="Z326">
        <v>6</v>
      </c>
      <c r="AA326">
        <v>-3.5714285714285698E-2</v>
      </c>
      <c r="AB326">
        <v>-4.1111111111111098</v>
      </c>
      <c r="AE326">
        <v>0</v>
      </c>
      <c r="AF326" t="b">
        <v>0</v>
      </c>
    </row>
    <row r="327" spans="1:32" x14ac:dyDescent="0.3">
      <c r="A327" t="s">
        <v>766</v>
      </c>
      <c r="B327" t="s">
        <v>767</v>
      </c>
      <c r="C327" t="s">
        <v>768</v>
      </c>
      <c r="D327">
        <v>668</v>
      </c>
      <c r="E327">
        <v>169</v>
      </c>
      <c r="F327">
        <v>139</v>
      </c>
      <c r="G327">
        <v>412</v>
      </c>
      <c r="H327">
        <v>1</v>
      </c>
      <c r="I327">
        <v>2.3668639053254399E-2</v>
      </c>
      <c r="J327">
        <v>3.1437125748502902E-2</v>
      </c>
      <c r="K327" t="s">
        <v>86</v>
      </c>
      <c r="P327">
        <v>0</v>
      </c>
      <c r="R327">
        <v>0</v>
      </c>
      <c r="T327">
        <v>0</v>
      </c>
      <c r="U327" t="b">
        <v>0</v>
      </c>
      <c r="Y327">
        <v>0.46963080587534728</v>
      </c>
      <c r="Z327">
        <v>0</v>
      </c>
      <c r="AE327">
        <v>0</v>
      </c>
      <c r="AF327" t="b">
        <v>0</v>
      </c>
    </row>
    <row r="328" spans="1:32" x14ac:dyDescent="0.3">
      <c r="A328" t="s">
        <v>769</v>
      </c>
      <c r="B328" t="s">
        <v>770</v>
      </c>
      <c r="C328" t="s">
        <v>771</v>
      </c>
      <c r="D328">
        <v>272</v>
      </c>
      <c r="E328">
        <v>7261</v>
      </c>
      <c r="F328">
        <v>246</v>
      </c>
      <c r="G328">
        <v>46</v>
      </c>
      <c r="H328">
        <v>1</v>
      </c>
      <c r="I328">
        <v>9.7782674562732E-3</v>
      </c>
      <c r="J328">
        <v>1.6859153059869899E-2</v>
      </c>
      <c r="K328" t="s">
        <v>86</v>
      </c>
      <c r="P328">
        <v>0</v>
      </c>
      <c r="R328">
        <v>0</v>
      </c>
      <c r="T328">
        <v>0</v>
      </c>
      <c r="U328" t="b">
        <v>0</v>
      </c>
      <c r="Y328">
        <v>0</v>
      </c>
      <c r="Z328">
        <v>0</v>
      </c>
      <c r="AE328">
        <v>0</v>
      </c>
      <c r="AF328" t="b">
        <v>0</v>
      </c>
    </row>
    <row r="329" spans="1:32" x14ac:dyDescent="0.3">
      <c r="A329" t="s">
        <v>772</v>
      </c>
      <c r="B329" t="s">
        <v>773</v>
      </c>
      <c r="C329" t="s">
        <v>774</v>
      </c>
      <c r="D329">
        <v>2600</v>
      </c>
      <c r="E329">
        <v>54340</v>
      </c>
      <c r="F329">
        <v>17</v>
      </c>
      <c r="G329">
        <v>120</v>
      </c>
      <c r="H329">
        <v>1</v>
      </c>
      <c r="I329">
        <v>0.90765550239234438</v>
      </c>
      <c r="J329">
        <v>0.91780749881680657</v>
      </c>
      <c r="K329" t="s">
        <v>86</v>
      </c>
      <c r="P329">
        <v>0</v>
      </c>
      <c r="R329">
        <v>0</v>
      </c>
      <c r="T329">
        <v>0</v>
      </c>
      <c r="U329" t="b">
        <v>0</v>
      </c>
      <c r="Y329">
        <v>0</v>
      </c>
      <c r="Z329">
        <v>964</v>
      </c>
      <c r="AA329">
        <v>0</v>
      </c>
      <c r="AB329">
        <v>0</v>
      </c>
      <c r="AC329">
        <v>0</v>
      </c>
      <c r="AD329">
        <v>0</v>
      </c>
      <c r="AE329">
        <v>0</v>
      </c>
      <c r="AF329" t="b">
        <v>0</v>
      </c>
    </row>
    <row r="330" spans="1:32" x14ac:dyDescent="0.3">
      <c r="A330" t="s">
        <v>775</v>
      </c>
      <c r="B330" t="s">
        <v>776</v>
      </c>
      <c r="C330" t="s">
        <v>431</v>
      </c>
      <c r="D330">
        <v>205</v>
      </c>
      <c r="E330">
        <v>1055</v>
      </c>
      <c r="F330">
        <v>7</v>
      </c>
      <c r="G330">
        <v>60</v>
      </c>
      <c r="H330">
        <v>60</v>
      </c>
      <c r="I330">
        <v>1</v>
      </c>
      <c r="J330">
        <v>1</v>
      </c>
      <c r="K330" t="s">
        <v>86</v>
      </c>
      <c r="P330">
        <v>0</v>
      </c>
      <c r="R330">
        <v>0</v>
      </c>
      <c r="T330">
        <v>0</v>
      </c>
      <c r="U330" t="b">
        <v>0</v>
      </c>
      <c r="V330">
        <v>0</v>
      </c>
      <c r="Y330">
        <v>0</v>
      </c>
      <c r="Z330">
        <v>38</v>
      </c>
      <c r="AA330">
        <v>0</v>
      </c>
      <c r="AB330">
        <v>0</v>
      </c>
      <c r="AC330">
        <v>0</v>
      </c>
      <c r="AD330">
        <v>0</v>
      </c>
      <c r="AE330">
        <v>0</v>
      </c>
      <c r="AF330" t="b">
        <v>0</v>
      </c>
    </row>
    <row r="331" spans="1:32" x14ac:dyDescent="0.3">
      <c r="A331" t="s">
        <v>777</v>
      </c>
      <c r="B331" t="s">
        <v>778</v>
      </c>
      <c r="C331" t="s">
        <v>558</v>
      </c>
      <c r="D331">
        <v>24856</v>
      </c>
      <c r="E331">
        <v>794648</v>
      </c>
      <c r="F331">
        <v>723</v>
      </c>
      <c r="G331">
        <v>64</v>
      </c>
      <c r="H331">
        <v>1</v>
      </c>
      <c r="I331">
        <v>2.4366763648810501E-2</v>
      </c>
      <c r="J331">
        <v>1.8001759542958101E-2</v>
      </c>
      <c r="K331" t="s">
        <v>86</v>
      </c>
      <c r="P331">
        <v>0</v>
      </c>
      <c r="R331">
        <v>0</v>
      </c>
      <c r="T331">
        <v>0</v>
      </c>
      <c r="U331" t="b">
        <v>0</v>
      </c>
      <c r="V331">
        <v>0</v>
      </c>
      <c r="Y331">
        <v>0</v>
      </c>
      <c r="Z331">
        <v>19017</v>
      </c>
      <c r="AA331">
        <v>0</v>
      </c>
      <c r="AB331">
        <v>0</v>
      </c>
      <c r="AC331">
        <v>0</v>
      </c>
      <c r="AD331">
        <v>0</v>
      </c>
      <c r="AE331">
        <v>0</v>
      </c>
      <c r="AF331" t="b">
        <v>0</v>
      </c>
    </row>
    <row r="332" spans="1:32" x14ac:dyDescent="0.3">
      <c r="A332" t="s">
        <v>779</v>
      </c>
      <c r="B332" t="s">
        <v>780</v>
      </c>
      <c r="C332" t="s">
        <v>431</v>
      </c>
      <c r="D332">
        <v>78</v>
      </c>
      <c r="E332">
        <v>1628</v>
      </c>
      <c r="F332">
        <v>8</v>
      </c>
      <c r="G332">
        <v>60</v>
      </c>
      <c r="H332">
        <v>60</v>
      </c>
      <c r="I332">
        <v>1</v>
      </c>
      <c r="J332">
        <v>1</v>
      </c>
      <c r="K332" t="s">
        <v>432</v>
      </c>
      <c r="L332">
        <v>0.81589801274840645</v>
      </c>
      <c r="M332">
        <v>1</v>
      </c>
      <c r="N332">
        <v>1</v>
      </c>
      <c r="O332" t="s">
        <v>433</v>
      </c>
      <c r="P332">
        <v>0</v>
      </c>
      <c r="R332">
        <v>0</v>
      </c>
      <c r="T332">
        <v>0</v>
      </c>
      <c r="U332" t="b">
        <v>0</v>
      </c>
      <c r="Y332">
        <v>0</v>
      </c>
      <c r="Z332">
        <v>126</v>
      </c>
      <c r="AA332">
        <v>0</v>
      </c>
      <c r="AB332">
        <v>0</v>
      </c>
      <c r="AE332">
        <v>0</v>
      </c>
      <c r="AF332" t="b">
        <v>0</v>
      </c>
    </row>
    <row r="333" spans="1:32" x14ac:dyDescent="0.3">
      <c r="A333" t="s">
        <v>781</v>
      </c>
      <c r="B333" t="s">
        <v>782</v>
      </c>
      <c r="C333" t="s">
        <v>783</v>
      </c>
      <c r="D333">
        <v>1863</v>
      </c>
      <c r="E333">
        <v>43447</v>
      </c>
      <c r="F333">
        <v>9</v>
      </c>
      <c r="G333">
        <v>60</v>
      </c>
      <c r="H333">
        <v>60</v>
      </c>
      <c r="I333">
        <v>1</v>
      </c>
      <c r="J333">
        <v>1</v>
      </c>
      <c r="K333" t="s">
        <v>86</v>
      </c>
      <c r="P333">
        <v>0</v>
      </c>
      <c r="R333">
        <v>0</v>
      </c>
      <c r="T333">
        <v>0</v>
      </c>
      <c r="U333" t="b">
        <v>0</v>
      </c>
      <c r="V333">
        <v>15.207040644540649</v>
      </c>
      <c r="Y333">
        <v>0</v>
      </c>
      <c r="Z333">
        <v>939</v>
      </c>
      <c r="AA333">
        <v>-2.5071393464379501E-2</v>
      </c>
      <c r="AB333">
        <v>-2.436757504226025</v>
      </c>
      <c r="AC333">
        <v>-3.7431852366509602E-2</v>
      </c>
      <c r="AD333">
        <v>-1.55809157382777E-2</v>
      </c>
      <c r="AE333">
        <v>0</v>
      </c>
      <c r="AF333" t="b">
        <v>0</v>
      </c>
    </row>
    <row r="334" spans="1:32" x14ac:dyDescent="0.3">
      <c r="A334" t="s">
        <v>784</v>
      </c>
      <c r="B334" t="s">
        <v>785</v>
      </c>
      <c r="C334" t="s">
        <v>786</v>
      </c>
      <c r="D334">
        <v>656</v>
      </c>
      <c r="E334">
        <v>24823</v>
      </c>
      <c r="F334">
        <v>597</v>
      </c>
      <c r="G334">
        <v>75</v>
      </c>
      <c r="H334">
        <v>1</v>
      </c>
      <c r="I334">
        <v>1.45026789670869E-2</v>
      </c>
      <c r="J334">
        <v>4.1700960219478701E-2</v>
      </c>
      <c r="K334" t="s">
        <v>86</v>
      </c>
      <c r="P334">
        <v>0</v>
      </c>
      <c r="R334">
        <v>0</v>
      </c>
      <c r="T334">
        <v>0</v>
      </c>
      <c r="U334" t="b">
        <v>0</v>
      </c>
      <c r="Y334">
        <v>0</v>
      </c>
      <c r="Z334">
        <v>0</v>
      </c>
      <c r="AE334">
        <v>0</v>
      </c>
      <c r="AF334" t="b">
        <v>0</v>
      </c>
    </row>
    <row r="335" spans="1:32" x14ac:dyDescent="0.3">
      <c r="A335" t="s">
        <v>787</v>
      </c>
      <c r="B335" t="s">
        <v>788</v>
      </c>
      <c r="C335" t="s">
        <v>789</v>
      </c>
      <c r="D335">
        <v>2572</v>
      </c>
      <c r="E335">
        <v>77458</v>
      </c>
      <c r="F335">
        <v>219</v>
      </c>
      <c r="G335">
        <v>75</v>
      </c>
      <c r="H335">
        <v>1</v>
      </c>
      <c r="I335">
        <v>0.54729014433628542</v>
      </c>
      <c r="J335">
        <v>0.41689143833526571</v>
      </c>
      <c r="K335" t="s">
        <v>86</v>
      </c>
      <c r="P335">
        <v>0</v>
      </c>
      <c r="R335">
        <v>0</v>
      </c>
      <c r="T335">
        <v>0</v>
      </c>
      <c r="U335" t="b">
        <v>0</v>
      </c>
      <c r="Y335">
        <v>0</v>
      </c>
      <c r="Z335">
        <v>0</v>
      </c>
      <c r="AE335">
        <v>0</v>
      </c>
      <c r="AF335" t="b">
        <v>0</v>
      </c>
    </row>
    <row r="336" spans="1:32" x14ac:dyDescent="0.3">
      <c r="A336" t="s">
        <v>790</v>
      </c>
      <c r="B336" t="s">
        <v>791</v>
      </c>
      <c r="C336" t="s">
        <v>465</v>
      </c>
      <c r="D336">
        <v>315</v>
      </c>
      <c r="E336">
        <v>5432</v>
      </c>
      <c r="F336">
        <v>4</v>
      </c>
      <c r="G336">
        <v>60</v>
      </c>
      <c r="H336">
        <v>60</v>
      </c>
      <c r="I336">
        <v>1</v>
      </c>
      <c r="J336">
        <v>1</v>
      </c>
      <c r="K336" t="s">
        <v>86</v>
      </c>
      <c r="P336">
        <v>0</v>
      </c>
      <c r="R336">
        <v>0</v>
      </c>
      <c r="T336">
        <v>0</v>
      </c>
      <c r="U336" t="b">
        <v>0</v>
      </c>
      <c r="V336">
        <v>3.2558139534883721</v>
      </c>
      <c r="Y336">
        <v>0</v>
      </c>
      <c r="Z336">
        <v>280</v>
      </c>
      <c r="AA336">
        <v>3.4128934128934099E-2</v>
      </c>
      <c r="AB336">
        <v>2.9765306122448978</v>
      </c>
      <c r="AC336">
        <v>5.4865424430641803E-2</v>
      </c>
      <c r="AD336">
        <v>3.4904013961605501E-2</v>
      </c>
      <c r="AE336">
        <v>0</v>
      </c>
      <c r="AF336" t="b">
        <v>0</v>
      </c>
    </row>
    <row r="337" spans="1:35" x14ac:dyDescent="0.3">
      <c r="A337" t="s">
        <v>792</v>
      </c>
      <c r="B337" t="s">
        <v>793</v>
      </c>
      <c r="C337" t="s">
        <v>465</v>
      </c>
      <c r="D337">
        <v>1433</v>
      </c>
      <c r="E337">
        <v>27664</v>
      </c>
      <c r="F337">
        <v>11</v>
      </c>
      <c r="G337">
        <v>60</v>
      </c>
      <c r="H337">
        <v>60</v>
      </c>
      <c r="I337">
        <v>1</v>
      </c>
      <c r="J337">
        <v>1</v>
      </c>
      <c r="K337" t="s">
        <v>86</v>
      </c>
      <c r="P337">
        <v>0</v>
      </c>
      <c r="R337">
        <v>0</v>
      </c>
      <c r="T337">
        <v>0</v>
      </c>
      <c r="U337" t="b">
        <v>0</v>
      </c>
      <c r="V337">
        <v>16.20379033225381</v>
      </c>
      <c r="Y337">
        <v>0</v>
      </c>
      <c r="Z337">
        <v>599</v>
      </c>
      <c r="AA337">
        <v>2.1941128157290199E-2</v>
      </c>
      <c r="AB337">
        <v>2.255947422573171</v>
      </c>
      <c r="AC337">
        <v>-2.6931236766829002E-3</v>
      </c>
      <c r="AD337">
        <v>4.67376490083143E-2</v>
      </c>
      <c r="AE337">
        <v>0</v>
      </c>
      <c r="AF337" t="b">
        <v>0</v>
      </c>
    </row>
    <row r="338" spans="1:35" x14ac:dyDescent="0.3">
      <c r="A338" t="s">
        <v>794</v>
      </c>
      <c r="B338" t="s">
        <v>795</v>
      </c>
      <c r="C338" t="s">
        <v>671</v>
      </c>
      <c r="D338">
        <v>917</v>
      </c>
      <c r="E338">
        <v>45621</v>
      </c>
      <c r="F338">
        <v>323</v>
      </c>
      <c r="G338">
        <v>70</v>
      </c>
      <c r="H338">
        <v>1</v>
      </c>
      <c r="I338">
        <v>1.64836369215931E-2</v>
      </c>
      <c r="J338">
        <v>3.73888005500881E-2</v>
      </c>
      <c r="K338" t="s">
        <v>86</v>
      </c>
      <c r="P338">
        <v>0</v>
      </c>
      <c r="R338">
        <v>0</v>
      </c>
      <c r="T338">
        <v>0</v>
      </c>
      <c r="U338" t="b">
        <v>0</v>
      </c>
      <c r="Y338">
        <v>0</v>
      </c>
      <c r="Z338">
        <v>0</v>
      </c>
      <c r="AE338">
        <v>0</v>
      </c>
      <c r="AF338" t="b">
        <v>0</v>
      </c>
    </row>
    <row r="339" spans="1:35" x14ac:dyDescent="0.3">
      <c r="A339" t="s">
        <v>796</v>
      </c>
      <c r="B339" t="s">
        <v>797</v>
      </c>
      <c r="C339" t="s">
        <v>479</v>
      </c>
      <c r="D339">
        <v>15790</v>
      </c>
      <c r="E339">
        <v>323289</v>
      </c>
      <c r="F339">
        <v>44</v>
      </c>
      <c r="G339">
        <v>60</v>
      </c>
      <c r="H339">
        <v>60</v>
      </c>
      <c r="I339">
        <v>1</v>
      </c>
      <c r="J339">
        <v>1</v>
      </c>
      <c r="K339" t="s">
        <v>86</v>
      </c>
      <c r="P339">
        <v>0</v>
      </c>
      <c r="R339">
        <v>0</v>
      </c>
      <c r="T339">
        <v>3</v>
      </c>
      <c r="U339" t="b">
        <v>1</v>
      </c>
      <c r="V339">
        <v>10.081339605729839</v>
      </c>
      <c r="W339">
        <v>14.90645185949624</v>
      </c>
      <c r="X339" t="b">
        <v>0</v>
      </c>
      <c r="Y339">
        <v>0</v>
      </c>
      <c r="Z339">
        <v>7379</v>
      </c>
      <c r="AA339">
        <v>6.5032681883357202E-2</v>
      </c>
      <c r="AB339">
        <v>6.2350236975944968</v>
      </c>
      <c r="AC339">
        <v>5.3309623426259098E-2</v>
      </c>
      <c r="AD339">
        <v>8.7678682741133607E-2</v>
      </c>
      <c r="AE339">
        <v>3</v>
      </c>
      <c r="AF339" t="b">
        <v>1</v>
      </c>
      <c r="AG339">
        <v>1.7252986857104E-2</v>
      </c>
      <c r="AH339">
        <v>1.743013195945877</v>
      </c>
      <c r="AI339" t="b">
        <v>1</v>
      </c>
    </row>
    <row r="340" spans="1:35" x14ac:dyDescent="0.3">
      <c r="A340" t="s">
        <v>798</v>
      </c>
      <c r="B340" t="s">
        <v>799</v>
      </c>
      <c r="C340" t="s">
        <v>431</v>
      </c>
      <c r="D340">
        <v>712</v>
      </c>
      <c r="E340">
        <v>30509</v>
      </c>
      <c r="F340">
        <v>251</v>
      </c>
      <c r="G340">
        <v>53</v>
      </c>
      <c r="H340">
        <v>1</v>
      </c>
      <c r="I340">
        <v>2.4058474548493799E-2</v>
      </c>
      <c r="J340">
        <v>0.17987892764485439</v>
      </c>
      <c r="K340" t="s">
        <v>432</v>
      </c>
      <c r="L340">
        <v>0.8398513820825726</v>
      </c>
      <c r="M340">
        <v>0.99360000000000004</v>
      </c>
      <c r="N340">
        <v>2.4713016284657299E-2</v>
      </c>
      <c r="O340" t="s">
        <v>433</v>
      </c>
      <c r="P340">
        <v>21101</v>
      </c>
      <c r="Q340">
        <v>0.37927112459125162</v>
      </c>
      <c r="R340">
        <v>30</v>
      </c>
      <c r="S340">
        <v>0</v>
      </c>
      <c r="T340">
        <v>0</v>
      </c>
      <c r="U340" t="b">
        <v>0</v>
      </c>
      <c r="V340">
        <v>0.86914378029079165</v>
      </c>
      <c r="Y340">
        <v>0</v>
      </c>
      <c r="Z340">
        <v>1665</v>
      </c>
      <c r="AA340">
        <v>-9.3477208647411002E-3</v>
      </c>
      <c r="AB340">
        <v>-0.5528928928928929</v>
      </c>
      <c r="AC340">
        <v>-1.6007553632990001E-2</v>
      </c>
      <c r="AD340">
        <v>0</v>
      </c>
      <c r="AE340">
        <v>0</v>
      </c>
      <c r="AF340" t="b">
        <v>0</v>
      </c>
    </row>
    <row r="341" spans="1:35" x14ac:dyDescent="0.3">
      <c r="A341" t="s">
        <v>800</v>
      </c>
      <c r="B341" t="s">
        <v>801</v>
      </c>
      <c r="C341" t="s">
        <v>431</v>
      </c>
      <c r="D341">
        <v>249</v>
      </c>
      <c r="E341">
        <v>3047</v>
      </c>
      <c r="F341">
        <v>77</v>
      </c>
      <c r="G341">
        <v>78</v>
      </c>
      <c r="H341">
        <v>1</v>
      </c>
      <c r="I341">
        <v>6.4325566130620196E-2</v>
      </c>
      <c r="J341">
        <v>0.39775485436893199</v>
      </c>
      <c r="K341" t="s">
        <v>432</v>
      </c>
      <c r="L341">
        <v>0.62591019417475724</v>
      </c>
      <c r="M341">
        <v>1</v>
      </c>
      <c r="N341">
        <v>3.7809015996122103E-2</v>
      </c>
      <c r="O341" t="s">
        <v>433</v>
      </c>
      <c r="P341">
        <v>1985</v>
      </c>
      <c r="Q341">
        <v>1</v>
      </c>
      <c r="R341">
        <v>0</v>
      </c>
      <c r="T341">
        <v>0</v>
      </c>
      <c r="U341" t="b">
        <v>0</v>
      </c>
      <c r="V341">
        <v>4.5860389610389598</v>
      </c>
      <c r="Y341">
        <v>0</v>
      </c>
      <c r="Z341">
        <v>48</v>
      </c>
      <c r="AA341">
        <v>1.2922797286924E-3</v>
      </c>
      <c r="AB341">
        <v>0.1102737296816238</v>
      </c>
      <c r="AC341">
        <v>2.1534643259476E-3</v>
      </c>
      <c r="AD341">
        <v>9.8388931349959992E-4</v>
      </c>
      <c r="AE341">
        <v>0</v>
      </c>
      <c r="AF341" t="b">
        <v>0</v>
      </c>
    </row>
    <row r="342" spans="1:35" x14ac:dyDescent="0.3">
      <c r="A342" t="s">
        <v>802</v>
      </c>
      <c r="B342" t="s">
        <v>803</v>
      </c>
      <c r="C342" t="s">
        <v>431</v>
      </c>
      <c r="D342">
        <v>14842</v>
      </c>
      <c r="E342">
        <v>560868</v>
      </c>
      <c r="F342">
        <v>516</v>
      </c>
      <c r="G342">
        <v>55</v>
      </c>
      <c r="H342">
        <v>1</v>
      </c>
      <c r="I342">
        <v>2.4285571649657299E-2</v>
      </c>
      <c r="J342">
        <v>0.18638898056313069</v>
      </c>
      <c r="K342" t="s">
        <v>432</v>
      </c>
      <c r="L342">
        <v>0.83131437703010191</v>
      </c>
      <c r="M342">
        <v>1</v>
      </c>
      <c r="N342">
        <v>2.12956230306981E-2</v>
      </c>
      <c r="O342" t="s">
        <v>518</v>
      </c>
      <c r="P342">
        <v>468076</v>
      </c>
      <c r="Q342">
        <v>2.65448345995094E-2</v>
      </c>
      <c r="R342">
        <v>0</v>
      </c>
      <c r="T342">
        <v>0</v>
      </c>
      <c r="U342" t="b">
        <v>0</v>
      </c>
      <c r="V342">
        <v>10.00642741246182</v>
      </c>
      <c r="Y342">
        <v>0</v>
      </c>
      <c r="Z342">
        <v>10000</v>
      </c>
      <c r="AA342">
        <v>8.4802770232906402E-2</v>
      </c>
      <c r="AB342">
        <v>5.6740677892696034</v>
      </c>
      <c r="AC342">
        <v>2.8992072588603601E-2</v>
      </c>
      <c r="AD342">
        <v>0.1360189663546835</v>
      </c>
      <c r="AE342">
        <v>0</v>
      </c>
      <c r="AF342" t="b">
        <v>0</v>
      </c>
    </row>
    <row r="343" spans="1:35" x14ac:dyDescent="0.3">
      <c r="A343" t="s">
        <v>804</v>
      </c>
      <c r="B343" t="s">
        <v>805</v>
      </c>
      <c r="C343" t="s">
        <v>549</v>
      </c>
      <c r="D343">
        <v>556</v>
      </c>
      <c r="E343">
        <v>7240</v>
      </c>
      <c r="F343">
        <v>5</v>
      </c>
      <c r="G343">
        <v>60</v>
      </c>
      <c r="H343">
        <v>60</v>
      </c>
      <c r="I343">
        <v>1</v>
      </c>
      <c r="J343">
        <v>1</v>
      </c>
      <c r="K343" t="s">
        <v>432</v>
      </c>
      <c r="L343">
        <v>0.76940394511149224</v>
      </c>
      <c r="M343">
        <v>1</v>
      </c>
      <c r="N343">
        <v>1</v>
      </c>
      <c r="O343" t="s">
        <v>433</v>
      </c>
      <c r="P343">
        <v>0</v>
      </c>
      <c r="R343">
        <v>0</v>
      </c>
      <c r="T343">
        <v>0</v>
      </c>
      <c r="U343" t="b">
        <v>0</v>
      </c>
      <c r="V343">
        <v>6.7929292929292933</v>
      </c>
      <c r="Y343">
        <v>0</v>
      </c>
      <c r="Z343">
        <v>201</v>
      </c>
      <c r="AA343">
        <v>-3.0679898648648601E-2</v>
      </c>
      <c r="AB343">
        <v>-2.5817341862117988</v>
      </c>
      <c r="AC343">
        <v>-6.3001536622844398E-2</v>
      </c>
      <c r="AD343">
        <v>1.0092905405405399E-2</v>
      </c>
      <c r="AE343">
        <v>0</v>
      </c>
      <c r="AF343" t="b">
        <v>0</v>
      </c>
    </row>
    <row r="344" spans="1:35" x14ac:dyDescent="0.3">
      <c r="A344" t="s">
        <v>806</v>
      </c>
      <c r="B344" t="s">
        <v>807</v>
      </c>
      <c r="C344" t="s">
        <v>479</v>
      </c>
      <c r="D344">
        <v>299</v>
      </c>
      <c r="E344">
        <v>1114</v>
      </c>
      <c r="F344">
        <v>22</v>
      </c>
      <c r="G344">
        <v>720</v>
      </c>
      <c r="H344">
        <v>60</v>
      </c>
      <c r="I344">
        <v>1</v>
      </c>
      <c r="J344">
        <v>1</v>
      </c>
      <c r="K344" t="s">
        <v>86</v>
      </c>
      <c r="P344">
        <v>0</v>
      </c>
      <c r="R344">
        <v>0</v>
      </c>
      <c r="T344">
        <v>0</v>
      </c>
      <c r="U344" t="b">
        <v>0</v>
      </c>
      <c r="Y344">
        <v>0</v>
      </c>
      <c r="Z344">
        <v>34</v>
      </c>
      <c r="AA344">
        <v>0</v>
      </c>
      <c r="AB344">
        <v>0</v>
      </c>
      <c r="AC344">
        <v>0</v>
      </c>
      <c r="AD344">
        <v>0</v>
      </c>
      <c r="AE344">
        <v>1</v>
      </c>
      <c r="AF344" t="b">
        <v>1</v>
      </c>
      <c r="AG344">
        <v>-9.9102170701210004E-4</v>
      </c>
      <c r="AH344">
        <v>-0.23275677984198159</v>
      </c>
      <c r="AI344" t="b">
        <v>1</v>
      </c>
    </row>
    <row r="345" spans="1:35" x14ac:dyDescent="0.3">
      <c r="A345" t="s">
        <v>808</v>
      </c>
      <c r="B345" t="s">
        <v>809</v>
      </c>
      <c r="C345" t="s">
        <v>521</v>
      </c>
      <c r="D345">
        <v>20181</v>
      </c>
      <c r="E345">
        <v>532035</v>
      </c>
      <c r="F345">
        <v>29</v>
      </c>
      <c r="G345">
        <v>60</v>
      </c>
      <c r="H345">
        <v>60</v>
      </c>
      <c r="I345">
        <v>1</v>
      </c>
      <c r="J345">
        <v>1</v>
      </c>
      <c r="K345" t="s">
        <v>86</v>
      </c>
      <c r="P345">
        <v>0</v>
      </c>
      <c r="R345">
        <v>0</v>
      </c>
      <c r="T345">
        <v>2</v>
      </c>
      <c r="U345" t="b">
        <v>1</v>
      </c>
      <c r="V345">
        <v>7.9523168352021631</v>
      </c>
      <c r="W345">
        <v>2.626049901185771</v>
      </c>
      <c r="X345" t="b">
        <v>1</v>
      </c>
      <c r="Y345">
        <v>0</v>
      </c>
      <c r="Z345">
        <v>16169</v>
      </c>
      <c r="AA345">
        <v>4.5192558836282197E-2</v>
      </c>
      <c r="AB345">
        <v>3.8193920880828842</v>
      </c>
      <c r="AC345">
        <v>4.7054542733494201E-2</v>
      </c>
      <c r="AD345">
        <v>6.0952178702496897E-2</v>
      </c>
      <c r="AE345">
        <v>2</v>
      </c>
      <c r="AF345" t="b">
        <v>1</v>
      </c>
      <c r="AG345">
        <v>0</v>
      </c>
      <c r="AH345">
        <v>0</v>
      </c>
      <c r="AI345" t="b">
        <v>1</v>
      </c>
    </row>
    <row r="346" spans="1:35" x14ac:dyDescent="0.3">
      <c r="A346" t="s">
        <v>810</v>
      </c>
      <c r="B346" t="s">
        <v>811</v>
      </c>
      <c r="C346" t="s">
        <v>431</v>
      </c>
      <c r="D346">
        <v>1589</v>
      </c>
      <c r="E346">
        <v>68153</v>
      </c>
      <c r="F346">
        <v>230</v>
      </c>
      <c r="G346">
        <v>43</v>
      </c>
      <c r="H346">
        <v>1</v>
      </c>
      <c r="I346">
        <v>3.7753290390738402E-2</v>
      </c>
      <c r="J346">
        <v>0.2041620119733035</v>
      </c>
      <c r="K346" t="s">
        <v>432</v>
      </c>
      <c r="L346">
        <v>0.80894274011056688</v>
      </c>
      <c r="M346">
        <v>1</v>
      </c>
      <c r="N346">
        <v>1.6199851280053801E-2</v>
      </c>
      <c r="O346" t="s">
        <v>433</v>
      </c>
      <c r="P346">
        <v>46815</v>
      </c>
      <c r="Q346">
        <v>0.3863291680017088</v>
      </c>
      <c r="R346">
        <v>0</v>
      </c>
      <c r="T346">
        <v>1</v>
      </c>
      <c r="U346" t="b">
        <v>1</v>
      </c>
      <c r="V346">
        <v>1.465451644575356</v>
      </c>
      <c r="W346">
        <v>9.1176470588235272</v>
      </c>
      <c r="X346" t="b">
        <v>0</v>
      </c>
      <c r="Y346">
        <v>0</v>
      </c>
      <c r="Z346">
        <v>2669</v>
      </c>
      <c r="AA346">
        <v>1.6207915271292499E-2</v>
      </c>
      <c r="AB346">
        <v>0.86043404884235353</v>
      </c>
      <c r="AC346">
        <v>7.6813573490824997E-3</v>
      </c>
      <c r="AD346">
        <v>1.95804042211206E-2</v>
      </c>
      <c r="AE346">
        <v>1</v>
      </c>
      <c r="AF346" t="b">
        <v>1</v>
      </c>
      <c r="AG346">
        <v>-2.2831050228310501E-2</v>
      </c>
      <c r="AH346">
        <v>-2.5735294117647061</v>
      </c>
      <c r="AI346" t="b">
        <v>1</v>
      </c>
    </row>
    <row r="347" spans="1:35" x14ac:dyDescent="0.3">
      <c r="A347" t="s">
        <v>812</v>
      </c>
      <c r="B347" t="s">
        <v>813</v>
      </c>
      <c r="C347" t="s">
        <v>573</v>
      </c>
      <c r="D347">
        <v>3629</v>
      </c>
      <c r="E347">
        <v>64417</v>
      </c>
      <c r="F347">
        <v>51</v>
      </c>
      <c r="G347">
        <v>120</v>
      </c>
      <c r="H347">
        <v>60</v>
      </c>
      <c r="I347">
        <v>1</v>
      </c>
      <c r="J347">
        <v>1</v>
      </c>
      <c r="K347" t="s">
        <v>86</v>
      </c>
      <c r="P347">
        <v>0</v>
      </c>
      <c r="R347">
        <v>0</v>
      </c>
      <c r="T347">
        <v>0</v>
      </c>
      <c r="U347" t="b">
        <v>0</v>
      </c>
      <c r="V347">
        <v>9.0630835028425381</v>
      </c>
      <c r="Y347">
        <v>0</v>
      </c>
      <c r="Z347">
        <v>1234</v>
      </c>
      <c r="AA347">
        <v>-7.0421409658991997E-3</v>
      </c>
      <c r="AB347">
        <v>-1.0271846130302671</v>
      </c>
      <c r="AC347">
        <v>-2.9139624627251101E-2</v>
      </c>
      <c r="AD347">
        <v>-1.10951760082927E-2</v>
      </c>
      <c r="AE347">
        <v>0</v>
      </c>
      <c r="AF347" t="b">
        <v>0</v>
      </c>
    </row>
    <row r="348" spans="1:35" x14ac:dyDescent="0.3">
      <c r="A348" t="s">
        <v>814</v>
      </c>
      <c r="B348" t="s">
        <v>815</v>
      </c>
      <c r="C348" t="s">
        <v>479</v>
      </c>
      <c r="D348">
        <v>229</v>
      </c>
      <c r="E348">
        <v>3109</v>
      </c>
      <c r="F348">
        <v>8</v>
      </c>
      <c r="G348">
        <v>60</v>
      </c>
      <c r="H348">
        <v>60</v>
      </c>
      <c r="I348">
        <v>1</v>
      </c>
      <c r="J348">
        <v>1</v>
      </c>
      <c r="K348" t="s">
        <v>86</v>
      </c>
      <c r="P348">
        <v>0</v>
      </c>
      <c r="R348">
        <v>0</v>
      </c>
      <c r="T348">
        <v>0</v>
      </c>
      <c r="U348" t="b">
        <v>0</v>
      </c>
      <c r="V348">
        <v>8.0306122448979593</v>
      </c>
      <c r="Y348">
        <v>0</v>
      </c>
      <c r="Z348">
        <v>143</v>
      </c>
      <c r="AA348">
        <v>1.8027064210763999E-2</v>
      </c>
      <c r="AB348">
        <v>1.461704961704962</v>
      </c>
      <c r="AC348">
        <v>1.52210408505875E-2</v>
      </c>
      <c r="AD348">
        <v>3.8094056334532798E-2</v>
      </c>
      <c r="AE348">
        <v>0</v>
      </c>
      <c r="AF348" t="b">
        <v>0</v>
      </c>
    </row>
    <row r="349" spans="1:35" x14ac:dyDescent="0.3">
      <c r="A349" t="s">
        <v>816</v>
      </c>
      <c r="B349" t="s">
        <v>817</v>
      </c>
      <c r="C349" t="s">
        <v>479</v>
      </c>
      <c r="D349">
        <v>2104</v>
      </c>
      <c r="E349">
        <v>32458</v>
      </c>
      <c r="F349">
        <v>15</v>
      </c>
      <c r="G349">
        <v>60</v>
      </c>
      <c r="H349">
        <v>60</v>
      </c>
      <c r="I349">
        <v>1</v>
      </c>
      <c r="J349">
        <v>1</v>
      </c>
      <c r="K349" t="s">
        <v>86</v>
      </c>
      <c r="P349">
        <v>0</v>
      </c>
      <c r="R349">
        <v>0</v>
      </c>
      <c r="T349">
        <v>0</v>
      </c>
      <c r="U349" t="b">
        <v>0</v>
      </c>
      <c r="V349">
        <v>13.0844846132754</v>
      </c>
      <c r="Y349">
        <v>0</v>
      </c>
      <c r="Z349">
        <v>774</v>
      </c>
      <c r="AA349">
        <v>-6.8864425924421999E-3</v>
      </c>
      <c r="AB349">
        <v>-0.62772476623412776</v>
      </c>
      <c r="AC349">
        <v>-6.1922646051515498E-2</v>
      </c>
      <c r="AD349">
        <v>5.88633036408166E-2</v>
      </c>
      <c r="AE349">
        <v>0</v>
      </c>
      <c r="AF349" t="b">
        <v>0</v>
      </c>
    </row>
    <row r="350" spans="1:35" x14ac:dyDescent="0.3">
      <c r="A350" t="s">
        <v>818</v>
      </c>
      <c r="B350" t="s">
        <v>819</v>
      </c>
      <c r="C350" t="s">
        <v>479</v>
      </c>
      <c r="D350">
        <v>149</v>
      </c>
      <c r="E350">
        <v>2268</v>
      </c>
      <c r="F350">
        <v>27</v>
      </c>
      <c r="G350">
        <v>120</v>
      </c>
      <c r="H350">
        <v>20</v>
      </c>
      <c r="I350">
        <v>0.95149911816578481</v>
      </c>
      <c r="J350">
        <v>0.97517583781547357</v>
      </c>
      <c r="K350" t="s">
        <v>432</v>
      </c>
      <c r="L350">
        <v>1.4662756598240401E-2</v>
      </c>
      <c r="M350">
        <v>0.97023809523809523</v>
      </c>
      <c r="N350">
        <v>0</v>
      </c>
      <c r="O350" t="s">
        <v>433</v>
      </c>
      <c r="P350">
        <v>5</v>
      </c>
      <c r="Q350">
        <v>1</v>
      </c>
      <c r="R350">
        <v>10</v>
      </c>
      <c r="S350">
        <v>0.5</v>
      </c>
      <c r="T350">
        <v>0</v>
      </c>
      <c r="U350" t="b">
        <v>0</v>
      </c>
      <c r="Y350">
        <v>0</v>
      </c>
      <c r="Z350">
        <v>9</v>
      </c>
      <c r="AA350">
        <v>2.8735632183908E-2</v>
      </c>
      <c r="AB350">
        <v>5.5555555555555554</v>
      </c>
      <c r="AE350">
        <v>0</v>
      </c>
      <c r="AF350" t="b">
        <v>0</v>
      </c>
    </row>
    <row r="351" spans="1:35" x14ac:dyDescent="0.3">
      <c r="A351" t="s">
        <v>820</v>
      </c>
      <c r="B351" t="s">
        <v>821</v>
      </c>
      <c r="C351" t="s">
        <v>479</v>
      </c>
      <c r="D351">
        <v>123</v>
      </c>
      <c r="E351">
        <v>2492</v>
      </c>
      <c r="F351">
        <v>22</v>
      </c>
      <c r="G351">
        <v>60</v>
      </c>
      <c r="H351">
        <v>1</v>
      </c>
      <c r="I351">
        <v>0.99317817014446241</v>
      </c>
      <c r="J351">
        <v>0.9824091778202676</v>
      </c>
      <c r="K351" t="s">
        <v>86</v>
      </c>
      <c r="P351">
        <v>0</v>
      </c>
      <c r="R351">
        <v>0</v>
      </c>
      <c r="T351">
        <v>0</v>
      </c>
      <c r="U351" t="b">
        <v>0</v>
      </c>
      <c r="V351">
        <v>10.173515981735161</v>
      </c>
      <c r="Y351">
        <v>0</v>
      </c>
      <c r="Z351">
        <v>128</v>
      </c>
      <c r="AA351">
        <v>2.7568288743767901E-2</v>
      </c>
      <c r="AB351">
        <v>2.555989583333333</v>
      </c>
      <c r="AC351">
        <v>-2.2418278475285599E-2</v>
      </c>
      <c r="AD351">
        <v>7.2877965132895101E-2</v>
      </c>
      <c r="AE351">
        <v>0</v>
      </c>
      <c r="AF351" t="b">
        <v>0</v>
      </c>
    </row>
    <row r="352" spans="1:35" x14ac:dyDescent="0.3">
      <c r="A352" t="s">
        <v>822</v>
      </c>
      <c r="B352" t="s">
        <v>823</v>
      </c>
      <c r="C352" t="s">
        <v>479</v>
      </c>
      <c r="D352">
        <v>87</v>
      </c>
      <c r="E352">
        <v>871</v>
      </c>
      <c r="F352">
        <v>3</v>
      </c>
      <c r="G352">
        <v>60</v>
      </c>
      <c r="H352">
        <v>60</v>
      </c>
      <c r="I352">
        <v>1</v>
      </c>
      <c r="J352">
        <v>1</v>
      </c>
      <c r="K352" t="s">
        <v>86</v>
      </c>
      <c r="P352">
        <v>0</v>
      </c>
      <c r="R352">
        <v>0</v>
      </c>
      <c r="T352">
        <v>0</v>
      </c>
      <c r="U352" t="b">
        <v>0</v>
      </c>
      <c r="V352">
        <v>0</v>
      </c>
      <c r="Y352">
        <v>0</v>
      </c>
      <c r="Z352">
        <v>20</v>
      </c>
      <c r="AA352">
        <v>0</v>
      </c>
      <c r="AB352">
        <v>0</v>
      </c>
      <c r="AC352">
        <v>0</v>
      </c>
      <c r="AD352">
        <v>0</v>
      </c>
      <c r="AE352">
        <v>0</v>
      </c>
      <c r="AF352" t="b">
        <v>0</v>
      </c>
    </row>
    <row r="353" spans="1:35" x14ac:dyDescent="0.3">
      <c r="A353" t="s">
        <v>824</v>
      </c>
      <c r="B353" t="s">
        <v>825</v>
      </c>
      <c r="C353" t="s">
        <v>826</v>
      </c>
      <c r="D353">
        <v>1297</v>
      </c>
      <c r="E353">
        <v>16591</v>
      </c>
      <c r="F353">
        <v>9</v>
      </c>
      <c r="G353">
        <v>120</v>
      </c>
      <c r="H353">
        <v>60</v>
      </c>
      <c r="I353">
        <v>1</v>
      </c>
      <c r="J353">
        <v>1</v>
      </c>
      <c r="K353" t="s">
        <v>86</v>
      </c>
      <c r="P353">
        <v>0</v>
      </c>
      <c r="R353">
        <v>0</v>
      </c>
      <c r="T353">
        <v>1</v>
      </c>
      <c r="U353" t="b">
        <v>1</v>
      </c>
      <c r="V353">
        <v>0.73275862068965514</v>
      </c>
      <c r="W353">
        <v>0</v>
      </c>
      <c r="X353" t="b">
        <v>1</v>
      </c>
      <c r="Y353">
        <v>0</v>
      </c>
      <c r="Z353">
        <v>454</v>
      </c>
      <c r="AA353">
        <v>3.2996878337984E-3</v>
      </c>
      <c r="AB353">
        <v>0.37617998741346759</v>
      </c>
      <c r="AC353">
        <v>4.8495086840439003E-3</v>
      </c>
      <c r="AD353">
        <v>3.7226878180184999E-3</v>
      </c>
      <c r="AE353">
        <v>1</v>
      </c>
      <c r="AF353" t="b">
        <v>1</v>
      </c>
      <c r="AG353">
        <v>0</v>
      </c>
      <c r="AH353">
        <v>0</v>
      </c>
      <c r="AI353" t="b">
        <v>1</v>
      </c>
    </row>
    <row r="354" spans="1:35" x14ac:dyDescent="0.3">
      <c r="A354" t="s">
        <v>827</v>
      </c>
      <c r="B354" t="s">
        <v>828</v>
      </c>
      <c r="C354" t="s">
        <v>826</v>
      </c>
      <c r="D354">
        <v>1607</v>
      </c>
      <c r="E354">
        <v>20360</v>
      </c>
      <c r="F354">
        <v>9</v>
      </c>
      <c r="G354">
        <v>60</v>
      </c>
      <c r="H354">
        <v>60</v>
      </c>
      <c r="I354">
        <v>1</v>
      </c>
      <c r="J354">
        <v>1</v>
      </c>
      <c r="K354" t="s">
        <v>86</v>
      </c>
      <c r="P354">
        <v>0</v>
      </c>
      <c r="R354">
        <v>0</v>
      </c>
      <c r="T354">
        <v>1</v>
      </c>
      <c r="U354" t="b">
        <v>1</v>
      </c>
      <c r="V354">
        <v>1.6793606945540649</v>
      </c>
      <c r="W354">
        <v>0</v>
      </c>
      <c r="X354" t="b">
        <v>1</v>
      </c>
      <c r="Y354">
        <v>0</v>
      </c>
      <c r="Z354">
        <v>508</v>
      </c>
      <c r="AA354">
        <v>7.7386633349379001E-3</v>
      </c>
      <c r="AB354">
        <v>0.76589535792291696</v>
      </c>
      <c r="AC354">
        <v>1.11520999669966E-2</v>
      </c>
      <c r="AD354">
        <v>7.2815976932482001E-3</v>
      </c>
      <c r="AE354">
        <v>1</v>
      </c>
      <c r="AF354" t="b">
        <v>1</v>
      </c>
      <c r="AG354">
        <v>0</v>
      </c>
      <c r="AH354">
        <v>0</v>
      </c>
      <c r="AI354" t="b">
        <v>1</v>
      </c>
    </row>
    <row r="355" spans="1:35" x14ac:dyDescent="0.3">
      <c r="A355" t="s">
        <v>829</v>
      </c>
      <c r="B355" t="s">
        <v>830</v>
      </c>
      <c r="C355" t="s">
        <v>831</v>
      </c>
      <c r="D355">
        <v>852</v>
      </c>
      <c r="E355">
        <v>14152</v>
      </c>
      <c r="F355">
        <v>6</v>
      </c>
      <c r="G355">
        <v>60</v>
      </c>
      <c r="H355">
        <v>60</v>
      </c>
      <c r="I355">
        <v>1</v>
      </c>
      <c r="J355">
        <v>1</v>
      </c>
      <c r="K355" t="s">
        <v>86</v>
      </c>
      <c r="P355">
        <v>0</v>
      </c>
      <c r="R355">
        <v>0</v>
      </c>
      <c r="T355">
        <v>0</v>
      </c>
      <c r="U355" t="b">
        <v>0</v>
      </c>
      <c r="V355">
        <v>5.8119658119658117</v>
      </c>
      <c r="Y355">
        <v>0</v>
      </c>
      <c r="Z355">
        <v>377</v>
      </c>
      <c r="AA355">
        <v>6.5655818008477598E-2</v>
      </c>
      <c r="AB355">
        <v>5.1539236625443534</v>
      </c>
      <c r="AC355">
        <v>6.68174954010049E-2</v>
      </c>
      <c r="AD355">
        <v>7.0628281443806895E-2</v>
      </c>
      <c r="AE355">
        <v>0</v>
      </c>
      <c r="AF355" t="b">
        <v>0</v>
      </c>
    </row>
    <row r="356" spans="1:35" x14ac:dyDescent="0.3">
      <c r="A356" t="s">
        <v>832</v>
      </c>
      <c r="B356" t="s">
        <v>833</v>
      </c>
      <c r="C356" t="s">
        <v>431</v>
      </c>
      <c r="D356">
        <v>236</v>
      </c>
      <c r="E356">
        <v>2590</v>
      </c>
      <c r="F356">
        <v>43</v>
      </c>
      <c r="G356">
        <v>244</v>
      </c>
      <c r="H356">
        <v>6</v>
      </c>
      <c r="I356">
        <v>0</v>
      </c>
      <c r="J356">
        <v>0.17374380750176929</v>
      </c>
      <c r="K356" t="s">
        <v>432</v>
      </c>
      <c r="L356">
        <v>0.82625619249823068</v>
      </c>
      <c r="M356">
        <v>1</v>
      </c>
      <c r="N356">
        <v>0</v>
      </c>
      <c r="O356" t="s">
        <v>433</v>
      </c>
      <c r="P356">
        <v>2335</v>
      </c>
      <c r="Q356">
        <v>1</v>
      </c>
      <c r="R356">
        <v>0</v>
      </c>
      <c r="T356">
        <v>0</v>
      </c>
      <c r="U356" t="b">
        <v>0</v>
      </c>
      <c r="V356">
        <v>0.33838383838383851</v>
      </c>
      <c r="Y356">
        <v>0</v>
      </c>
      <c r="Z356">
        <v>39</v>
      </c>
      <c r="AA356">
        <v>2.7322070115770001E-4</v>
      </c>
      <c r="AB356">
        <v>9.5441595441595403E-2</v>
      </c>
      <c r="AC356">
        <v>1.3768160614840001E-3</v>
      </c>
      <c r="AD356">
        <v>0</v>
      </c>
      <c r="AE356">
        <v>0</v>
      </c>
      <c r="AF356" t="b">
        <v>0</v>
      </c>
    </row>
    <row r="357" spans="1:35" x14ac:dyDescent="0.3">
      <c r="A357" t="s">
        <v>834</v>
      </c>
      <c r="B357" t="s">
        <v>835</v>
      </c>
      <c r="C357" t="s">
        <v>428</v>
      </c>
      <c r="D357">
        <v>3563</v>
      </c>
      <c r="E357">
        <v>89815</v>
      </c>
      <c r="F357">
        <v>7</v>
      </c>
      <c r="G357">
        <v>60</v>
      </c>
      <c r="H357">
        <v>60</v>
      </c>
      <c r="I357">
        <v>1</v>
      </c>
      <c r="J357">
        <v>1</v>
      </c>
      <c r="K357" t="s">
        <v>86</v>
      </c>
      <c r="P357">
        <v>0</v>
      </c>
      <c r="R357">
        <v>0</v>
      </c>
      <c r="T357">
        <v>0</v>
      </c>
      <c r="U357" t="b">
        <v>0</v>
      </c>
      <c r="V357">
        <v>3.8554197994987458</v>
      </c>
      <c r="Y357">
        <v>0</v>
      </c>
      <c r="Z357">
        <v>2191</v>
      </c>
      <c r="AA357">
        <v>-3.3147905654109999E-3</v>
      </c>
      <c r="AB357">
        <v>-0.30884623960505742</v>
      </c>
      <c r="AC357">
        <v>-2.0470296651010501E-2</v>
      </c>
      <c r="AD357">
        <v>1.7006919817431999E-2</v>
      </c>
      <c r="AE357">
        <v>0</v>
      </c>
      <c r="AF357" t="b">
        <v>0</v>
      </c>
    </row>
    <row r="358" spans="1:35" x14ac:dyDescent="0.3">
      <c r="A358" t="s">
        <v>836</v>
      </c>
      <c r="B358" t="s">
        <v>837</v>
      </c>
      <c r="C358" t="s">
        <v>444</v>
      </c>
      <c r="D358">
        <v>662</v>
      </c>
      <c r="E358">
        <v>24720</v>
      </c>
      <c r="F358">
        <v>801</v>
      </c>
      <c r="G358">
        <v>88</v>
      </c>
      <c r="H358">
        <v>1</v>
      </c>
      <c r="I358">
        <v>1.6181229773462699E-2</v>
      </c>
      <c r="J358">
        <v>1.8479927653049101E-2</v>
      </c>
      <c r="K358" t="s">
        <v>432</v>
      </c>
      <c r="L358">
        <v>0.99995377005223984</v>
      </c>
      <c r="M358">
        <v>0</v>
      </c>
      <c r="N358">
        <v>1.8030513176144201E-2</v>
      </c>
      <c r="O358" t="s">
        <v>518</v>
      </c>
      <c r="P358">
        <v>0</v>
      </c>
      <c r="R358">
        <v>0</v>
      </c>
      <c r="T358">
        <v>0</v>
      </c>
      <c r="U358" t="b">
        <v>0</v>
      </c>
      <c r="Y358">
        <v>0</v>
      </c>
      <c r="Z358">
        <v>0</v>
      </c>
      <c r="AE358">
        <v>0</v>
      </c>
      <c r="AF358" t="b">
        <v>0</v>
      </c>
    </row>
    <row r="359" spans="1:35" x14ac:dyDescent="0.3">
      <c r="A359" t="s">
        <v>838</v>
      </c>
      <c r="B359" t="s">
        <v>839</v>
      </c>
      <c r="C359" t="s">
        <v>431</v>
      </c>
      <c r="D359">
        <v>254</v>
      </c>
      <c r="E359">
        <v>5296</v>
      </c>
      <c r="F359">
        <v>9</v>
      </c>
      <c r="G359">
        <v>60</v>
      </c>
      <c r="H359">
        <v>60</v>
      </c>
      <c r="I359">
        <v>1</v>
      </c>
      <c r="J359">
        <v>1</v>
      </c>
      <c r="K359" t="s">
        <v>86</v>
      </c>
      <c r="P359">
        <v>0</v>
      </c>
      <c r="R359">
        <v>0</v>
      </c>
      <c r="T359">
        <v>0</v>
      </c>
      <c r="U359" t="b">
        <v>0</v>
      </c>
      <c r="Y359">
        <v>5.1127819548872E-3</v>
      </c>
      <c r="Z359">
        <v>458</v>
      </c>
      <c r="AA359">
        <v>0</v>
      </c>
      <c r="AB359">
        <v>0</v>
      </c>
      <c r="AE359">
        <v>0</v>
      </c>
      <c r="AF359" t="b">
        <v>0</v>
      </c>
    </row>
    <row r="360" spans="1:35" x14ac:dyDescent="0.3">
      <c r="A360" t="s">
        <v>840</v>
      </c>
      <c r="B360" t="s">
        <v>841</v>
      </c>
      <c r="C360" t="s">
        <v>573</v>
      </c>
      <c r="D360">
        <v>64</v>
      </c>
      <c r="E360">
        <v>206</v>
      </c>
      <c r="F360">
        <v>5</v>
      </c>
      <c r="G360">
        <v>119</v>
      </c>
      <c r="H360">
        <v>60</v>
      </c>
      <c r="I360">
        <v>0</v>
      </c>
      <c r="J360">
        <v>7.0921985815602002E-3</v>
      </c>
      <c r="K360" t="s">
        <v>86</v>
      </c>
      <c r="P360">
        <v>0</v>
      </c>
      <c r="R360">
        <v>0</v>
      </c>
      <c r="T360">
        <v>0</v>
      </c>
      <c r="U360" t="b">
        <v>0</v>
      </c>
      <c r="Y360">
        <v>0.54071661237785018</v>
      </c>
      <c r="Z360">
        <v>2</v>
      </c>
      <c r="AA360">
        <v>1.4333492594362099E-2</v>
      </c>
      <c r="AB360">
        <v>4.2857142857142776</v>
      </c>
      <c r="AC360">
        <v>2.0066889632107E-2</v>
      </c>
      <c r="AE360">
        <v>0</v>
      </c>
      <c r="AF360" t="b">
        <v>0</v>
      </c>
    </row>
    <row r="361" spans="1:35" x14ac:dyDescent="0.3">
      <c r="A361" t="s">
        <v>842</v>
      </c>
      <c r="B361" t="s">
        <v>843</v>
      </c>
      <c r="C361" t="s">
        <v>844</v>
      </c>
      <c r="D361">
        <v>151</v>
      </c>
      <c r="E361">
        <v>7197</v>
      </c>
      <c r="F361">
        <v>225</v>
      </c>
      <c r="G361">
        <v>21</v>
      </c>
      <c r="H361">
        <v>1</v>
      </c>
      <c r="I361">
        <v>6.6694456023343E-3</v>
      </c>
      <c r="J361">
        <v>3.6563816773141203E-2</v>
      </c>
      <c r="K361" t="s">
        <v>86</v>
      </c>
      <c r="P361">
        <v>0</v>
      </c>
      <c r="R361">
        <v>0</v>
      </c>
      <c r="T361">
        <v>0</v>
      </c>
      <c r="U361" t="b">
        <v>0</v>
      </c>
      <c r="Y361">
        <v>0</v>
      </c>
      <c r="Z361">
        <v>0</v>
      </c>
      <c r="AE361">
        <v>0</v>
      </c>
      <c r="AF361" t="b">
        <v>0</v>
      </c>
    </row>
    <row r="362" spans="1:35" x14ac:dyDescent="0.3">
      <c r="A362" t="s">
        <v>845</v>
      </c>
      <c r="B362" t="s">
        <v>846</v>
      </c>
      <c r="C362" t="s">
        <v>847</v>
      </c>
      <c r="D362">
        <v>888</v>
      </c>
      <c r="E362">
        <v>13723</v>
      </c>
      <c r="F362">
        <v>23</v>
      </c>
      <c r="G362">
        <v>60</v>
      </c>
      <c r="H362">
        <v>60</v>
      </c>
      <c r="I362">
        <v>1</v>
      </c>
      <c r="J362">
        <v>1</v>
      </c>
      <c r="K362" t="s">
        <v>86</v>
      </c>
      <c r="P362">
        <v>0</v>
      </c>
      <c r="R362">
        <v>0</v>
      </c>
      <c r="T362">
        <v>0</v>
      </c>
      <c r="U362" t="b">
        <v>0</v>
      </c>
      <c r="V362">
        <v>24.36209335219236</v>
      </c>
      <c r="Y362">
        <v>0</v>
      </c>
      <c r="Z362">
        <v>300</v>
      </c>
      <c r="AA362">
        <v>-3.24017520893779E-2</v>
      </c>
      <c r="AB362">
        <v>-3.8190065051907149</v>
      </c>
      <c r="AC362">
        <v>-8.6517936948308893E-2</v>
      </c>
      <c r="AD362">
        <v>-2.4157629620145501E-2</v>
      </c>
      <c r="AE362">
        <v>0</v>
      </c>
      <c r="AF362" t="b">
        <v>0</v>
      </c>
    </row>
    <row r="363" spans="1:35" x14ac:dyDescent="0.3">
      <c r="A363" t="s">
        <v>848</v>
      </c>
      <c r="B363" t="s">
        <v>849</v>
      </c>
      <c r="C363" t="s">
        <v>847</v>
      </c>
      <c r="D363">
        <v>387</v>
      </c>
      <c r="E363">
        <v>18419</v>
      </c>
      <c r="F363">
        <v>20</v>
      </c>
      <c r="G363">
        <v>60</v>
      </c>
      <c r="H363">
        <v>60</v>
      </c>
      <c r="I363">
        <v>1</v>
      </c>
      <c r="J363">
        <v>1</v>
      </c>
      <c r="K363" t="s">
        <v>86</v>
      </c>
      <c r="P363">
        <v>0</v>
      </c>
      <c r="R363">
        <v>0</v>
      </c>
      <c r="T363">
        <v>0</v>
      </c>
      <c r="U363" t="b">
        <v>0</v>
      </c>
      <c r="V363">
        <v>15.310952380952379</v>
      </c>
      <c r="Y363">
        <v>0</v>
      </c>
      <c r="Z363">
        <v>266</v>
      </c>
      <c r="AA363">
        <v>-1.19349118707179E-2</v>
      </c>
      <c r="AB363">
        <v>-1.1095878592588571</v>
      </c>
      <c r="AC363">
        <v>-7.3774296489701199E-2</v>
      </c>
      <c r="AD363">
        <v>0</v>
      </c>
      <c r="AE363">
        <v>0</v>
      </c>
      <c r="AF363" t="b">
        <v>0</v>
      </c>
    </row>
    <row r="364" spans="1:35" x14ac:dyDescent="0.3">
      <c r="A364" t="s">
        <v>850</v>
      </c>
      <c r="B364" t="s">
        <v>851</v>
      </c>
      <c r="C364" t="s">
        <v>847</v>
      </c>
      <c r="D364">
        <v>286</v>
      </c>
      <c r="E364">
        <v>3497</v>
      </c>
      <c r="F364">
        <v>44</v>
      </c>
      <c r="G364">
        <v>180</v>
      </c>
      <c r="H364">
        <v>60</v>
      </c>
      <c r="I364">
        <v>1</v>
      </c>
      <c r="J364">
        <v>1</v>
      </c>
      <c r="K364" t="s">
        <v>86</v>
      </c>
      <c r="P364">
        <v>0</v>
      </c>
      <c r="R364">
        <v>0</v>
      </c>
      <c r="T364">
        <v>0</v>
      </c>
      <c r="U364" t="b">
        <v>0</v>
      </c>
      <c r="V364">
        <v>39.777777777777779</v>
      </c>
      <c r="Y364">
        <v>0</v>
      </c>
      <c r="Z364">
        <v>111</v>
      </c>
      <c r="AA364">
        <v>5.9969496285061999E-3</v>
      </c>
      <c r="AB364">
        <v>2.6769626769626762</v>
      </c>
      <c r="AC364">
        <v>1.36696501220504E-2</v>
      </c>
      <c r="AD364">
        <v>4.4758452319301001E-3</v>
      </c>
      <c r="AE364">
        <v>0</v>
      </c>
      <c r="AF364" t="b">
        <v>0</v>
      </c>
    </row>
    <row r="365" spans="1:35" x14ac:dyDescent="0.3">
      <c r="A365" t="s">
        <v>852</v>
      </c>
      <c r="B365" t="s">
        <v>853</v>
      </c>
      <c r="C365" t="s">
        <v>847</v>
      </c>
      <c r="D365">
        <v>2244</v>
      </c>
      <c r="E365">
        <v>45735</v>
      </c>
      <c r="F365">
        <v>27</v>
      </c>
      <c r="G365">
        <v>60</v>
      </c>
      <c r="H365">
        <v>60</v>
      </c>
      <c r="I365">
        <v>1</v>
      </c>
      <c r="J365">
        <v>1</v>
      </c>
      <c r="K365" t="s">
        <v>86</v>
      </c>
      <c r="P365">
        <v>0</v>
      </c>
      <c r="R365">
        <v>0</v>
      </c>
      <c r="T365">
        <v>0</v>
      </c>
      <c r="U365" t="b">
        <v>0</v>
      </c>
      <c r="V365">
        <v>8.4386222957651533</v>
      </c>
      <c r="Y365">
        <v>0</v>
      </c>
      <c r="Z365">
        <v>1408</v>
      </c>
      <c r="AA365">
        <v>4.9054665807720298E-2</v>
      </c>
      <c r="AB365">
        <v>4.2738505575863526</v>
      </c>
      <c r="AC365">
        <v>5.92039054100311E-2</v>
      </c>
      <c r="AD365">
        <v>4.7943210171119098E-2</v>
      </c>
      <c r="AE365">
        <v>0</v>
      </c>
      <c r="AF365" t="b">
        <v>0</v>
      </c>
    </row>
    <row r="366" spans="1:35" x14ac:dyDescent="0.3">
      <c r="A366" t="s">
        <v>854</v>
      </c>
      <c r="B366" t="s">
        <v>855</v>
      </c>
      <c r="C366" t="s">
        <v>462</v>
      </c>
      <c r="D366">
        <v>2116</v>
      </c>
      <c r="E366">
        <v>62284</v>
      </c>
      <c r="F366">
        <v>91</v>
      </c>
      <c r="G366">
        <v>69</v>
      </c>
      <c r="H366">
        <v>1</v>
      </c>
      <c r="I366">
        <v>2.0486802389056501E-2</v>
      </c>
      <c r="J366">
        <v>0.1440683229813664</v>
      </c>
      <c r="K366" t="s">
        <v>86</v>
      </c>
      <c r="P366">
        <v>0</v>
      </c>
      <c r="R366">
        <v>0</v>
      </c>
      <c r="T366">
        <v>0</v>
      </c>
      <c r="U366" t="b">
        <v>0</v>
      </c>
      <c r="V366">
        <v>2.5618779178338</v>
      </c>
      <c r="Y366">
        <v>0</v>
      </c>
      <c r="Z366">
        <v>2104</v>
      </c>
      <c r="AA366">
        <v>-1.3491947828788999E-3</v>
      </c>
      <c r="AB366">
        <v>-9.1418267648067694E-2</v>
      </c>
      <c r="AC366">
        <v>-1.3998183280771299E-2</v>
      </c>
      <c r="AD366">
        <v>4.5560737854729002E-3</v>
      </c>
      <c r="AE366">
        <v>0</v>
      </c>
      <c r="AF366" t="b">
        <v>0</v>
      </c>
    </row>
    <row r="367" spans="1:35" x14ac:dyDescent="0.3">
      <c r="A367" t="s">
        <v>856</v>
      </c>
      <c r="B367" t="s">
        <v>857</v>
      </c>
      <c r="C367" t="s">
        <v>537</v>
      </c>
      <c r="D367">
        <v>3807</v>
      </c>
      <c r="E367">
        <v>162572</v>
      </c>
      <c r="F367">
        <v>329</v>
      </c>
      <c r="G367">
        <v>60</v>
      </c>
      <c r="H367">
        <v>1</v>
      </c>
      <c r="I367">
        <v>0.11249784710774299</v>
      </c>
      <c r="J367">
        <v>0.33511646962425379</v>
      </c>
      <c r="K367" t="s">
        <v>86</v>
      </c>
      <c r="P367">
        <v>0</v>
      </c>
      <c r="R367">
        <v>0</v>
      </c>
      <c r="T367">
        <v>0</v>
      </c>
      <c r="U367" t="b">
        <v>0</v>
      </c>
      <c r="V367">
        <v>11.590944432489049</v>
      </c>
      <c r="Y367">
        <v>0</v>
      </c>
      <c r="Z367">
        <v>3160</v>
      </c>
      <c r="AA367">
        <v>6.2884204255897802E-2</v>
      </c>
      <c r="AB367">
        <v>4.9787575561104713</v>
      </c>
      <c r="AC367">
        <v>2.89909582193737E-2</v>
      </c>
      <c r="AD367">
        <v>9.9285587618719001E-2</v>
      </c>
      <c r="AE367">
        <v>0</v>
      </c>
      <c r="AF367" t="b">
        <v>0</v>
      </c>
    </row>
    <row r="368" spans="1:35" x14ac:dyDescent="0.3">
      <c r="A368" t="s">
        <v>858</v>
      </c>
      <c r="B368" t="s">
        <v>859</v>
      </c>
      <c r="C368" t="s">
        <v>537</v>
      </c>
      <c r="D368">
        <v>474</v>
      </c>
      <c r="E368">
        <v>17626</v>
      </c>
      <c r="F368">
        <v>14</v>
      </c>
      <c r="G368">
        <v>60</v>
      </c>
      <c r="H368">
        <v>60</v>
      </c>
      <c r="I368">
        <v>1</v>
      </c>
      <c r="J368">
        <v>1</v>
      </c>
      <c r="K368" t="s">
        <v>86</v>
      </c>
      <c r="P368">
        <v>0</v>
      </c>
      <c r="R368">
        <v>0</v>
      </c>
      <c r="T368">
        <v>0</v>
      </c>
      <c r="U368" t="b">
        <v>0</v>
      </c>
      <c r="V368">
        <v>2.3095238095238089</v>
      </c>
      <c r="Y368">
        <v>0</v>
      </c>
      <c r="Z368">
        <v>659</v>
      </c>
      <c r="AA368">
        <v>-2.2213922035030001E-4</v>
      </c>
      <c r="AB368">
        <v>-2.4495989594623801E-2</v>
      </c>
      <c r="AC368">
        <v>-2.5596679349705002E-3</v>
      </c>
      <c r="AD368">
        <v>-2.2774327122153E-3</v>
      </c>
      <c r="AE368">
        <v>0</v>
      </c>
      <c r="AF368" t="b">
        <v>0</v>
      </c>
    </row>
    <row r="369" spans="1:35" x14ac:dyDescent="0.3">
      <c r="A369" t="s">
        <v>860</v>
      </c>
      <c r="B369" t="s">
        <v>861</v>
      </c>
      <c r="C369" t="s">
        <v>431</v>
      </c>
      <c r="D369">
        <v>664</v>
      </c>
      <c r="E369">
        <v>28452</v>
      </c>
      <c r="F369">
        <v>151</v>
      </c>
      <c r="G369">
        <v>48</v>
      </c>
      <c r="H369">
        <v>1</v>
      </c>
      <c r="I369">
        <v>1.6554196541543598E-2</v>
      </c>
      <c r="J369">
        <v>0.15372990795438929</v>
      </c>
      <c r="K369" t="s">
        <v>432</v>
      </c>
      <c r="L369">
        <v>0.85708888583596643</v>
      </c>
      <c r="M369">
        <v>1</v>
      </c>
      <c r="N369">
        <v>1.2622720897615699E-2</v>
      </c>
      <c r="O369" t="s">
        <v>433</v>
      </c>
      <c r="P369">
        <v>20249</v>
      </c>
      <c r="Q369">
        <v>0.37231468220652869</v>
      </c>
      <c r="R369">
        <v>0</v>
      </c>
      <c r="T369">
        <v>0</v>
      </c>
      <c r="U369" t="b">
        <v>0</v>
      </c>
      <c r="V369">
        <v>3.2780650175723172</v>
      </c>
      <c r="Y369">
        <v>0</v>
      </c>
      <c r="Z369">
        <v>964</v>
      </c>
      <c r="AA369">
        <v>1.3241733660282E-2</v>
      </c>
      <c r="AB369">
        <v>0.70911634190328965</v>
      </c>
      <c r="AC369">
        <v>-5.2683815629479998E-4</v>
      </c>
      <c r="AD369">
        <v>2.5639326082959501E-2</v>
      </c>
      <c r="AE369">
        <v>0</v>
      </c>
      <c r="AF369" t="b">
        <v>0</v>
      </c>
    </row>
    <row r="370" spans="1:35" x14ac:dyDescent="0.3">
      <c r="A370" t="s">
        <v>862</v>
      </c>
      <c r="B370" t="s">
        <v>863</v>
      </c>
      <c r="C370" t="s">
        <v>537</v>
      </c>
      <c r="D370">
        <v>896</v>
      </c>
      <c r="E370">
        <v>41052</v>
      </c>
      <c r="F370">
        <v>9</v>
      </c>
      <c r="G370">
        <v>60</v>
      </c>
      <c r="H370">
        <v>60</v>
      </c>
      <c r="I370">
        <v>1</v>
      </c>
      <c r="J370">
        <v>1</v>
      </c>
      <c r="K370" t="s">
        <v>86</v>
      </c>
      <c r="P370">
        <v>0</v>
      </c>
      <c r="R370">
        <v>0</v>
      </c>
      <c r="T370">
        <v>1</v>
      </c>
      <c r="U370" t="b">
        <v>1</v>
      </c>
      <c r="V370">
        <v>1.661914926055801</v>
      </c>
      <c r="W370">
        <v>15.33834586466166</v>
      </c>
      <c r="X370" t="b">
        <v>0</v>
      </c>
      <c r="Y370">
        <v>0</v>
      </c>
      <c r="Z370">
        <v>1291</v>
      </c>
      <c r="AA370">
        <v>6.7502965046404E-3</v>
      </c>
      <c r="AB370">
        <v>0.52360549339635332</v>
      </c>
      <c r="AC370">
        <v>2.1271649424619002E-3</v>
      </c>
      <c r="AD370">
        <v>1.36324737562756E-2</v>
      </c>
      <c r="AE370">
        <v>1</v>
      </c>
      <c r="AF370" t="b">
        <v>1</v>
      </c>
      <c r="AG370">
        <v>-3.4961334961334897E-2</v>
      </c>
      <c r="AH370">
        <v>-3.7675438596491229</v>
      </c>
      <c r="AI370" t="b">
        <v>1</v>
      </c>
    </row>
    <row r="371" spans="1:35" x14ac:dyDescent="0.3">
      <c r="A371" t="s">
        <v>864</v>
      </c>
      <c r="B371" t="s">
        <v>865</v>
      </c>
      <c r="C371" t="s">
        <v>537</v>
      </c>
      <c r="D371">
        <v>2256</v>
      </c>
      <c r="E371">
        <v>70054</v>
      </c>
      <c r="F371">
        <v>15</v>
      </c>
      <c r="G371">
        <v>60</v>
      </c>
      <c r="H371">
        <v>60</v>
      </c>
      <c r="I371">
        <v>1</v>
      </c>
      <c r="J371">
        <v>1</v>
      </c>
      <c r="K371" t="s">
        <v>86</v>
      </c>
      <c r="P371">
        <v>0</v>
      </c>
      <c r="R371">
        <v>0</v>
      </c>
      <c r="T371">
        <v>0</v>
      </c>
      <c r="U371" t="b">
        <v>0</v>
      </c>
      <c r="V371">
        <v>16.178941047246582</v>
      </c>
      <c r="Y371">
        <v>0</v>
      </c>
      <c r="Z371">
        <v>1901</v>
      </c>
      <c r="AA371">
        <v>5.9710817093608301E-2</v>
      </c>
      <c r="AB371">
        <v>5.6961346434110487</v>
      </c>
      <c r="AC371">
        <v>2.1605969086532801E-2</v>
      </c>
      <c r="AD371">
        <v>9.0885975739565306E-2</v>
      </c>
      <c r="AE371">
        <v>0</v>
      </c>
      <c r="AF371" t="b">
        <v>0</v>
      </c>
    </row>
    <row r="372" spans="1:35" x14ac:dyDescent="0.3">
      <c r="A372" t="s">
        <v>866</v>
      </c>
      <c r="B372" t="s">
        <v>867</v>
      </c>
      <c r="C372" t="s">
        <v>537</v>
      </c>
      <c r="D372">
        <v>1403</v>
      </c>
      <c r="E372">
        <v>44236</v>
      </c>
      <c r="F372">
        <v>96</v>
      </c>
      <c r="G372">
        <v>60</v>
      </c>
      <c r="H372">
        <v>1</v>
      </c>
      <c r="I372">
        <v>0.99701600506374899</v>
      </c>
      <c r="J372">
        <v>0.99817019008704921</v>
      </c>
      <c r="K372" t="s">
        <v>86</v>
      </c>
      <c r="P372">
        <v>0</v>
      </c>
      <c r="R372">
        <v>0</v>
      </c>
      <c r="T372">
        <v>0</v>
      </c>
      <c r="U372" t="b">
        <v>0</v>
      </c>
      <c r="V372">
        <v>13.3297827903091</v>
      </c>
      <c r="Y372">
        <v>0</v>
      </c>
      <c r="Z372">
        <v>1646</v>
      </c>
      <c r="AA372">
        <v>7.4286221639036198E-2</v>
      </c>
      <c r="AB372">
        <v>7.1359105657404571</v>
      </c>
      <c r="AC372">
        <v>0.1056093294460641</v>
      </c>
      <c r="AD372">
        <v>6.2355438479834199E-2</v>
      </c>
      <c r="AE372">
        <v>0</v>
      </c>
      <c r="AF372" t="b">
        <v>0</v>
      </c>
    </row>
    <row r="373" spans="1:35" x14ac:dyDescent="0.3">
      <c r="A373" t="s">
        <v>868</v>
      </c>
      <c r="B373" t="s">
        <v>869</v>
      </c>
      <c r="C373" t="s">
        <v>537</v>
      </c>
      <c r="D373">
        <v>1107</v>
      </c>
      <c r="E373">
        <v>38831</v>
      </c>
      <c r="F373">
        <v>22</v>
      </c>
      <c r="G373">
        <v>60</v>
      </c>
      <c r="H373">
        <v>60</v>
      </c>
      <c r="I373">
        <v>1</v>
      </c>
      <c r="J373">
        <v>1</v>
      </c>
      <c r="K373" t="s">
        <v>86</v>
      </c>
      <c r="P373">
        <v>0</v>
      </c>
      <c r="R373">
        <v>0</v>
      </c>
      <c r="T373">
        <v>0</v>
      </c>
      <c r="U373" t="b">
        <v>0</v>
      </c>
      <c r="V373">
        <v>14.40042826552463</v>
      </c>
      <c r="Y373">
        <v>0</v>
      </c>
      <c r="Z373">
        <v>1326</v>
      </c>
      <c r="AA373">
        <v>4.7752715596074101E-2</v>
      </c>
      <c r="AB373">
        <v>4.2669846493375907</v>
      </c>
      <c r="AC373">
        <v>4.0266085313320203E-2</v>
      </c>
      <c r="AD373">
        <v>8.5924034084601406E-2</v>
      </c>
      <c r="AE373">
        <v>0</v>
      </c>
      <c r="AF373" t="b">
        <v>0</v>
      </c>
    </row>
    <row r="374" spans="1:35" x14ac:dyDescent="0.3">
      <c r="A374" t="s">
        <v>870</v>
      </c>
      <c r="B374" t="s">
        <v>871</v>
      </c>
      <c r="C374" t="s">
        <v>537</v>
      </c>
      <c r="D374">
        <v>2140</v>
      </c>
      <c r="E374">
        <v>64804</v>
      </c>
      <c r="F374">
        <v>197</v>
      </c>
      <c r="G374">
        <v>60</v>
      </c>
      <c r="H374">
        <v>1</v>
      </c>
      <c r="I374">
        <v>0.93515832356027395</v>
      </c>
      <c r="J374">
        <v>0.96410361742744599</v>
      </c>
      <c r="K374" t="s">
        <v>86</v>
      </c>
      <c r="P374">
        <v>0</v>
      </c>
      <c r="R374">
        <v>0</v>
      </c>
      <c r="T374">
        <v>0</v>
      </c>
      <c r="U374" t="b">
        <v>0</v>
      </c>
      <c r="V374">
        <v>4.9078014184397167</v>
      </c>
      <c r="Y374">
        <v>0</v>
      </c>
      <c r="Z374">
        <v>2211</v>
      </c>
      <c r="AA374">
        <v>8.3996121045408567E-6</v>
      </c>
      <c r="AB374">
        <v>8.3897709406520005E-4</v>
      </c>
      <c r="AC374">
        <v>-2.07037386113729E-2</v>
      </c>
      <c r="AD374">
        <v>1.9982961161893999E-2</v>
      </c>
      <c r="AE374">
        <v>0</v>
      </c>
      <c r="AF374" t="b">
        <v>0</v>
      </c>
    </row>
    <row r="375" spans="1:35" x14ac:dyDescent="0.3">
      <c r="A375" t="s">
        <v>872</v>
      </c>
      <c r="B375" t="s">
        <v>873</v>
      </c>
      <c r="C375" t="s">
        <v>537</v>
      </c>
      <c r="D375">
        <v>5501</v>
      </c>
      <c r="E375">
        <v>199364</v>
      </c>
      <c r="F375">
        <v>23</v>
      </c>
      <c r="G375">
        <v>60</v>
      </c>
      <c r="H375">
        <v>60</v>
      </c>
      <c r="I375">
        <v>1</v>
      </c>
      <c r="J375">
        <v>1</v>
      </c>
      <c r="K375" t="s">
        <v>86</v>
      </c>
      <c r="P375">
        <v>0</v>
      </c>
      <c r="R375">
        <v>0</v>
      </c>
      <c r="T375">
        <v>0</v>
      </c>
      <c r="U375" t="b">
        <v>0</v>
      </c>
      <c r="V375">
        <v>8.2924210935868956</v>
      </c>
      <c r="Y375">
        <v>0</v>
      </c>
      <c r="Z375">
        <v>6571</v>
      </c>
      <c r="AA375">
        <v>4.0041066828869598E-2</v>
      </c>
      <c r="AB375">
        <v>3.350648239919253</v>
      </c>
      <c r="AC375">
        <v>3.7651204912243601E-2</v>
      </c>
      <c r="AD375">
        <v>4.1820998128100299E-2</v>
      </c>
      <c r="AE375">
        <v>0</v>
      </c>
      <c r="AF375" t="b">
        <v>0</v>
      </c>
    </row>
    <row r="376" spans="1:35" x14ac:dyDescent="0.3">
      <c r="A376" t="s">
        <v>874</v>
      </c>
      <c r="B376" t="s">
        <v>875</v>
      </c>
      <c r="C376" t="s">
        <v>537</v>
      </c>
      <c r="D376">
        <v>985</v>
      </c>
      <c r="E376">
        <v>28387</v>
      </c>
      <c r="F376">
        <v>14</v>
      </c>
      <c r="G376">
        <v>60</v>
      </c>
      <c r="H376">
        <v>60</v>
      </c>
      <c r="I376">
        <v>1</v>
      </c>
      <c r="J376">
        <v>1</v>
      </c>
      <c r="K376" t="s">
        <v>86</v>
      </c>
      <c r="P376">
        <v>0</v>
      </c>
      <c r="R376">
        <v>0</v>
      </c>
      <c r="T376">
        <v>0</v>
      </c>
      <c r="U376" t="b">
        <v>0</v>
      </c>
      <c r="V376">
        <v>5.3571428571428568</v>
      </c>
      <c r="Y376">
        <v>0</v>
      </c>
      <c r="Z376">
        <v>714</v>
      </c>
      <c r="AA376">
        <v>2.27702905061395E-2</v>
      </c>
      <c r="AB376">
        <v>2.0282779778578099</v>
      </c>
      <c r="AC376">
        <v>2.9940923737916202E-2</v>
      </c>
      <c r="AD376">
        <v>2.08966565349544E-2</v>
      </c>
      <c r="AE376">
        <v>0</v>
      </c>
      <c r="AF376" t="b">
        <v>0</v>
      </c>
    </row>
    <row r="377" spans="1:35" x14ac:dyDescent="0.3">
      <c r="A377" t="s">
        <v>876</v>
      </c>
      <c r="B377" t="s">
        <v>877</v>
      </c>
      <c r="C377" t="s">
        <v>537</v>
      </c>
      <c r="D377">
        <v>4916</v>
      </c>
      <c r="E377">
        <v>170297</v>
      </c>
      <c r="F377">
        <v>33</v>
      </c>
      <c r="G377">
        <v>60</v>
      </c>
      <c r="H377">
        <v>60</v>
      </c>
      <c r="I377">
        <v>1</v>
      </c>
      <c r="J377">
        <v>1</v>
      </c>
      <c r="K377" t="s">
        <v>86</v>
      </c>
      <c r="P377">
        <v>0</v>
      </c>
      <c r="R377">
        <v>0</v>
      </c>
      <c r="T377">
        <v>0</v>
      </c>
      <c r="U377" t="b">
        <v>0</v>
      </c>
      <c r="V377">
        <v>14.25123643022784</v>
      </c>
      <c r="Y377">
        <v>0</v>
      </c>
      <c r="Z377">
        <v>5180</v>
      </c>
      <c r="AA377">
        <v>-6.9162967671069003E-3</v>
      </c>
      <c r="AB377">
        <v>-0.65935029513250687</v>
      </c>
      <c r="AC377">
        <v>-7.5573751150181598E-2</v>
      </c>
      <c r="AD377">
        <v>2.9011430014474399E-2</v>
      </c>
      <c r="AE377">
        <v>0</v>
      </c>
      <c r="AF377" t="b">
        <v>0</v>
      </c>
    </row>
    <row r="378" spans="1:35" x14ac:dyDescent="0.3">
      <c r="A378" t="s">
        <v>878</v>
      </c>
      <c r="B378" t="s">
        <v>879</v>
      </c>
      <c r="C378" t="s">
        <v>537</v>
      </c>
      <c r="D378">
        <v>576</v>
      </c>
      <c r="E378">
        <v>12736</v>
      </c>
      <c r="F378">
        <v>25</v>
      </c>
      <c r="G378">
        <v>60</v>
      </c>
      <c r="H378">
        <v>60</v>
      </c>
      <c r="I378">
        <v>1</v>
      </c>
      <c r="J378">
        <v>1</v>
      </c>
      <c r="K378" t="s">
        <v>86</v>
      </c>
      <c r="P378">
        <v>0</v>
      </c>
      <c r="R378">
        <v>0</v>
      </c>
      <c r="T378">
        <v>0</v>
      </c>
      <c r="U378" t="b">
        <v>0</v>
      </c>
      <c r="V378">
        <v>21.522388059701491</v>
      </c>
      <c r="Y378">
        <v>0</v>
      </c>
      <c r="Z378">
        <v>522</v>
      </c>
      <c r="AA378">
        <v>4.7611738478967901E-2</v>
      </c>
      <c r="AB378">
        <v>5.3481116584564861</v>
      </c>
      <c r="AC378">
        <v>0.1014925373134328</v>
      </c>
      <c r="AD378">
        <v>4.3159922928709002E-2</v>
      </c>
      <c r="AE378">
        <v>0</v>
      </c>
      <c r="AF378" t="b">
        <v>0</v>
      </c>
    </row>
    <row r="379" spans="1:35" x14ac:dyDescent="0.3">
      <c r="A379" t="s">
        <v>880</v>
      </c>
      <c r="B379" t="s">
        <v>881</v>
      </c>
      <c r="C379" t="s">
        <v>537</v>
      </c>
      <c r="D379">
        <v>2803</v>
      </c>
      <c r="E379">
        <v>85534</v>
      </c>
      <c r="F379">
        <v>32</v>
      </c>
      <c r="G379">
        <v>60</v>
      </c>
      <c r="H379">
        <v>60</v>
      </c>
      <c r="I379">
        <v>1</v>
      </c>
      <c r="J379">
        <v>1</v>
      </c>
      <c r="K379" t="s">
        <v>86</v>
      </c>
      <c r="P379">
        <v>0</v>
      </c>
      <c r="R379">
        <v>0</v>
      </c>
      <c r="T379">
        <v>0</v>
      </c>
      <c r="U379" t="b">
        <v>0</v>
      </c>
      <c r="V379">
        <v>5.1785750588411341</v>
      </c>
      <c r="Y379">
        <v>0</v>
      </c>
      <c r="Z379">
        <v>2232</v>
      </c>
      <c r="AA379">
        <v>1.67433566733605E-2</v>
      </c>
      <c r="AB379">
        <v>1.374406788217486</v>
      </c>
      <c r="AC379">
        <v>7.4856684329766996E-3</v>
      </c>
      <c r="AD379">
        <v>2.36319073476517E-2</v>
      </c>
      <c r="AE379">
        <v>0</v>
      </c>
      <c r="AF379" t="b">
        <v>0</v>
      </c>
    </row>
    <row r="380" spans="1:35" x14ac:dyDescent="0.3">
      <c r="A380" t="s">
        <v>882</v>
      </c>
      <c r="B380" t="s">
        <v>883</v>
      </c>
      <c r="C380" t="s">
        <v>537</v>
      </c>
      <c r="D380">
        <v>2194</v>
      </c>
      <c r="E380">
        <v>77215</v>
      </c>
      <c r="F380">
        <v>12</v>
      </c>
      <c r="G380">
        <v>60</v>
      </c>
      <c r="H380">
        <v>60</v>
      </c>
      <c r="I380">
        <v>1</v>
      </c>
      <c r="J380">
        <v>1</v>
      </c>
      <c r="K380" t="s">
        <v>86</v>
      </c>
      <c r="P380">
        <v>0</v>
      </c>
      <c r="R380">
        <v>0</v>
      </c>
      <c r="T380">
        <v>0</v>
      </c>
      <c r="U380" t="b">
        <v>0</v>
      </c>
      <c r="V380">
        <v>11.64562983312983</v>
      </c>
      <c r="Y380">
        <v>0</v>
      </c>
      <c r="Z380">
        <v>2198</v>
      </c>
      <c r="AA380">
        <v>7.7157254515547793E-2</v>
      </c>
      <c r="AB380">
        <v>6.597916454910826</v>
      </c>
      <c r="AC380">
        <v>7.8892707197280698E-2</v>
      </c>
      <c r="AD380">
        <v>7.3283104460407505E-2</v>
      </c>
      <c r="AE380">
        <v>0</v>
      </c>
      <c r="AF380" t="b">
        <v>0</v>
      </c>
    </row>
    <row r="381" spans="1:35" x14ac:dyDescent="0.3">
      <c r="A381" t="s">
        <v>884</v>
      </c>
      <c r="B381" t="s">
        <v>885</v>
      </c>
      <c r="C381" t="s">
        <v>537</v>
      </c>
      <c r="D381">
        <v>2564</v>
      </c>
      <c r="E381">
        <v>110800</v>
      </c>
      <c r="F381">
        <v>17</v>
      </c>
      <c r="G381">
        <v>60</v>
      </c>
      <c r="H381">
        <v>60</v>
      </c>
      <c r="I381">
        <v>1</v>
      </c>
      <c r="J381">
        <v>1</v>
      </c>
      <c r="K381" t="s">
        <v>86</v>
      </c>
      <c r="P381">
        <v>0</v>
      </c>
      <c r="R381">
        <v>0</v>
      </c>
      <c r="T381">
        <v>0</v>
      </c>
      <c r="U381" t="b">
        <v>0</v>
      </c>
      <c r="V381">
        <v>9.2238229969740217</v>
      </c>
      <c r="Y381">
        <v>0</v>
      </c>
      <c r="Z381">
        <v>2985</v>
      </c>
      <c r="AA381">
        <v>4.9901823300112398E-2</v>
      </c>
      <c r="AB381">
        <v>3.574750965099259</v>
      </c>
      <c r="AC381">
        <v>5.85415139065616E-2</v>
      </c>
      <c r="AD381">
        <v>6.5481417240320097E-2</v>
      </c>
      <c r="AE381">
        <v>0</v>
      </c>
      <c r="AF381" t="b">
        <v>0</v>
      </c>
    </row>
    <row r="382" spans="1:35" x14ac:dyDescent="0.3">
      <c r="A382" t="s">
        <v>886</v>
      </c>
      <c r="B382" t="s">
        <v>887</v>
      </c>
      <c r="C382" t="s">
        <v>537</v>
      </c>
      <c r="D382">
        <v>331</v>
      </c>
      <c r="E382">
        <v>7321</v>
      </c>
      <c r="F382">
        <v>20</v>
      </c>
      <c r="G382">
        <v>60</v>
      </c>
      <c r="H382">
        <v>60</v>
      </c>
      <c r="I382">
        <v>1</v>
      </c>
      <c r="J382">
        <v>1</v>
      </c>
      <c r="K382" t="s">
        <v>86</v>
      </c>
      <c r="P382">
        <v>0</v>
      </c>
      <c r="R382">
        <v>0</v>
      </c>
      <c r="T382">
        <v>0</v>
      </c>
      <c r="U382" t="b">
        <v>0</v>
      </c>
      <c r="V382">
        <v>13.12280701754386</v>
      </c>
      <c r="Y382">
        <v>0</v>
      </c>
      <c r="Z382">
        <v>233</v>
      </c>
      <c r="AA382">
        <v>9.9782506951518302E-2</v>
      </c>
      <c r="AB382">
        <v>11.11097486204782</v>
      </c>
      <c r="AC382">
        <v>0.1109984794728839</v>
      </c>
      <c r="AD382">
        <v>0.1058011049723756</v>
      </c>
      <c r="AE382">
        <v>0</v>
      </c>
      <c r="AF382" t="b">
        <v>0</v>
      </c>
    </row>
    <row r="383" spans="1:35" x14ac:dyDescent="0.3">
      <c r="A383" t="s">
        <v>888</v>
      </c>
      <c r="B383" t="s">
        <v>889</v>
      </c>
      <c r="C383" t="s">
        <v>537</v>
      </c>
      <c r="D383">
        <v>1003</v>
      </c>
      <c r="E383">
        <v>25960</v>
      </c>
      <c r="F383">
        <v>27</v>
      </c>
      <c r="G383">
        <v>60</v>
      </c>
      <c r="H383">
        <v>60</v>
      </c>
      <c r="I383">
        <v>1</v>
      </c>
      <c r="J383">
        <v>1</v>
      </c>
      <c r="K383" t="s">
        <v>86</v>
      </c>
      <c r="P383">
        <v>0</v>
      </c>
      <c r="R383">
        <v>0</v>
      </c>
      <c r="T383">
        <v>0</v>
      </c>
      <c r="U383" t="b">
        <v>0</v>
      </c>
      <c r="V383">
        <v>11.33706151499746</v>
      </c>
      <c r="Y383">
        <v>0</v>
      </c>
      <c r="Z383">
        <v>925</v>
      </c>
      <c r="AA383">
        <v>7.9614354170668103E-2</v>
      </c>
      <c r="AB383">
        <v>7.5655153855153854</v>
      </c>
      <c r="AC383">
        <v>9.3461408830468398E-2</v>
      </c>
      <c r="AD383">
        <v>9.5357429718875494E-2</v>
      </c>
      <c r="AE383">
        <v>0</v>
      </c>
      <c r="AF383" t="b">
        <v>0</v>
      </c>
    </row>
    <row r="384" spans="1:35" x14ac:dyDescent="0.3">
      <c r="A384" t="s">
        <v>890</v>
      </c>
      <c r="B384" t="s">
        <v>891</v>
      </c>
      <c r="C384" t="s">
        <v>537</v>
      </c>
      <c r="D384">
        <v>4475</v>
      </c>
      <c r="E384">
        <v>115298</v>
      </c>
      <c r="F384">
        <v>11</v>
      </c>
      <c r="G384">
        <v>60</v>
      </c>
      <c r="H384">
        <v>60</v>
      </c>
      <c r="I384">
        <v>1</v>
      </c>
      <c r="J384">
        <v>1</v>
      </c>
      <c r="K384" t="s">
        <v>86</v>
      </c>
      <c r="P384">
        <v>0</v>
      </c>
      <c r="R384">
        <v>0</v>
      </c>
      <c r="T384">
        <v>0</v>
      </c>
      <c r="U384" t="b">
        <v>0</v>
      </c>
      <c r="V384">
        <v>7.2605571680675993</v>
      </c>
      <c r="Y384">
        <v>0</v>
      </c>
      <c r="Z384">
        <v>2463</v>
      </c>
      <c r="AA384">
        <v>4.5778852314759103E-2</v>
      </c>
      <c r="AB384">
        <v>3.6200700845370921</v>
      </c>
      <c r="AC384">
        <v>2.1777840459009701E-2</v>
      </c>
      <c r="AD384">
        <v>6.4000690987081096E-2</v>
      </c>
      <c r="AE384">
        <v>0</v>
      </c>
      <c r="AF384" t="b">
        <v>0</v>
      </c>
    </row>
    <row r="385" spans="1:32" x14ac:dyDescent="0.3">
      <c r="A385" t="s">
        <v>892</v>
      </c>
      <c r="B385" t="s">
        <v>893</v>
      </c>
      <c r="C385" t="s">
        <v>537</v>
      </c>
      <c r="D385">
        <v>4390</v>
      </c>
      <c r="E385">
        <v>104233</v>
      </c>
      <c r="F385">
        <v>35</v>
      </c>
      <c r="G385">
        <v>60</v>
      </c>
      <c r="H385">
        <v>60</v>
      </c>
      <c r="I385">
        <v>1</v>
      </c>
      <c r="J385">
        <v>1</v>
      </c>
      <c r="K385" t="s">
        <v>86</v>
      </c>
      <c r="P385">
        <v>0</v>
      </c>
      <c r="R385">
        <v>0</v>
      </c>
      <c r="T385">
        <v>0</v>
      </c>
      <c r="U385" t="b">
        <v>0</v>
      </c>
      <c r="V385">
        <v>15.90679334292007</v>
      </c>
      <c r="Y385">
        <v>0</v>
      </c>
      <c r="Z385">
        <v>2479</v>
      </c>
      <c r="AA385">
        <v>7.6260076208274893E-2</v>
      </c>
      <c r="AB385">
        <v>8.3400417015659229</v>
      </c>
      <c r="AC385">
        <v>6.8039193193459094E-2</v>
      </c>
      <c r="AD385">
        <v>9.9645096547418294E-2</v>
      </c>
      <c r="AE385">
        <v>0</v>
      </c>
      <c r="AF385" t="b">
        <v>0</v>
      </c>
    </row>
    <row r="386" spans="1:32" x14ac:dyDescent="0.3">
      <c r="A386" t="s">
        <v>894</v>
      </c>
      <c r="B386" t="s">
        <v>895</v>
      </c>
      <c r="C386" t="s">
        <v>537</v>
      </c>
      <c r="D386">
        <v>1488</v>
      </c>
      <c r="E386">
        <v>42156</v>
      </c>
      <c r="F386">
        <v>16</v>
      </c>
      <c r="G386">
        <v>60</v>
      </c>
      <c r="H386">
        <v>60</v>
      </c>
      <c r="I386">
        <v>1</v>
      </c>
      <c r="J386">
        <v>1</v>
      </c>
      <c r="K386" t="s">
        <v>86</v>
      </c>
      <c r="P386">
        <v>0</v>
      </c>
      <c r="R386">
        <v>0</v>
      </c>
      <c r="T386">
        <v>0</v>
      </c>
      <c r="U386" t="b">
        <v>0</v>
      </c>
      <c r="V386">
        <v>8.1716514954486339</v>
      </c>
      <c r="Y386">
        <v>0</v>
      </c>
      <c r="Z386">
        <v>1281</v>
      </c>
      <c r="AA386">
        <v>6.7412308717177599E-2</v>
      </c>
      <c r="AB386">
        <v>5.6716766189834109</v>
      </c>
      <c r="AC386">
        <v>5.8596889202630099E-2</v>
      </c>
      <c r="AD386">
        <v>8.9416189306405394E-2</v>
      </c>
      <c r="AE386">
        <v>0</v>
      </c>
      <c r="AF386" t="b">
        <v>0</v>
      </c>
    </row>
    <row r="387" spans="1:32" x14ac:dyDescent="0.3">
      <c r="A387" t="s">
        <v>896</v>
      </c>
      <c r="B387" t="s">
        <v>897</v>
      </c>
      <c r="C387" t="s">
        <v>537</v>
      </c>
      <c r="D387">
        <v>2690</v>
      </c>
      <c r="E387">
        <v>67141</v>
      </c>
      <c r="F387">
        <v>33</v>
      </c>
      <c r="G387">
        <v>60</v>
      </c>
      <c r="H387">
        <v>60</v>
      </c>
      <c r="I387">
        <v>1</v>
      </c>
      <c r="J387">
        <v>1</v>
      </c>
      <c r="K387" t="s">
        <v>86</v>
      </c>
      <c r="P387">
        <v>0</v>
      </c>
      <c r="R387">
        <v>0</v>
      </c>
      <c r="T387">
        <v>0</v>
      </c>
      <c r="U387" t="b">
        <v>0</v>
      </c>
      <c r="V387">
        <v>13.52770354645355</v>
      </c>
      <c r="Y387">
        <v>0</v>
      </c>
      <c r="Z387">
        <v>1789</v>
      </c>
      <c r="AA387">
        <v>9.0828880566738698E-2</v>
      </c>
      <c r="AB387">
        <v>8.3689327772870659</v>
      </c>
      <c r="AC387">
        <v>6.7442264429952103E-2</v>
      </c>
      <c r="AD387">
        <v>0.1177306708320477</v>
      </c>
      <c r="AE387">
        <v>0</v>
      </c>
      <c r="AF387" t="b">
        <v>0</v>
      </c>
    </row>
    <row r="388" spans="1:32" x14ac:dyDescent="0.3">
      <c r="A388" t="s">
        <v>898</v>
      </c>
      <c r="B388" t="s">
        <v>899</v>
      </c>
      <c r="C388" t="s">
        <v>431</v>
      </c>
      <c r="D388">
        <v>71</v>
      </c>
      <c r="E388">
        <v>69</v>
      </c>
      <c r="F388">
        <v>6</v>
      </c>
      <c r="G388">
        <v>420</v>
      </c>
      <c r="H388">
        <v>60</v>
      </c>
      <c r="I388">
        <v>1</v>
      </c>
      <c r="J388">
        <v>1</v>
      </c>
      <c r="K388" t="s">
        <v>432</v>
      </c>
      <c r="L388">
        <v>0.6942567567567568</v>
      </c>
      <c r="M388">
        <v>1</v>
      </c>
      <c r="O388" t="s">
        <v>433</v>
      </c>
      <c r="P388">
        <v>0</v>
      </c>
      <c r="R388">
        <v>0</v>
      </c>
      <c r="T388">
        <v>0</v>
      </c>
      <c r="U388" t="b">
        <v>0</v>
      </c>
      <c r="V388">
        <v>0</v>
      </c>
      <c r="Y388">
        <v>0.6942567567567568</v>
      </c>
      <c r="Z388">
        <v>4</v>
      </c>
      <c r="AA388">
        <v>-8.3333333333333301E-2</v>
      </c>
      <c r="AB388">
        <v>-37.5</v>
      </c>
      <c r="AC388">
        <v>0</v>
      </c>
      <c r="AD388">
        <v>0</v>
      </c>
      <c r="AE388">
        <v>0</v>
      </c>
      <c r="AF388" t="b">
        <v>0</v>
      </c>
    </row>
    <row r="389" spans="1:32" x14ac:dyDescent="0.3">
      <c r="A389" t="s">
        <v>900</v>
      </c>
      <c r="B389" t="s">
        <v>901</v>
      </c>
      <c r="C389" t="s">
        <v>537</v>
      </c>
      <c r="D389">
        <v>932</v>
      </c>
      <c r="E389">
        <v>29131</v>
      </c>
      <c r="F389">
        <v>19</v>
      </c>
      <c r="G389">
        <v>60</v>
      </c>
      <c r="H389">
        <v>60</v>
      </c>
      <c r="I389">
        <v>1</v>
      </c>
      <c r="J389">
        <v>1</v>
      </c>
      <c r="K389" t="s">
        <v>86</v>
      </c>
      <c r="P389">
        <v>0</v>
      </c>
      <c r="R389">
        <v>0</v>
      </c>
      <c r="T389">
        <v>0</v>
      </c>
      <c r="U389" t="b">
        <v>0</v>
      </c>
      <c r="V389">
        <v>8.1575342465753433</v>
      </c>
      <c r="Y389">
        <v>0</v>
      </c>
      <c r="Z389">
        <v>747</v>
      </c>
      <c r="AA389">
        <v>5.8480226617006199E-2</v>
      </c>
      <c r="AB389">
        <v>4.3815615573234288</v>
      </c>
      <c r="AC389">
        <v>6.07419141544061E-2</v>
      </c>
      <c r="AD389">
        <v>5.9437984672309201E-2</v>
      </c>
      <c r="AE389">
        <v>0</v>
      </c>
      <c r="AF389" t="b">
        <v>0</v>
      </c>
    </row>
    <row r="390" spans="1:32" x14ac:dyDescent="0.3">
      <c r="A390" t="s">
        <v>902</v>
      </c>
      <c r="B390" t="s">
        <v>903</v>
      </c>
      <c r="C390" t="s">
        <v>537</v>
      </c>
      <c r="D390">
        <v>913</v>
      </c>
      <c r="E390">
        <v>30675</v>
      </c>
      <c r="F390">
        <v>15</v>
      </c>
      <c r="G390">
        <v>60</v>
      </c>
      <c r="H390">
        <v>60</v>
      </c>
      <c r="I390">
        <v>1</v>
      </c>
      <c r="J390">
        <v>1</v>
      </c>
      <c r="K390" t="s">
        <v>86</v>
      </c>
      <c r="P390">
        <v>0</v>
      </c>
      <c r="R390">
        <v>0</v>
      </c>
      <c r="T390">
        <v>0</v>
      </c>
      <c r="U390" t="b">
        <v>0</v>
      </c>
      <c r="V390">
        <v>10.20819521387703</v>
      </c>
      <c r="Y390">
        <v>0</v>
      </c>
      <c r="Z390">
        <v>901</v>
      </c>
      <c r="AA390">
        <v>-3.74655075160839E-2</v>
      </c>
      <c r="AB390">
        <v>-3.0643512039762579</v>
      </c>
      <c r="AC390">
        <v>-7.3544163848872898E-2</v>
      </c>
      <c r="AD390">
        <v>-1.4259322007754999E-2</v>
      </c>
      <c r="AE390">
        <v>0</v>
      </c>
      <c r="AF390" t="b">
        <v>0</v>
      </c>
    </row>
    <row r="391" spans="1:32" x14ac:dyDescent="0.3">
      <c r="A391" t="s">
        <v>904</v>
      </c>
      <c r="B391" t="s">
        <v>905</v>
      </c>
      <c r="C391" t="s">
        <v>537</v>
      </c>
      <c r="D391">
        <v>1205</v>
      </c>
      <c r="E391">
        <v>37666</v>
      </c>
      <c r="F391">
        <v>32</v>
      </c>
      <c r="G391">
        <v>60</v>
      </c>
      <c r="H391">
        <v>60</v>
      </c>
      <c r="I391">
        <v>1</v>
      </c>
      <c r="J391">
        <v>1</v>
      </c>
      <c r="K391" t="s">
        <v>86</v>
      </c>
      <c r="P391">
        <v>0</v>
      </c>
      <c r="R391">
        <v>0</v>
      </c>
      <c r="T391">
        <v>0</v>
      </c>
      <c r="U391" t="b">
        <v>0</v>
      </c>
      <c r="V391">
        <v>6.36158889419759</v>
      </c>
      <c r="Y391">
        <v>0</v>
      </c>
      <c r="Z391">
        <v>917</v>
      </c>
      <c r="AA391">
        <v>4.5836765821437302E-2</v>
      </c>
      <c r="AB391">
        <v>3.4904922108080378</v>
      </c>
      <c r="AC391">
        <v>4.9053225576882298E-2</v>
      </c>
      <c r="AD391">
        <v>5.2191403075928698E-2</v>
      </c>
      <c r="AE391">
        <v>0</v>
      </c>
      <c r="AF391" t="b">
        <v>0</v>
      </c>
    </row>
    <row r="392" spans="1:32" x14ac:dyDescent="0.3">
      <c r="A392" t="s">
        <v>906</v>
      </c>
      <c r="B392" t="s">
        <v>907</v>
      </c>
      <c r="C392" t="s">
        <v>537</v>
      </c>
      <c r="D392">
        <v>3587</v>
      </c>
      <c r="E392">
        <v>131405</v>
      </c>
      <c r="F392">
        <v>28</v>
      </c>
      <c r="G392">
        <v>60</v>
      </c>
      <c r="H392">
        <v>60</v>
      </c>
      <c r="I392">
        <v>1</v>
      </c>
      <c r="J392">
        <v>1</v>
      </c>
      <c r="K392" t="s">
        <v>86</v>
      </c>
      <c r="P392">
        <v>0</v>
      </c>
      <c r="R392">
        <v>0</v>
      </c>
      <c r="T392">
        <v>0</v>
      </c>
      <c r="U392" t="b">
        <v>0</v>
      </c>
      <c r="V392">
        <v>9.9599099839979157</v>
      </c>
      <c r="Y392">
        <v>0</v>
      </c>
      <c r="Z392">
        <v>4776</v>
      </c>
      <c r="AA392">
        <v>6.07245294366957E-2</v>
      </c>
      <c r="AB392">
        <v>4.7849979570366319</v>
      </c>
      <c r="AC392">
        <v>7.0606153315037806E-2</v>
      </c>
      <c r="AD392">
        <v>7.3749283080686401E-2</v>
      </c>
      <c r="AE392">
        <v>0</v>
      </c>
      <c r="AF392" t="b">
        <v>0</v>
      </c>
    </row>
    <row r="393" spans="1:32" x14ac:dyDescent="0.3">
      <c r="A393" t="s">
        <v>908</v>
      </c>
      <c r="B393" t="s">
        <v>909</v>
      </c>
      <c r="C393" t="s">
        <v>537</v>
      </c>
      <c r="D393">
        <v>1030</v>
      </c>
      <c r="E393">
        <v>27856</v>
      </c>
      <c r="F393">
        <v>13</v>
      </c>
      <c r="G393">
        <v>60</v>
      </c>
      <c r="H393">
        <v>60</v>
      </c>
      <c r="I393">
        <v>1</v>
      </c>
      <c r="J393">
        <v>1</v>
      </c>
      <c r="K393" t="s">
        <v>86</v>
      </c>
      <c r="P393">
        <v>0</v>
      </c>
      <c r="R393">
        <v>0</v>
      </c>
      <c r="T393">
        <v>0</v>
      </c>
      <c r="U393" t="b">
        <v>0</v>
      </c>
      <c r="V393">
        <v>11.1867816091954</v>
      </c>
      <c r="Y393">
        <v>0</v>
      </c>
      <c r="Z393">
        <v>1032</v>
      </c>
      <c r="AA393">
        <v>7.7663422187978406E-2</v>
      </c>
      <c r="AB393">
        <v>6.4373666843832087</v>
      </c>
      <c r="AC393">
        <v>4.9100441982977597E-2</v>
      </c>
      <c r="AD393">
        <v>7.6991508931904595E-2</v>
      </c>
      <c r="AE393">
        <v>0</v>
      </c>
      <c r="AF393" t="b">
        <v>0</v>
      </c>
    </row>
    <row r="394" spans="1:32" x14ac:dyDescent="0.3">
      <c r="A394" t="s">
        <v>910</v>
      </c>
      <c r="B394" t="s">
        <v>911</v>
      </c>
      <c r="C394" t="s">
        <v>537</v>
      </c>
      <c r="D394">
        <v>947</v>
      </c>
      <c r="E394">
        <v>25864</v>
      </c>
      <c r="F394">
        <v>23</v>
      </c>
      <c r="G394">
        <v>60</v>
      </c>
      <c r="H394">
        <v>60</v>
      </c>
      <c r="I394">
        <v>1</v>
      </c>
      <c r="J394">
        <v>1</v>
      </c>
      <c r="K394" t="s">
        <v>86</v>
      </c>
      <c r="P394">
        <v>0</v>
      </c>
      <c r="R394">
        <v>0</v>
      </c>
      <c r="T394">
        <v>0</v>
      </c>
      <c r="U394" t="b">
        <v>0</v>
      </c>
      <c r="V394">
        <v>6.253063725490196</v>
      </c>
      <c r="Y394">
        <v>0</v>
      </c>
      <c r="Z394">
        <v>538</v>
      </c>
      <c r="AA394">
        <v>-9.0288702577767995E-3</v>
      </c>
      <c r="AB394">
        <v>-0.77441862090169666</v>
      </c>
      <c r="AC394">
        <v>-1.93792226904809E-2</v>
      </c>
      <c r="AD394">
        <v>1.8534278959810802E-2</v>
      </c>
      <c r="AE394">
        <v>0</v>
      </c>
      <c r="AF394" t="b">
        <v>0</v>
      </c>
    </row>
    <row r="395" spans="1:32" x14ac:dyDescent="0.3">
      <c r="A395" t="s">
        <v>912</v>
      </c>
      <c r="B395" t="s">
        <v>913</v>
      </c>
      <c r="C395" t="s">
        <v>431</v>
      </c>
      <c r="D395">
        <v>70</v>
      </c>
      <c r="E395">
        <v>674</v>
      </c>
      <c r="F395">
        <v>8</v>
      </c>
      <c r="G395">
        <v>120</v>
      </c>
      <c r="H395">
        <v>60</v>
      </c>
      <c r="I395">
        <v>0.90504451038575684</v>
      </c>
      <c r="J395">
        <v>0.956989247311828</v>
      </c>
      <c r="K395" t="s">
        <v>432</v>
      </c>
      <c r="L395">
        <v>0.38709677419354838</v>
      </c>
      <c r="M395">
        <v>1</v>
      </c>
      <c r="N395">
        <v>0.88888888888888884</v>
      </c>
      <c r="O395" t="s">
        <v>433</v>
      </c>
      <c r="P395">
        <v>0</v>
      </c>
      <c r="R395">
        <v>0</v>
      </c>
      <c r="T395">
        <v>0</v>
      </c>
      <c r="U395" t="b">
        <v>0</v>
      </c>
      <c r="V395">
        <v>0</v>
      </c>
      <c r="Y395">
        <v>0</v>
      </c>
      <c r="Z395">
        <v>19</v>
      </c>
      <c r="AA395">
        <v>0</v>
      </c>
      <c r="AB395">
        <v>0</v>
      </c>
      <c r="AC395">
        <v>0</v>
      </c>
      <c r="AD395">
        <v>0</v>
      </c>
      <c r="AE395">
        <v>0</v>
      </c>
      <c r="AF395" t="b">
        <v>0</v>
      </c>
    </row>
    <row r="396" spans="1:32" x14ac:dyDescent="0.3">
      <c r="A396" t="s">
        <v>914</v>
      </c>
      <c r="B396" t="s">
        <v>915</v>
      </c>
      <c r="C396" t="s">
        <v>431</v>
      </c>
      <c r="D396">
        <v>121</v>
      </c>
      <c r="E396">
        <v>26</v>
      </c>
      <c r="F396">
        <v>4</v>
      </c>
      <c r="G396">
        <v>360</v>
      </c>
      <c r="H396">
        <v>60</v>
      </c>
      <c r="I396">
        <v>1</v>
      </c>
      <c r="J396">
        <v>1</v>
      </c>
      <c r="K396" t="s">
        <v>432</v>
      </c>
      <c r="L396">
        <v>0.74920071047957371</v>
      </c>
      <c r="M396">
        <v>1</v>
      </c>
      <c r="O396" t="s">
        <v>433</v>
      </c>
      <c r="P396">
        <v>0</v>
      </c>
      <c r="R396">
        <v>0</v>
      </c>
      <c r="T396">
        <v>0</v>
      </c>
      <c r="U396" t="b">
        <v>0</v>
      </c>
      <c r="V396">
        <v>0</v>
      </c>
      <c r="Y396">
        <v>0.74920071047957371</v>
      </c>
      <c r="Z396">
        <v>1</v>
      </c>
      <c r="AA396">
        <v>0</v>
      </c>
      <c r="AB396">
        <v>0</v>
      </c>
      <c r="AC396">
        <v>0</v>
      </c>
      <c r="AD396">
        <v>0</v>
      </c>
      <c r="AE396">
        <v>0</v>
      </c>
      <c r="AF396" t="b">
        <v>0</v>
      </c>
    </row>
    <row r="397" spans="1:32" x14ac:dyDescent="0.3">
      <c r="A397" t="s">
        <v>916</v>
      </c>
      <c r="B397" t="s">
        <v>917</v>
      </c>
      <c r="C397" t="s">
        <v>918</v>
      </c>
      <c r="D397">
        <v>178</v>
      </c>
      <c r="E397">
        <v>1946</v>
      </c>
      <c r="F397">
        <v>430</v>
      </c>
      <c r="G397">
        <v>157</v>
      </c>
      <c r="H397">
        <v>1</v>
      </c>
      <c r="I397">
        <v>1.9527235354573399E-2</v>
      </c>
      <c r="J397">
        <v>1.6941176470588199E-2</v>
      </c>
      <c r="K397" t="s">
        <v>86</v>
      </c>
      <c r="P397">
        <v>0</v>
      </c>
      <c r="R397">
        <v>0</v>
      </c>
      <c r="T397">
        <v>0</v>
      </c>
      <c r="U397" t="b">
        <v>0</v>
      </c>
      <c r="Y397">
        <v>0</v>
      </c>
      <c r="Z397">
        <v>0</v>
      </c>
      <c r="AE397">
        <v>0</v>
      </c>
      <c r="AF397" t="b">
        <v>0</v>
      </c>
    </row>
    <row r="398" spans="1:32" x14ac:dyDescent="0.3">
      <c r="A398" t="s">
        <v>919</v>
      </c>
      <c r="B398" t="s">
        <v>917</v>
      </c>
      <c r="C398" t="s">
        <v>918</v>
      </c>
      <c r="D398">
        <v>96</v>
      </c>
      <c r="E398">
        <v>1020</v>
      </c>
      <c r="F398">
        <v>284</v>
      </c>
      <c r="G398">
        <v>144</v>
      </c>
      <c r="H398">
        <v>1</v>
      </c>
      <c r="I398">
        <v>1.6666666666666601E-2</v>
      </c>
      <c r="J398">
        <v>2.1505376344085999E-2</v>
      </c>
      <c r="K398" t="s">
        <v>86</v>
      </c>
      <c r="P398">
        <v>0</v>
      </c>
      <c r="R398">
        <v>0</v>
      </c>
      <c r="T398">
        <v>0</v>
      </c>
      <c r="U398" t="b">
        <v>0</v>
      </c>
      <c r="Y398">
        <v>0</v>
      </c>
      <c r="Z398">
        <v>0</v>
      </c>
      <c r="AE398">
        <v>0</v>
      </c>
      <c r="AF398" t="b">
        <v>0</v>
      </c>
    </row>
    <row r="399" spans="1:32" x14ac:dyDescent="0.3">
      <c r="A399" t="s">
        <v>920</v>
      </c>
      <c r="B399" t="s">
        <v>921</v>
      </c>
      <c r="C399" t="s">
        <v>922</v>
      </c>
      <c r="D399">
        <v>477</v>
      </c>
      <c r="E399">
        <v>2856</v>
      </c>
      <c r="F399">
        <v>776</v>
      </c>
      <c r="G399">
        <v>142.5</v>
      </c>
      <c r="H399">
        <v>1</v>
      </c>
      <c r="I399">
        <v>1.1204481792717E-2</v>
      </c>
      <c r="J399">
        <v>1.40929535232383E-2</v>
      </c>
      <c r="K399" t="s">
        <v>86</v>
      </c>
      <c r="P399">
        <v>0</v>
      </c>
      <c r="R399">
        <v>0</v>
      </c>
      <c r="T399">
        <v>0</v>
      </c>
      <c r="U399" t="b">
        <v>0</v>
      </c>
      <c r="Y399">
        <v>0</v>
      </c>
      <c r="Z399">
        <v>0</v>
      </c>
      <c r="AE399">
        <v>0</v>
      </c>
      <c r="AF399" t="b">
        <v>0</v>
      </c>
    </row>
    <row r="400" spans="1:32" x14ac:dyDescent="0.3">
      <c r="A400" t="s">
        <v>923</v>
      </c>
      <c r="B400" t="s">
        <v>924</v>
      </c>
      <c r="C400" t="s">
        <v>431</v>
      </c>
      <c r="D400">
        <v>476</v>
      </c>
      <c r="E400">
        <v>4590</v>
      </c>
      <c r="F400">
        <v>9</v>
      </c>
      <c r="G400">
        <v>60</v>
      </c>
      <c r="H400">
        <v>60</v>
      </c>
      <c r="I400">
        <v>1</v>
      </c>
      <c r="J400">
        <v>1</v>
      </c>
      <c r="K400" t="s">
        <v>432</v>
      </c>
      <c r="L400">
        <v>0.63711482182819767</v>
      </c>
      <c r="M400">
        <v>1</v>
      </c>
      <c r="N400">
        <v>1</v>
      </c>
      <c r="O400" t="s">
        <v>433</v>
      </c>
      <c r="P400">
        <v>0</v>
      </c>
      <c r="R400">
        <v>0</v>
      </c>
      <c r="T400">
        <v>0</v>
      </c>
      <c r="U400" t="b">
        <v>0</v>
      </c>
      <c r="V400">
        <v>10.503105590062111</v>
      </c>
      <c r="Y400">
        <v>0</v>
      </c>
      <c r="Z400">
        <v>114</v>
      </c>
      <c r="AA400">
        <v>-1.4193199860633001E-3</v>
      </c>
      <c r="AB400">
        <v>-0.1633285141857147</v>
      </c>
      <c r="AC400">
        <v>-2.3426614712480798E-2</v>
      </c>
      <c r="AD400">
        <v>2.10080112001244E-2</v>
      </c>
      <c r="AE400">
        <v>0</v>
      </c>
      <c r="AF400" t="b">
        <v>0</v>
      </c>
    </row>
    <row r="401" spans="1:35" x14ac:dyDescent="0.3">
      <c r="A401" t="s">
        <v>925</v>
      </c>
      <c r="B401" t="s">
        <v>926</v>
      </c>
      <c r="C401" t="s">
        <v>431</v>
      </c>
      <c r="D401">
        <v>103</v>
      </c>
      <c r="E401">
        <v>2279</v>
      </c>
      <c r="F401">
        <v>34</v>
      </c>
      <c r="G401">
        <v>100</v>
      </c>
      <c r="H401">
        <v>1</v>
      </c>
      <c r="I401">
        <v>0.15796401930671339</v>
      </c>
      <c r="J401">
        <v>0.3811922753988245</v>
      </c>
      <c r="K401" t="s">
        <v>432</v>
      </c>
      <c r="L401">
        <v>0.80562552476910154</v>
      </c>
      <c r="M401">
        <v>1</v>
      </c>
      <c r="N401">
        <v>0.2318916102136529</v>
      </c>
      <c r="O401" t="s">
        <v>433</v>
      </c>
      <c r="P401">
        <v>1098</v>
      </c>
      <c r="Q401">
        <v>2.00364298724954E-2</v>
      </c>
      <c r="R401">
        <v>0</v>
      </c>
      <c r="T401">
        <v>0</v>
      </c>
      <c r="U401" t="b">
        <v>0</v>
      </c>
      <c r="Y401">
        <v>0</v>
      </c>
      <c r="Z401">
        <v>75</v>
      </c>
      <c r="AA401">
        <v>0</v>
      </c>
      <c r="AB401">
        <v>0</v>
      </c>
      <c r="AE401">
        <v>0</v>
      </c>
      <c r="AF401" t="b">
        <v>0</v>
      </c>
    </row>
    <row r="402" spans="1:35" x14ac:dyDescent="0.3">
      <c r="A402" t="s">
        <v>927</v>
      </c>
      <c r="B402" t="s">
        <v>928</v>
      </c>
      <c r="C402" t="s">
        <v>431</v>
      </c>
      <c r="D402">
        <v>154</v>
      </c>
      <c r="E402">
        <v>2825</v>
      </c>
      <c r="F402">
        <v>14</v>
      </c>
      <c r="G402">
        <v>60</v>
      </c>
      <c r="H402">
        <v>30</v>
      </c>
      <c r="I402">
        <v>0.71610619469026549</v>
      </c>
      <c r="J402">
        <v>0.86539107082913724</v>
      </c>
      <c r="K402" t="s">
        <v>86</v>
      </c>
      <c r="P402">
        <v>0</v>
      </c>
      <c r="R402">
        <v>0</v>
      </c>
      <c r="T402">
        <v>0</v>
      </c>
      <c r="U402" t="b">
        <v>0</v>
      </c>
      <c r="Y402">
        <v>0</v>
      </c>
      <c r="Z402">
        <v>160</v>
      </c>
      <c r="AA402">
        <v>0</v>
      </c>
      <c r="AB402">
        <v>0</v>
      </c>
      <c r="AE402">
        <v>0</v>
      </c>
      <c r="AF402" t="b">
        <v>0</v>
      </c>
    </row>
    <row r="403" spans="1:35" x14ac:dyDescent="0.3">
      <c r="A403" t="s">
        <v>929</v>
      </c>
      <c r="B403" t="s">
        <v>930</v>
      </c>
      <c r="C403" t="s">
        <v>431</v>
      </c>
      <c r="D403">
        <v>483</v>
      </c>
      <c r="E403">
        <v>14940</v>
      </c>
      <c r="F403">
        <v>288</v>
      </c>
      <c r="G403">
        <v>77</v>
      </c>
      <c r="H403">
        <v>1</v>
      </c>
      <c r="I403">
        <v>1.02409638554216E-2</v>
      </c>
      <c r="J403">
        <v>0.14186604421967189</v>
      </c>
      <c r="K403" t="s">
        <v>432</v>
      </c>
      <c r="L403">
        <v>0.85813395578032803</v>
      </c>
      <c r="M403">
        <v>1</v>
      </c>
      <c r="N403">
        <v>0</v>
      </c>
      <c r="O403" t="s">
        <v>518</v>
      </c>
      <c r="P403">
        <v>13235</v>
      </c>
      <c r="Q403">
        <v>2.28938420853796E-2</v>
      </c>
      <c r="R403">
        <v>0</v>
      </c>
      <c r="T403">
        <v>0</v>
      </c>
      <c r="U403" t="b">
        <v>0</v>
      </c>
      <c r="V403">
        <v>5.5476429939792009</v>
      </c>
      <c r="Y403">
        <v>0</v>
      </c>
      <c r="Z403">
        <v>438</v>
      </c>
      <c r="AA403">
        <v>9.094435958061E-3</v>
      </c>
      <c r="AB403">
        <v>0.8163965799995212</v>
      </c>
      <c r="AC403">
        <v>1.6272891853659498E-2</v>
      </c>
      <c r="AD403">
        <v>5.4934590447203004E-3</v>
      </c>
      <c r="AE403">
        <v>0</v>
      </c>
      <c r="AF403" t="b">
        <v>0</v>
      </c>
    </row>
    <row r="404" spans="1:35" x14ac:dyDescent="0.3">
      <c r="A404" t="s">
        <v>931</v>
      </c>
      <c r="B404" t="s">
        <v>932</v>
      </c>
      <c r="C404" t="s">
        <v>431</v>
      </c>
      <c r="D404">
        <v>427</v>
      </c>
      <c r="E404">
        <v>7021</v>
      </c>
      <c r="F404">
        <v>8</v>
      </c>
      <c r="G404">
        <v>60</v>
      </c>
      <c r="H404">
        <v>60</v>
      </c>
      <c r="I404">
        <v>1</v>
      </c>
      <c r="J404">
        <v>1</v>
      </c>
      <c r="K404" t="s">
        <v>432</v>
      </c>
      <c r="L404">
        <v>0.68729768224783117</v>
      </c>
      <c r="M404">
        <v>1</v>
      </c>
      <c r="N404">
        <v>1</v>
      </c>
      <c r="O404" t="s">
        <v>433</v>
      </c>
      <c r="P404">
        <v>0</v>
      </c>
      <c r="R404">
        <v>0</v>
      </c>
      <c r="T404">
        <v>0</v>
      </c>
      <c r="U404" t="b">
        <v>0</v>
      </c>
      <c r="V404">
        <v>4.1197691197691197</v>
      </c>
      <c r="Y404">
        <v>0</v>
      </c>
      <c r="Z404">
        <v>198</v>
      </c>
      <c r="AA404">
        <v>1.9933549038026601E-2</v>
      </c>
      <c r="AB404">
        <v>2.0235572508299779</v>
      </c>
      <c r="AC404">
        <v>0</v>
      </c>
      <c r="AD404">
        <v>4.05828002842928E-2</v>
      </c>
      <c r="AE404">
        <v>0</v>
      </c>
      <c r="AF404" t="b">
        <v>0</v>
      </c>
    </row>
    <row r="405" spans="1:35" x14ac:dyDescent="0.3">
      <c r="A405" t="s">
        <v>933</v>
      </c>
      <c r="B405" t="s">
        <v>934</v>
      </c>
      <c r="C405" t="s">
        <v>935</v>
      </c>
      <c r="D405">
        <v>980</v>
      </c>
      <c r="E405">
        <v>11469</v>
      </c>
      <c r="F405">
        <v>21</v>
      </c>
      <c r="G405">
        <v>240</v>
      </c>
      <c r="H405">
        <v>60</v>
      </c>
      <c r="I405">
        <v>1</v>
      </c>
      <c r="J405">
        <v>1</v>
      </c>
      <c r="K405" t="s">
        <v>86</v>
      </c>
      <c r="P405">
        <v>0</v>
      </c>
      <c r="R405">
        <v>0</v>
      </c>
      <c r="T405">
        <v>0</v>
      </c>
      <c r="U405" t="b">
        <v>0</v>
      </c>
      <c r="V405">
        <v>0</v>
      </c>
      <c r="Y405">
        <v>0</v>
      </c>
      <c r="Z405">
        <v>291</v>
      </c>
      <c r="AA405">
        <v>0</v>
      </c>
      <c r="AB405">
        <v>0</v>
      </c>
      <c r="AC405">
        <v>0</v>
      </c>
      <c r="AD405">
        <v>0</v>
      </c>
      <c r="AE405">
        <v>0</v>
      </c>
      <c r="AF405" t="b">
        <v>0</v>
      </c>
    </row>
    <row r="406" spans="1:35" x14ac:dyDescent="0.3">
      <c r="A406" t="s">
        <v>936</v>
      </c>
      <c r="B406" t="s">
        <v>937</v>
      </c>
      <c r="C406" t="s">
        <v>938</v>
      </c>
      <c r="D406">
        <v>98</v>
      </c>
      <c r="E406">
        <v>1589</v>
      </c>
      <c r="F406">
        <v>39</v>
      </c>
      <c r="G406">
        <v>60</v>
      </c>
      <c r="H406">
        <v>30</v>
      </c>
      <c r="I406">
        <v>0.7029578351164254</v>
      </c>
      <c r="J406">
        <v>0.5840807174887892</v>
      </c>
      <c r="K406" t="s">
        <v>86</v>
      </c>
      <c r="P406">
        <v>0</v>
      </c>
      <c r="R406">
        <v>0</v>
      </c>
      <c r="T406">
        <v>0</v>
      </c>
      <c r="U406" t="b">
        <v>0</v>
      </c>
      <c r="Y406">
        <v>0</v>
      </c>
      <c r="Z406">
        <v>5</v>
      </c>
      <c r="AA406">
        <v>0</v>
      </c>
      <c r="AB406">
        <v>0</v>
      </c>
      <c r="AE406">
        <v>0</v>
      </c>
      <c r="AF406" t="b">
        <v>0</v>
      </c>
    </row>
    <row r="407" spans="1:35" x14ac:dyDescent="0.3">
      <c r="A407" t="s">
        <v>939</v>
      </c>
      <c r="B407" t="s">
        <v>940</v>
      </c>
      <c r="C407" t="s">
        <v>549</v>
      </c>
      <c r="D407">
        <v>968</v>
      </c>
      <c r="E407">
        <v>22387</v>
      </c>
      <c r="F407">
        <v>35</v>
      </c>
      <c r="G407">
        <v>60</v>
      </c>
      <c r="H407">
        <v>60</v>
      </c>
      <c r="I407">
        <v>1</v>
      </c>
      <c r="J407">
        <v>1</v>
      </c>
      <c r="K407" t="s">
        <v>432</v>
      </c>
      <c r="L407">
        <v>0.81562677539016815</v>
      </c>
      <c r="M407">
        <v>1</v>
      </c>
      <c r="N407">
        <v>1</v>
      </c>
      <c r="O407" t="s">
        <v>433</v>
      </c>
      <c r="P407">
        <v>0</v>
      </c>
      <c r="R407">
        <v>0</v>
      </c>
      <c r="T407">
        <v>0</v>
      </c>
      <c r="U407" t="b">
        <v>0</v>
      </c>
      <c r="V407">
        <v>13.77334037063101</v>
      </c>
      <c r="Y407">
        <v>0</v>
      </c>
      <c r="Z407">
        <v>714</v>
      </c>
      <c r="AA407">
        <v>2.5222328780977001E-3</v>
      </c>
      <c r="AB407">
        <v>0.23423238759373199</v>
      </c>
      <c r="AC407">
        <v>-5.0861741303142201E-2</v>
      </c>
      <c r="AD407">
        <v>5.2321691075445702E-2</v>
      </c>
      <c r="AE407">
        <v>0</v>
      </c>
      <c r="AF407" t="b">
        <v>0</v>
      </c>
    </row>
    <row r="408" spans="1:35" x14ac:dyDescent="0.3">
      <c r="A408" t="s">
        <v>941</v>
      </c>
      <c r="B408" t="s">
        <v>942</v>
      </c>
      <c r="C408" t="s">
        <v>549</v>
      </c>
      <c r="D408">
        <v>724</v>
      </c>
      <c r="E408">
        <v>19283</v>
      </c>
      <c r="F408">
        <v>223</v>
      </c>
      <c r="G408">
        <v>49</v>
      </c>
      <c r="H408">
        <v>1</v>
      </c>
      <c r="I408">
        <v>1.4364984701550501E-2</v>
      </c>
      <c r="J408">
        <v>0.16554206027890239</v>
      </c>
      <c r="K408" t="s">
        <v>432</v>
      </c>
      <c r="L408">
        <v>0.84790323386814614</v>
      </c>
      <c r="M408">
        <v>1</v>
      </c>
      <c r="N408">
        <v>1.5857109172364998E-2</v>
      </c>
      <c r="O408" t="s">
        <v>433</v>
      </c>
      <c r="P408">
        <v>16650</v>
      </c>
      <c r="Q408">
        <v>7.2072072072072002E-2</v>
      </c>
      <c r="R408">
        <v>0</v>
      </c>
      <c r="T408">
        <v>0</v>
      </c>
      <c r="U408" t="b">
        <v>0</v>
      </c>
      <c r="V408">
        <v>0.23642732049036769</v>
      </c>
      <c r="Y408">
        <v>0</v>
      </c>
      <c r="Z408">
        <v>575</v>
      </c>
      <c r="AA408">
        <v>3.2501943050943002E-3</v>
      </c>
      <c r="AB408">
        <v>0.2</v>
      </c>
      <c r="AC408">
        <v>3.0382251112838002E-3</v>
      </c>
      <c r="AD408">
        <v>3.5728347892027001E-3</v>
      </c>
      <c r="AE408">
        <v>0</v>
      </c>
      <c r="AF408" t="b">
        <v>0</v>
      </c>
    </row>
    <row r="409" spans="1:35" x14ac:dyDescent="0.3">
      <c r="A409" t="s">
        <v>943</v>
      </c>
      <c r="B409" t="s">
        <v>944</v>
      </c>
      <c r="C409" t="s">
        <v>549</v>
      </c>
      <c r="D409">
        <v>1300</v>
      </c>
      <c r="E409">
        <v>22435</v>
      </c>
      <c r="F409">
        <v>59</v>
      </c>
      <c r="G409">
        <v>120</v>
      </c>
      <c r="H409">
        <v>60</v>
      </c>
      <c r="I409">
        <v>1</v>
      </c>
      <c r="J409">
        <v>1</v>
      </c>
      <c r="K409" t="s">
        <v>86</v>
      </c>
      <c r="P409">
        <v>0</v>
      </c>
      <c r="R409">
        <v>0</v>
      </c>
      <c r="T409">
        <v>1</v>
      </c>
      <c r="U409" t="b">
        <v>1</v>
      </c>
      <c r="V409">
        <v>45.75740925740925</v>
      </c>
      <c r="W409">
        <v>34.516045548654247</v>
      </c>
      <c r="X409" t="b">
        <v>1</v>
      </c>
      <c r="Y409">
        <v>0</v>
      </c>
      <c r="Z409">
        <v>554</v>
      </c>
      <c r="AA409">
        <v>0.1105639672357573</v>
      </c>
      <c r="AB409">
        <v>42.522068449707021</v>
      </c>
      <c r="AC409">
        <v>5.6407357959071099E-2</v>
      </c>
      <c r="AD409">
        <v>0.1876236953353656</v>
      </c>
      <c r="AE409">
        <v>1</v>
      </c>
      <c r="AF409" t="b">
        <v>1</v>
      </c>
      <c r="AG409">
        <v>5.3642344495049999E-3</v>
      </c>
      <c r="AH409">
        <v>2.5223069613313518</v>
      </c>
      <c r="AI409" t="b">
        <v>1</v>
      </c>
    </row>
    <row r="410" spans="1:35" x14ac:dyDescent="0.3">
      <c r="A410" t="s">
        <v>945</v>
      </c>
      <c r="B410" t="s">
        <v>946</v>
      </c>
      <c r="C410" t="s">
        <v>549</v>
      </c>
      <c r="D410">
        <v>5152</v>
      </c>
      <c r="E410">
        <v>151369</v>
      </c>
      <c r="F410">
        <v>11</v>
      </c>
      <c r="G410">
        <v>60</v>
      </c>
      <c r="H410">
        <v>60</v>
      </c>
      <c r="I410">
        <v>1</v>
      </c>
      <c r="J410">
        <v>1</v>
      </c>
      <c r="K410" t="s">
        <v>432</v>
      </c>
      <c r="L410">
        <v>0.78821426115657012</v>
      </c>
      <c r="M410">
        <v>1</v>
      </c>
      <c r="N410">
        <v>1</v>
      </c>
      <c r="O410" t="s">
        <v>518</v>
      </c>
      <c r="P410">
        <v>0</v>
      </c>
      <c r="R410">
        <v>0</v>
      </c>
      <c r="T410">
        <v>0</v>
      </c>
      <c r="U410" t="b">
        <v>0</v>
      </c>
      <c r="V410">
        <v>9.3011194695478707</v>
      </c>
      <c r="Y410">
        <v>0</v>
      </c>
      <c r="Z410">
        <v>2610</v>
      </c>
      <c r="AA410">
        <v>5.0498586963809301E-2</v>
      </c>
      <c r="AB410">
        <v>4.2008651731591069</v>
      </c>
      <c r="AC410">
        <v>1.9414426033590299E-2</v>
      </c>
      <c r="AD410">
        <v>8.5504906518050497E-2</v>
      </c>
      <c r="AE410">
        <v>0</v>
      </c>
      <c r="AF410" t="b">
        <v>0</v>
      </c>
    </row>
    <row r="411" spans="1:35" x14ac:dyDescent="0.3">
      <c r="A411" t="s">
        <v>947</v>
      </c>
      <c r="B411" t="s">
        <v>948</v>
      </c>
      <c r="C411" t="s">
        <v>549</v>
      </c>
      <c r="D411">
        <v>1876</v>
      </c>
      <c r="E411">
        <v>55585</v>
      </c>
      <c r="F411">
        <v>267</v>
      </c>
      <c r="G411">
        <v>38</v>
      </c>
      <c r="H411">
        <v>1</v>
      </c>
      <c r="I411">
        <v>6.2103085364756602E-2</v>
      </c>
      <c r="J411">
        <v>0.3124380014270548</v>
      </c>
      <c r="K411" t="s">
        <v>86</v>
      </c>
      <c r="P411">
        <v>0</v>
      </c>
      <c r="R411">
        <v>0</v>
      </c>
      <c r="T411">
        <v>0</v>
      </c>
      <c r="U411" t="b">
        <v>0</v>
      </c>
      <c r="V411">
        <v>5.4532835304144029</v>
      </c>
      <c r="Y411">
        <v>0</v>
      </c>
      <c r="Z411">
        <v>1738</v>
      </c>
      <c r="AA411">
        <v>2.3040666663515098E-2</v>
      </c>
      <c r="AB411">
        <v>1.1332567213824409</v>
      </c>
      <c r="AC411">
        <v>-2.9269496760464399E-2</v>
      </c>
      <c r="AD411">
        <v>6.5007640893540095E-2</v>
      </c>
      <c r="AE411">
        <v>0</v>
      </c>
      <c r="AF411" t="b">
        <v>0</v>
      </c>
    </row>
    <row r="412" spans="1:35" x14ac:dyDescent="0.3">
      <c r="A412" t="s">
        <v>949</v>
      </c>
      <c r="B412" t="s">
        <v>950</v>
      </c>
      <c r="C412" t="s">
        <v>549</v>
      </c>
      <c r="D412">
        <v>579</v>
      </c>
      <c r="E412">
        <v>15989</v>
      </c>
      <c r="F412">
        <v>135</v>
      </c>
      <c r="G412">
        <v>45</v>
      </c>
      <c r="H412">
        <v>1</v>
      </c>
      <c r="I412">
        <v>1.02570517230596E-2</v>
      </c>
      <c r="J412">
        <v>0.17014727184934811</v>
      </c>
      <c r="K412" t="s">
        <v>432</v>
      </c>
      <c r="L412">
        <v>0.83914775470787062</v>
      </c>
      <c r="M412">
        <v>1</v>
      </c>
      <c r="N412">
        <v>1.10767460260375E-2</v>
      </c>
      <c r="O412" t="s">
        <v>433</v>
      </c>
      <c r="P412">
        <v>13749</v>
      </c>
      <c r="Q412">
        <v>1</v>
      </c>
      <c r="R412">
        <v>0</v>
      </c>
      <c r="T412">
        <v>0</v>
      </c>
      <c r="U412" t="b">
        <v>0</v>
      </c>
      <c r="V412">
        <v>2.0426235212247739</v>
      </c>
      <c r="Y412">
        <v>0</v>
      </c>
      <c r="Z412">
        <v>641</v>
      </c>
      <c r="AA412">
        <v>8.2012988954877006E-3</v>
      </c>
      <c r="AB412">
        <v>0.45075774459549789</v>
      </c>
      <c r="AC412">
        <v>-4.6467201735825997E-3</v>
      </c>
      <c r="AD412">
        <v>2.7302363756682602E-2</v>
      </c>
      <c r="AE412">
        <v>0</v>
      </c>
      <c r="AF412" t="b">
        <v>0</v>
      </c>
    </row>
    <row r="413" spans="1:35" x14ac:dyDescent="0.3">
      <c r="A413" t="s">
        <v>951</v>
      </c>
      <c r="B413" t="s">
        <v>952</v>
      </c>
      <c r="C413" t="s">
        <v>431</v>
      </c>
      <c r="D413">
        <v>103</v>
      </c>
      <c r="E413">
        <v>4001</v>
      </c>
      <c r="F413">
        <v>5</v>
      </c>
      <c r="G413">
        <v>60</v>
      </c>
      <c r="H413">
        <v>60</v>
      </c>
      <c r="I413">
        <v>1</v>
      </c>
      <c r="J413">
        <v>1</v>
      </c>
      <c r="K413" t="s">
        <v>432</v>
      </c>
      <c r="L413">
        <v>0.88302706974906142</v>
      </c>
      <c r="M413">
        <v>1</v>
      </c>
      <c r="N413">
        <v>1</v>
      </c>
      <c r="O413" t="s">
        <v>433</v>
      </c>
      <c r="P413">
        <v>0</v>
      </c>
      <c r="R413">
        <v>0</v>
      </c>
      <c r="T413">
        <v>0</v>
      </c>
      <c r="U413" t="b">
        <v>0</v>
      </c>
      <c r="V413">
        <v>2.2698412698412702</v>
      </c>
      <c r="Y413">
        <v>0</v>
      </c>
      <c r="Z413">
        <v>178</v>
      </c>
      <c r="AA413">
        <v>3.4233048057931998E-3</v>
      </c>
      <c r="AB413">
        <v>0.25040128410914919</v>
      </c>
      <c r="AC413">
        <v>-3.2142857142856999E-3</v>
      </c>
      <c r="AD413">
        <v>6.7934782608695E-3</v>
      </c>
      <c r="AE413">
        <v>0</v>
      </c>
      <c r="AF413" t="b">
        <v>0</v>
      </c>
    </row>
    <row r="414" spans="1:35" x14ac:dyDescent="0.3">
      <c r="A414" t="s">
        <v>953</v>
      </c>
      <c r="B414" t="s">
        <v>954</v>
      </c>
      <c r="C414" t="s">
        <v>549</v>
      </c>
      <c r="D414">
        <v>2923</v>
      </c>
      <c r="E414">
        <v>119015</v>
      </c>
      <c r="F414">
        <v>258</v>
      </c>
      <c r="G414">
        <v>47</v>
      </c>
      <c r="H414">
        <v>1</v>
      </c>
      <c r="I414">
        <v>2.5887493173129401E-2</v>
      </c>
      <c r="J414">
        <v>0.1962982401469551</v>
      </c>
      <c r="K414" t="s">
        <v>432</v>
      </c>
      <c r="L414">
        <v>0.81773302061635855</v>
      </c>
      <c r="M414">
        <v>0.99946009178439676</v>
      </c>
      <c r="N414">
        <v>1.72790725660876E-2</v>
      </c>
      <c r="O414" t="s">
        <v>518</v>
      </c>
      <c r="P414">
        <v>97896</v>
      </c>
      <c r="Q414">
        <v>4.9634305793903703E-2</v>
      </c>
      <c r="R414">
        <v>0</v>
      </c>
      <c r="T414">
        <v>0</v>
      </c>
      <c r="U414" t="b">
        <v>0</v>
      </c>
      <c r="V414">
        <v>7.6739935350196129</v>
      </c>
      <c r="Y414">
        <v>0</v>
      </c>
      <c r="Z414">
        <v>2544</v>
      </c>
      <c r="AA414">
        <v>8.9014072967508101E-2</v>
      </c>
      <c r="AB414">
        <v>4.867989646824876</v>
      </c>
      <c r="AC414">
        <v>3.1766079442956903E-2</v>
      </c>
      <c r="AD414">
        <v>0.1452618678627203</v>
      </c>
      <c r="AE414">
        <v>0</v>
      </c>
      <c r="AF414" t="b">
        <v>0</v>
      </c>
    </row>
    <row r="415" spans="1:35" x14ac:dyDescent="0.3">
      <c r="A415" t="s">
        <v>955</v>
      </c>
      <c r="B415" t="s">
        <v>956</v>
      </c>
      <c r="C415" t="s">
        <v>431</v>
      </c>
      <c r="D415">
        <v>61</v>
      </c>
      <c r="E415">
        <v>53</v>
      </c>
      <c r="F415">
        <v>5</v>
      </c>
      <c r="G415">
        <v>60</v>
      </c>
      <c r="H415">
        <v>120</v>
      </c>
      <c r="I415">
        <v>1</v>
      </c>
      <c r="J415">
        <v>1</v>
      </c>
      <c r="K415" t="s">
        <v>432</v>
      </c>
      <c r="L415">
        <v>0.70618228170809427</v>
      </c>
      <c r="M415">
        <v>1</v>
      </c>
      <c r="N415">
        <v>1</v>
      </c>
      <c r="O415" t="s">
        <v>433</v>
      </c>
      <c r="P415">
        <v>0</v>
      </c>
      <c r="R415">
        <v>0</v>
      </c>
      <c r="T415">
        <v>0</v>
      </c>
      <c r="U415" t="b">
        <v>0</v>
      </c>
      <c r="Y415">
        <v>0.70490758444869339</v>
      </c>
      <c r="Z415">
        <v>3</v>
      </c>
      <c r="AA415">
        <v>0</v>
      </c>
      <c r="AB415">
        <v>0</v>
      </c>
      <c r="AC415">
        <v>0</v>
      </c>
      <c r="AE415">
        <v>0</v>
      </c>
      <c r="AF415" t="b">
        <v>0</v>
      </c>
    </row>
    <row r="416" spans="1:35" x14ac:dyDescent="0.3">
      <c r="A416" t="s">
        <v>957</v>
      </c>
      <c r="B416" t="s">
        <v>958</v>
      </c>
      <c r="C416" t="s">
        <v>431</v>
      </c>
      <c r="D416">
        <v>81</v>
      </c>
      <c r="E416">
        <v>58</v>
      </c>
      <c r="F416">
        <v>2</v>
      </c>
      <c r="G416">
        <v>240</v>
      </c>
      <c r="I416">
        <v>1</v>
      </c>
      <c r="J416">
        <v>1</v>
      </c>
      <c r="K416" t="s">
        <v>432</v>
      </c>
      <c r="L416">
        <v>0.84106412005457021</v>
      </c>
      <c r="M416">
        <v>1</v>
      </c>
      <c r="O416" t="s">
        <v>433</v>
      </c>
      <c r="P416">
        <v>0</v>
      </c>
      <c r="R416">
        <v>0</v>
      </c>
      <c r="T416">
        <v>0</v>
      </c>
      <c r="U416" t="b">
        <v>0</v>
      </c>
      <c r="Y416">
        <v>0.84106412005457021</v>
      </c>
      <c r="Z416">
        <v>2</v>
      </c>
      <c r="AA416">
        <v>0</v>
      </c>
      <c r="AB416">
        <v>0</v>
      </c>
      <c r="AE416">
        <v>0</v>
      </c>
      <c r="AF416" t="b">
        <v>0</v>
      </c>
    </row>
    <row r="417" spans="1:32" x14ac:dyDescent="0.3">
      <c r="A417" t="s">
        <v>959</v>
      </c>
      <c r="B417" t="s">
        <v>960</v>
      </c>
      <c r="C417" t="s">
        <v>431</v>
      </c>
      <c r="D417">
        <v>568</v>
      </c>
      <c r="E417">
        <v>27394</v>
      </c>
      <c r="F417">
        <v>227</v>
      </c>
      <c r="G417">
        <v>39</v>
      </c>
      <c r="H417">
        <v>1</v>
      </c>
      <c r="I417">
        <v>2.1464554281959501E-2</v>
      </c>
      <c r="J417">
        <v>0.13157141835347971</v>
      </c>
      <c r="K417" t="s">
        <v>432</v>
      </c>
      <c r="L417">
        <v>0.88015878692511262</v>
      </c>
      <c r="M417">
        <v>1</v>
      </c>
      <c r="N417">
        <v>1.33273739384827E-2</v>
      </c>
      <c r="O417" t="s">
        <v>433</v>
      </c>
      <c r="P417">
        <v>24283</v>
      </c>
      <c r="Q417">
        <v>0.40674545978668197</v>
      </c>
      <c r="R417">
        <v>0</v>
      </c>
      <c r="T417">
        <v>0</v>
      </c>
      <c r="U417" t="b">
        <v>0</v>
      </c>
      <c r="V417">
        <v>3.314863292611983</v>
      </c>
      <c r="Y417">
        <v>0</v>
      </c>
      <c r="Z417">
        <v>979</v>
      </c>
      <c r="AA417">
        <v>1.8750961722024E-2</v>
      </c>
      <c r="AB417">
        <v>1.0521332911782351</v>
      </c>
      <c r="AC417">
        <v>1.59023978444542E-2</v>
      </c>
      <c r="AD417">
        <v>3.4342754442473297E-2</v>
      </c>
      <c r="AE417">
        <v>0</v>
      </c>
      <c r="AF417" t="b">
        <v>0</v>
      </c>
    </row>
    <row r="418" spans="1:32" x14ac:dyDescent="0.3">
      <c r="A418" t="s">
        <v>961</v>
      </c>
      <c r="B418" t="s">
        <v>962</v>
      </c>
      <c r="C418" t="s">
        <v>431</v>
      </c>
      <c r="D418">
        <v>839</v>
      </c>
      <c r="E418">
        <v>25757</v>
      </c>
      <c r="F418">
        <v>195</v>
      </c>
      <c r="G418">
        <v>40</v>
      </c>
      <c r="H418">
        <v>1</v>
      </c>
      <c r="I418">
        <v>1.6034476064758999E-2</v>
      </c>
      <c r="J418">
        <v>0.13509550308317039</v>
      </c>
      <c r="K418" t="s">
        <v>432</v>
      </c>
      <c r="L418">
        <v>0.877951571664912</v>
      </c>
      <c r="M418">
        <v>1</v>
      </c>
      <c r="N418">
        <v>1.4860813704496699E-2</v>
      </c>
      <c r="O418" t="s">
        <v>433</v>
      </c>
      <c r="P418">
        <v>13697</v>
      </c>
      <c r="Q418">
        <v>0.26859896327662991</v>
      </c>
      <c r="R418">
        <v>0</v>
      </c>
      <c r="T418">
        <v>0</v>
      </c>
      <c r="U418" t="b">
        <v>0</v>
      </c>
      <c r="V418">
        <v>0</v>
      </c>
      <c r="Y418">
        <v>0</v>
      </c>
      <c r="Z418">
        <v>1420</v>
      </c>
      <c r="AA418">
        <v>-3.1967486950951001E-3</v>
      </c>
      <c r="AB418">
        <v>-0.18362676056338029</v>
      </c>
      <c r="AC418">
        <v>0</v>
      </c>
      <c r="AD418">
        <v>0</v>
      </c>
      <c r="AE418">
        <v>0</v>
      </c>
      <c r="AF418" t="b">
        <v>0</v>
      </c>
    </row>
    <row r="419" spans="1:32" x14ac:dyDescent="0.3">
      <c r="A419" t="s">
        <v>963</v>
      </c>
      <c r="B419" t="s">
        <v>964</v>
      </c>
      <c r="C419" t="s">
        <v>474</v>
      </c>
      <c r="D419">
        <v>357</v>
      </c>
      <c r="E419">
        <v>13165</v>
      </c>
      <c r="F419">
        <v>152</v>
      </c>
      <c r="G419">
        <v>46</v>
      </c>
      <c r="H419">
        <v>1</v>
      </c>
      <c r="I419">
        <v>0.34652487656665398</v>
      </c>
      <c r="J419">
        <v>0.33897803741773269</v>
      </c>
      <c r="K419" t="s">
        <v>86</v>
      </c>
      <c r="P419">
        <v>0</v>
      </c>
      <c r="R419">
        <v>0</v>
      </c>
      <c r="T419">
        <v>0</v>
      </c>
      <c r="U419" t="b">
        <v>0</v>
      </c>
      <c r="V419">
        <v>2.774619883040935</v>
      </c>
      <c r="Y419">
        <v>0</v>
      </c>
      <c r="Z419">
        <v>608</v>
      </c>
      <c r="AA419">
        <v>-3.8582074556311699E-2</v>
      </c>
      <c r="AB419">
        <v>-2.0017831035923139</v>
      </c>
      <c r="AC419">
        <v>-5.2714136471105698E-2</v>
      </c>
      <c r="AD419">
        <v>-3.1799194845653002E-2</v>
      </c>
      <c r="AE419">
        <v>0</v>
      </c>
      <c r="AF419" t="b">
        <v>0</v>
      </c>
    </row>
    <row r="420" spans="1:32" x14ac:dyDescent="0.3">
      <c r="A420" t="s">
        <v>965</v>
      </c>
      <c r="B420" t="s">
        <v>966</v>
      </c>
      <c r="C420" t="s">
        <v>474</v>
      </c>
      <c r="D420">
        <v>961</v>
      </c>
      <c r="E420">
        <v>27864</v>
      </c>
      <c r="F420">
        <v>6</v>
      </c>
      <c r="G420">
        <v>60</v>
      </c>
      <c r="H420">
        <v>60</v>
      </c>
      <c r="I420">
        <v>1</v>
      </c>
      <c r="J420">
        <v>1</v>
      </c>
      <c r="K420" t="s">
        <v>86</v>
      </c>
      <c r="P420">
        <v>0</v>
      </c>
      <c r="R420">
        <v>0</v>
      </c>
      <c r="T420">
        <v>0</v>
      </c>
      <c r="U420" t="b">
        <v>0</v>
      </c>
      <c r="Y420">
        <v>0</v>
      </c>
      <c r="Z420">
        <v>1021</v>
      </c>
      <c r="AA420">
        <v>-7.0548824030727004E-3</v>
      </c>
      <c r="AB420">
        <v>-0.52167152622300406</v>
      </c>
      <c r="AC420">
        <v>-1.5109105090320599E-2</v>
      </c>
      <c r="AD420">
        <v>9.129979663695754E-6</v>
      </c>
      <c r="AE420">
        <v>0</v>
      </c>
      <c r="AF420" t="b">
        <v>0</v>
      </c>
    </row>
    <row r="421" spans="1:32" x14ac:dyDescent="0.3">
      <c r="A421" t="s">
        <v>967</v>
      </c>
      <c r="B421" t="s">
        <v>968</v>
      </c>
      <c r="C421" t="s">
        <v>431</v>
      </c>
      <c r="D421">
        <v>730</v>
      </c>
      <c r="E421">
        <v>34578</v>
      </c>
      <c r="F421">
        <v>225</v>
      </c>
      <c r="G421">
        <v>39</v>
      </c>
      <c r="H421">
        <v>1</v>
      </c>
      <c r="I421">
        <v>9.4568800971715997E-3</v>
      </c>
      <c r="J421">
        <v>0.12637998701188691</v>
      </c>
      <c r="K421" t="s">
        <v>432</v>
      </c>
      <c r="L421">
        <v>0.91495609453087501</v>
      </c>
      <c r="M421">
        <v>0.99900398406374502</v>
      </c>
      <c r="N421">
        <v>4.5270791544514702E-2</v>
      </c>
      <c r="O421" t="s">
        <v>433</v>
      </c>
      <c r="P421">
        <v>30938</v>
      </c>
      <c r="Q421">
        <v>0.2865408235826491</v>
      </c>
      <c r="R421">
        <v>3</v>
      </c>
      <c r="S421">
        <v>0</v>
      </c>
      <c r="T421">
        <v>0</v>
      </c>
      <c r="U421" t="b">
        <v>0</v>
      </c>
      <c r="V421">
        <v>0.61087824351297415</v>
      </c>
      <c r="Y421">
        <v>0</v>
      </c>
      <c r="Z421">
        <v>1191</v>
      </c>
      <c r="AA421">
        <v>-7.3395357059980002E-4</v>
      </c>
      <c r="AB421">
        <v>-3.9837471512534403E-2</v>
      </c>
      <c r="AC421">
        <v>-1.8856589147286001E-3</v>
      </c>
      <c r="AD421">
        <v>-3.3122819414379998E-4</v>
      </c>
      <c r="AE421">
        <v>0</v>
      </c>
      <c r="AF421" t="b">
        <v>0</v>
      </c>
    </row>
    <row r="422" spans="1:32" x14ac:dyDescent="0.3">
      <c r="A422" t="s">
        <v>969</v>
      </c>
      <c r="B422" t="s">
        <v>970</v>
      </c>
      <c r="C422" t="s">
        <v>971</v>
      </c>
      <c r="D422">
        <v>565</v>
      </c>
      <c r="E422">
        <v>14183</v>
      </c>
      <c r="F422">
        <v>5</v>
      </c>
      <c r="G422">
        <v>60</v>
      </c>
      <c r="H422">
        <v>60</v>
      </c>
      <c r="I422">
        <v>1</v>
      </c>
      <c r="J422">
        <v>1</v>
      </c>
      <c r="K422" t="s">
        <v>86</v>
      </c>
      <c r="P422">
        <v>0</v>
      </c>
      <c r="R422">
        <v>0</v>
      </c>
      <c r="T422">
        <v>0</v>
      </c>
      <c r="U422" t="b">
        <v>0</v>
      </c>
      <c r="V422">
        <v>0.76719576719576732</v>
      </c>
      <c r="Y422">
        <v>0</v>
      </c>
      <c r="Z422">
        <v>282</v>
      </c>
      <c r="AA422">
        <v>-5.7657870165609998E-4</v>
      </c>
      <c r="AB422">
        <v>-4.6003619812986798E-2</v>
      </c>
      <c r="AC422">
        <v>-1.4957264957264E-3</v>
      </c>
      <c r="AD422">
        <v>0</v>
      </c>
      <c r="AE422">
        <v>0</v>
      </c>
      <c r="AF422" t="b">
        <v>0</v>
      </c>
    </row>
    <row r="423" spans="1:32" x14ac:dyDescent="0.3">
      <c r="A423" t="s">
        <v>972</v>
      </c>
      <c r="B423" t="s">
        <v>973</v>
      </c>
      <c r="C423" t="s">
        <v>971</v>
      </c>
      <c r="D423">
        <v>374</v>
      </c>
      <c r="E423">
        <v>5804</v>
      </c>
      <c r="F423">
        <v>18</v>
      </c>
      <c r="G423">
        <v>120</v>
      </c>
      <c r="H423">
        <v>60</v>
      </c>
      <c r="I423">
        <v>1</v>
      </c>
      <c r="J423">
        <v>1</v>
      </c>
      <c r="K423" t="s">
        <v>86</v>
      </c>
      <c r="P423">
        <v>0</v>
      </c>
      <c r="R423">
        <v>0</v>
      </c>
      <c r="T423">
        <v>0</v>
      </c>
      <c r="U423" t="b">
        <v>0</v>
      </c>
      <c r="Y423">
        <v>0</v>
      </c>
      <c r="Z423">
        <v>177</v>
      </c>
      <c r="AA423">
        <v>-1.6638935108153001E-3</v>
      </c>
      <c r="AB423">
        <v>-0.19774011299435029</v>
      </c>
      <c r="AC423">
        <v>-2.9761904761904701E-2</v>
      </c>
      <c r="AD423">
        <v>0</v>
      </c>
      <c r="AE423">
        <v>0</v>
      </c>
      <c r="AF423" t="b">
        <v>0</v>
      </c>
    </row>
    <row r="424" spans="1:32" x14ac:dyDescent="0.3">
      <c r="A424" t="s">
        <v>974</v>
      </c>
      <c r="B424" t="s">
        <v>975</v>
      </c>
      <c r="C424" t="s">
        <v>431</v>
      </c>
      <c r="D424">
        <v>220</v>
      </c>
      <c r="E424">
        <v>4038</v>
      </c>
      <c r="F424">
        <v>119</v>
      </c>
      <c r="G424">
        <v>37</v>
      </c>
      <c r="H424">
        <v>1</v>
      </c>
      <c r="I424">
        <v>5.4482417038137004E-3</v>
      </c>
      <c r="J424">
        <v>0.2083137623297322</v>
      </c>
      <c r="K424" t="s">
        <v>432</v>
      </c>
      <c r="L424">
        <v>0.82503522780648186</v>
      </c>
      <c r="M424">
        <v>1</v>
      </c>
      <c r="N424">
        <v>4.0421292342726997E-2</v>
      </c>
      <c r="O424" t="s">
        <v>433</v>
      </c>
      <c r="P424">
        <v>3371</v>
      </c>
      <c r="Q424">
        <v>0.19193117769207951</v>
      </c>
      <c r="R424">
        <v>0</v>
      </c>
      <c r="T424">
        <v>0</v>
      </c>
      <c r="U424" t="b">
        <v>0</v>
      </c>
      <c r="V424">
        <v>0</v>
      </c>
      <c r="Y424">
        <v>0</v>
      </c>
      <c r="Z424">
        <v>9</v>
      </c>
      <c r="AA424">
        <v>0</v>
      </c>
      <c r="AB424">
        <v>0</v>
      </c>
      <c r="AC424">
        <v>0</v>
      </c>
      <c r="AD424">
        <v>0</v>
      </c>
      <c r="AE424">
        <v>0</v>
      </c>
      <c r="AF424" t="b">
        <v>0</v>
      </c>
    </row>
    <row r="425" spans="1:32" x14ac:dyDescent="0.3">
      <c r="A425" t="s">
        <v>976</v>
      </c>
      <c r="B425" t="s">
        <v>977</v>
      </c>
      <c r="C425" t="s">
        <v>431</v>
      </c>
      <c r="D425">
        <v>127</v>
      </c>
      <c r="E425">
        <v>2793</v>
      </c>
      <c r="F425">
        <v>5</v>
      </c>
      <c r="G425">
        <v>60</v>
      </c>
      <c r="H425">
        <v>60</v>
      </c>
      <c r="I425">
        <v>1</v>
      </c>
      <c r="J425">
        <v>1</v>
      </c>
      <c r="K425" t="s">
        <v>432</v>
      </c>
      <c r="L425">
        <v>0.77833173537871525</v>
      </c>
      <c r="M425">
        <v>1</v>
      </c>
      <c r="N425">
        <v>1</v>
      </c>
      <c r="O425" t="s">
        <v>433</v>
      </c>
      <c r="P425">
        <v>0</v>
      </c>
      <c r="R425">
        <v>0</v>
      </c>
      <c r="T425">
        <v>0</v>
      </c>
      <c r="U425" t="b">
        <v>0</v>
      </c>
      <c r="V425">
        <v>0</v>
      </c>
      <c r="Y425">
        <v>0</v>
      </c>
      <c r="Z425">
        <v>129</v>
      </c>
      <c r="AA425">
        <v>1.25786163522012E-2</v>
      </c>
      <c r="AB425">
        <v>0.93023255813953476</v>
      </c>
      <c r="AC425">
        <v>1.8867924528301799E-2</v>
      </c>
      <c r="AD425">
        <v>0</v>
      </c>
      <c r="AE425">
        <v>0</v>
      </c>
      <c r="AF425" t="b">
        <v>0</v>
      </c>
    </row>
    <row r="426" spans="1:32" x14ac:dyDescent="0.3">
      <c r="A426" t="s">
        <v>978</v>
      </c>
      <c r="B426" t="s">
        <v>979</v>
      </c>
      <c r="C426" t="s">
        <v>474</v>
      </c>
      <c r="D426">
        <v>502</v>
      </c>
      <c r="E426">
        <v>14437</v>
      </c>
      <c r="F426">
        <v>39</v>
      </c>
      <c r="G426">
        <v>60</v>
      </c>
      <c r="H426">
        <v>60</v>
      </c>
      <c r="I426">
        <v>0.99397381727505718</v>
      </c>
      <c r="J426">
        <v>0.99127834537752302</v>
      </c>
      <c r="K426" t="s">
        <v>86</v>
      </c>
      <c r="P426">
        <v>0</v>
      </c>
      <c r="R426">
        <v>0</v>
      </c>
      <c r="T426">
        <v>0</v>
      </c>
      <c r="U426" t="b">
        <v>0</v>
      </c>
      <c r="V426">
        <v>21.785714285714281</v>
      </c>
      <c r="Y426">
        <v>0</v>
      </c>
      <c r="Z426">
        <v>224</v>
      </c>
      <c r="AA426">
        <v>-4.4066750615839798E-2</v>
      </c>
      <c r="AB426">
        <v>-4.4453084118262689</v>
      </c>
      <c r="AC426">
        <v>-1.45318672728203E-2</v>
      </c>
      <c r="AD426">
        <v>-8.0159774862693406E-2</v>
      </c>
      <c r="AE426">
        <v>0</v>
      </c>
      <c r="AF426" t="b">
        <v>0</v>
      </c>
    </row>
    <row r="427" spans="1:32" x14ac:dyDescent="0.3">
      <c r="A427" t="s">
        <v>980</v>
      </c>
      <c r="B427" t="s">
        <v>981</v>
      </c>
      <c r="C427" t="s">
        <v>431</v>
      </c>
      <c r="D427">
        <v>76</v>
      </c>
      <c r="E427">
        <v>1739</v>
      </c>
      <c r="F427">
        <v>3</v>
      </c>
      <c r="G427">
        <v>60</v>
      </c>
      <c r="H427">
        <v>60</v>
      </c>
      <c r="I427">
        <v>1</v>
      </c>
      <c r="J427">
        <v>1</v>
      </c>
      <c r="K427" t="s">
        <v>432</v>
      </c>
      <c r="L427">
        <v>0.70088845014807499</v>
      </c>
      <c r="M427">
        <v>1</v>
      </c>
      <c r="N427">
        <v>1</v>
      </c>
      <c r="O427" t="s">
        <v>433</v>
      </c>
      <c r="P427">
        <v>0</v>
      </c>
      <c r="R427">
        <v>0</v>
      </c>
      <c r="T427">
        <v>0</v>
      </c>
      <c r="U427" t="b">
        <v>0</v>
      </c>
      <c r="V427">
        <v>0</v>
      </c>
      <c r="Y427">
        <v>0</v>
      </c>
      <c r="Z427">
        <v>69</v>
      </c>
      <c r="AA427">
        <v>0</v>
      </c>
      <c r="AB427">
        <v>0</v>
      </c>
      <c r="AC427">
        <v>0</v>
      </c>
      <c r="AD427">
        <v>0</v>
      </c>
      <c r="AE427">
        <v>0</v>
      </c>
      <c r="AF427" t="b">
        <v>0</v>
      </c>
    </row>
    <row r="428" spans="1:32" x14ac:dyDescent="0.3">
      <c r="A428" t="s">
        <v>982</v>
      </c>
      <c r="B428" t="s">
        <v>983</v>
      </c>
      <c r="C428" t="s">
        <v>431</v>
      </c>
      <c r="D428">
        <v>72</v>
      </c>
      <c r="E428">
        <v>701</v>
      </c>
      <c r="F428">
        <v>10</v>
      </c>
      <c r="G428">
        <v>120</v>
      </c>
      <c r="H428">
        <v>60</v>
      </c>
      <c r="I428">
        <v>1</v>
      </c>
      <c r="J428">
        <v>1</v>
      </c>
      <c r="K428" t="s">
        <v>86</v>
      </c>
      <c r="P428">
        <v>0</v>
      </c>
      <c r="R428">
        <v>0</v>
      </c>
      <c r="T428">
        <v>0</v>
      </c>
      <c r="U428" t="b">
        <v>0</v>
      </c>
      <c r="V428">
        <v>5</v>
      </c>
      <c r="Y428">
        <v>0</v>
      </c>
      <c r="Z428">
        <v>46</v>
      </c>
      <c r="AA428">
        <v>-2.7210884353741E-3</v>
      </c>
      <c r="AB428">
        <v>-0.5124223602484469</v>
      </c>
      <c r="AC428">
        <v>-2.20125786163522E-2</v>
      </c>
      <c r="AD428">
        <v>-2.3255813953488299E-2</v>
      </c>
      <c r="AE428">
        <v>0</v>
      </c>
      <c r="AF428" t="b">
        <v>0</v>
      </c>
    </row>
    <row r="429" spans="1:32" x14ac:dyDescent="0.3">
      <c r="A429" t="s">
        <v>984</v>
      </c>
      <c r="B429" t="s">
        <v>985</v>
      </c>
      <c r="C429" t="s">
        <v>786</v>
      </c>
      <c r="D429">
        <v>2618</v>
      </c>
      <c r="E429">
        <v>161886</v>
      </c>
      <c r="F429">
        <v>38</v>
      </c>
      <c r="G429">
        <v>95</v>
      </c>
      <c r="H429">
        <v>1</v>
      </c>
      <c r="I429">
        <v>3.4950520736814698E-2</v>
      </c>
      <c r="J429">
        <v>0.2636106112921266</v>
      </c>
      <c r="K429" t="s">
        <v>86</v>
      </c>
      <c r="P429">
        <v>0</v>
      </c>
      <c r="R429">
        <v>0</v>
      </c>
      <c r="T429">
        <v>0</v>
      </c>
      <c r="U429" t="b">
        <v>0</v>
      </c>
      <c r="V429">
        <v>0</v>
      </c>
      <c r="Y429">
        <v>0</v>
      </c>
      <c r="Z429">
        <v>5451</v>
      </c>
      <c r="AA429">
        <v>0</v>
      </c>
      <c r="AB429">
        <v>0</v>
      </c>
      <c r="AC429">
        <v>0</v>
      </c>
      <c r="AD429">
        <v>0</v>
      </c>
      <c r="AE429">
        <v>0</v>
      </c>
      <c r="AF429" t="b">
        <v>0</v>
      </c>
    </row>
    <row r="430" spans="1:32" x14ac:dyDescent="0.3">
      <c r="A430" t="s">
        <v>986</v>
      </c>
      <c r="B430" t="s">
        <v>987</v>
      </c>
      <c r="C430" t="s">
        <v>431</v>
      </c>
      <c r="D430">
        <v>132</v>
      </c>
      <c r="E430">
        <v>484</v>
      </c>
      <c r="F430">
        <v>7</v>
      </c>
      <c r="G430">
        <v>180</v>
      </c>
      <c r="H430">
        <v>60</v>
      </c>
      <c r="I430">
        <v>1</v>
      </c>
      <c r="J430">
        <v>1</v>
      </c>
      <c r="K430" t="s">
        <v>432</v>
      </c>
      <c r="L430">
        <v>0.47115384615384609</v>
      </c>
      <c r="M430">
        <v>1</v>
      </c>
      <c r="O430" t="s">
        <v>433</v>
      </c>
      <c r="P430">
        <v>0</v>
      </c>
      <c r="R430">
        <v>0</v>
      </c>
      <c r="T430">
        <v>0</v>
      </c>
      <c r="U430" t="b">
        <v>0</v>
      </c>
      <c r="V430">
        <v>0</v>
      </c>
      <c r="Y430">
        <v>0.47115384615384609</v>
      </c>
      <c r="Z430">
        <v>22</v>
      </c>
      <c r="AA430">
        <v>0</v>
      </c>
      <c r="AB430">
        <v>0</v>
      </c>
      <c r="AC430">
        <v>0</v>
      </c>
      <c r="AD430">
        <v>0</v>
      </c>
      <c r="AE430">
        <v>0</v>
      </c>
      <c r="AF430" t="b">
        <v>0</v>
      </c>
    </row>
    <row r="431" spans="1:32" x14ac:dyDescent="0.3">
      <c r="A431" t="s">
        <v>988</v>
      </c>
      <c r="B431" t="s">
        <v>989</v>
      </c>
      <c r="C431" t="s">
        <v>431</v>
      </c>
      <c r="D431">
        <v>66</v>
      </c>
      <c r="E431">
        <v>33</v>
      </c>
      <c r="F431">
        <v>1</v>
      </c>
      <c r="G431">
        <v>172</v>
      </c>
      <c r="I431">
        <v>0</v>
      </c>
      <c r="J431">
        <v>0.19047619047619041</v>
      </c>
      <c r="K431" t="s">
        <v>432</v>
      </c>
      <c r="L431">
        <v>0.89743589743589747</v>
      </c>
      <c r="M431">
        <v>1</v>
      </c>
      <c r="N431">
        <v>0</v>
      </c>
      <c r="O431" t="s">
        <v>433</v>
      </c>
      <c r="P431">
        <v>561</v>
      </c>
      <c r="Q431">
        <v>0.94117647058823517</v>
      </c>
      <c r="R431">
        <v>0</v>
      </c>
      <c r="T431">
        <v>0</v>
      </c>
      <c r="U431" t="b">
        <v>0</v>
      </c>
      <c r="Y431">
        <v>0.46153846153846151</v>
      </c>
      <c r="Z431">
        <v>1</v>
      </c>
      <c r="AA431">
        <v>0</v>
      </c>
      <c r="AB431">
        <v>0</v>
      </c>
      <c r="AD431">
        <v>0</v>
      </c>
      <c r="AE431">
        <v>0</v>
      </c>
      <c r="AF431" t="b">
        <v>0</v>
      </c>
    </row>
    <row r="432" spans="1:32" x14ac:dyDescent="0.3">
      <c r="A432" t="s">
        <v>990</v>
      </c>
      <c r="B432" t="s">
        <v>991</v>
      </c>
      <c r="C432" t="s">
        <v>431</v>
      </c>
      <c r="D432">
        <v>108</v>
      </c>
      <c r="E432">
        <v>372</v>
      </c>
      <c r="F432">
        <v>9</v>
      </c>
      <c r="G432">
        <v>180</v>
      </c>
      <c r="H432">
        <v>60</v>
      </c>
      <c r="I432">
        <v>0.87096774193548387</v>
      </c>
      <c r="J432">
        <v>0.81512605042016806</v>
      </c>
      <c r="K432" t="s">
        <v>432</v>
      </c>
      <c r="L432">
        <v>0.90909090909090917</v>
      </c>
      <c r="M432">
        <v>1</v>
      </c>
      <c r="N432">
        <v>0.78217821782178221</v>
      </c>
      <c r="O432" t="s">
        <v>433</v>
      </c>
      <c r="P432">
        <v>0</v>
      </c>
      <c r="R432">
        <v>0</v>
      </c>
      <c r="T432">
        <v>0</v>
      </c>
      <c r="U432" t="b">
        <v>0</v>
      </c>
      <c r="Y432">
        <v>0.39898989898989901</v>
      </c>
      <c r="Z432">
        <v>12</v>
      </c>
      <c r="AA432">
        <v>0</v>
      </c>
      <c r="AB432">
        <v>0</v>
      </c>
      <c r="AD432">
        <v>0</v>
      </c>
      <c r="AE432">
        <v>0</v>
      </c>
      <c r="AF432" t="b">
        <v>0</v>
      </c>
    </row>
    <row r="433" spans="1:35" x14ac:dyDescent="0.3">
      <c r="A433" t="s">
        <v>992</v>
      </c>
      <c r="B433" t="s">
        <v>993</v>
      </c>
      <c r="C433" t="s">
        <v>431</v>
      </c>
      <c r="D433">
        <v>7642</v>
      </c>
      <c r="E433">
        <v>243549</v>
      </c>
      <c r="F433">
        <v>38</v>
      </c>
      <c r="G433">
        <v>60</v>
      </c>
      <c r="H433">
        <v>60</v>
      </c>
      <c r="I433">
        <v>1</v>
      </c>
      <c r="J433">
        <v>1</v>
      </c>
      <c r="K433" t="s">
        <v>432</v>
      </c>
      <c r="L433">
        <v>0.84233748262982922</v>
      </c>
      <c r="M433">
        <v>1</v>
      </c>
      <c r="N433">
        <v>1</v>
      </c>
      <c r="O433" t="s">
        <v>433</v>
      </c>
      <c r="P433">
        <v>0</v>
      </c>
      <c r="R433">
        <v>0</v>
      </c>
      <c r="T433">
        <v>1</v>
      </c>
      <c r="U433" t="b">
        <v>1</v>
      </c>
      <c r="V433">
        <v>6.0318988779104163</v>
      </c>
      <c r="W433">
        <v>0</v>
      </c>
      <c r="X433" t="b">
        <v>1</v>
      </c>
      <c r="Y433">
        <v>0</v>
      </c>
      <c r="Z433">
        <v>5494</v>
      </c>
      <c r="AA433">
        <v>3.1492353868891897E-2</v>
      </c>
      <c r="AB433">
        <v>2.5377233684369651</v>
      </c>
      <c r="AC433">
        <v>2.3927747527268E-3</v>
      </c>
      <c r="AD433">
        <v>5.5916081302952697E-2</v>
      </c>
      <c r="AE433">
        <v>1</v>
      </c>
      <c r="AF433" t="b">
        <v>1</v>
      </c>
      <c r="AG433">
        <v>0</v>
      </c>
      <c r="AH433">
        <v>0</v>
      </c>
      <c r="AI433" t="b">
        <v>1</v>
      </c>
    </row>
    <row r="434" spans="1:35" x14ac:dyDescent="0.3">
      <c r="A434" t="s">
        <v>994</v>
      </c>
      <c r="B434" t="s">
        <v>995</v>
      </c>
      <c r="C434" t="s">
        <v>431</v>
      </c>
      <c r="D434">
        <v>7802</v>
      </c>
      <c r="E434">
        <v>310672</v>
      </c>
      <c r="F434">
        <v>471</v>
      </c>
      <c r="G434">
        <v>52</v>
      </c>
      <c r="H434">
        <v>1</v>
      </c>
      <c r="I434">
        <v>2.90788999330483E-2</v>
      </c>
      <c r="J434">
        <v>0.2052751610059696</v>
      </c>
      <c r="K434" t="s">
        <v>86</v>
      </c>
      <c r="P434">
        <v>0</v>
      </c>
      <c r="R434">
        <v>0</v>
      </c>
      <c r="T434">
        <v>2</v>
      </c>
      <c r="U434" t="b">
        <v>1</v>
      </c>
      <c r="V434">
        <v>7.5564322161045503</v>
      </c>
      <c r="W434">
        <v>1.2668918918918921</v>
      </c>
      <c r="X434" t="b">
        <v>1</v>
      </c>
      <c r="Y434">
        <v>4.7659510423950002E-4</v>
      </c>
      <c r="Z434">
        <v>8492</v>
      </c>
      <c r="AA434">
        <v>2.1212469668328099E-2</v>
      </c>
      <c r="AB434">
        <v>1.425207587613597</v>
      </c>
      <c r="AC434">
        <v>-2.5139621472181399E-2</v>
      </c>
      <c r="AD434">
        <v>7.1990403987646306E-2</v>
      </c>
      <c r="AE434">
        <v>2</v>
      </c>
      <c r="AF434" t="b">
        <v>1</v>
      </c>
      <c r="AG434">
        <v>5.4278994029310001E-4</v>
      </c>
      <c r="AH434">
        <v>9.5016891891891803E-2</v>
      </c>
      <c r="AI434" t="b">
        <v>1</v>
      </c>
    </row>
    <row r="435" spans="1:35" x14ac:dyDescent="0.3">
      <c r="A435" t="s">
        <v>996</v>
      </c>
      <c r="B435" t="s">
        <v>997</v>
      </c>
      <c r="C435" t="s">
        <v>431</v>
      </c>
      <c r="D435">
        <v>585</v>
      </c>
      <c r="E435">
        <v>13605</v>
      </c>
      <c r="F435">
        <v>49</v>
      </c>
      <c r="G435">
        <v>60</v>
      </c>
      <c r="H435">
        <v>1</v>
      </c>
      <c r="I435">
        <v>0.64013230429988976</v>
      </c>
      <c r="J435">
        <v>0.81804087385482738</v>
      </c>
      <c r="K435" t="s">
        <v>432</v>
      </c>
      <c r="L435">
        <v>0.76102889358703307</v>
      </c>
      <c r="M435">
        <v>1</v>
      </c>
      <c r="N435">
        <v>0.76090378738772113</v>
      </c>
      <c r="O435" t="s">
        <v>433</v>
      </c>
      <c r="P435">
        <v>2582</v>
      </c>
      <c r="Q435">
        <v>1.3555383423702499E-2</v>
      </c>
      <c r="R435">
        <v>0</v>
      </c>
      <c r="T435">
        <v>0</v>
      </c>
      <c r="U435" t="b">
        <v>0</v>
      </c>
      <c r="V435">
        <v>9.6067073170731714</v>
      </c>
      <c r="Y435">
        <v>0</v>
      </c>
      <c r="Z435">
        <v>655</v>
      </c>
      <c r="AA435">
        <v>6.6457714969044004E-3</v>
      </c>
      <c r="AB435">
        <v>0.6417248273355145</v>
      </c>
      <c r="AC435">
        <v>-2.3977397560257602E-2</v>
      </c>
      <c r="AD435">
        <v>3.2924017591435803E-2</v>
      </c>
      <c r="AE435">
        <v>0</v>
      </c>
      <c r="AF435" t="b">
        <v>0</v>
      </c>
    </row>
    <row r="436" spans="1:35" x14ac:dyDescent="0.3">
      <c r="A436" t="s">
        <v>998</v>
      </c>
      <c r="B436" t="s">
        <v>999</v>
      </c>
      <c r="C436" t="s">
        <v>431</v>
      </c>
      <c r="D436">
        <v>8393</v>
      </c>
      <c r="E436">
        <v>520354</v>
      </c>
      <c r="F436">
        <v>512</v>
      </c>
      <c r="G436">
        <v>41</v>
      </c>
      <c r="H436">
        <v>1</v>
      </c>
      <c r="I436">
        <v>1.7516921172893801E-2</v>
      </c>
      <c r="J436">
        <v>0.12441489029724991</v>
      </c>
      <c r="K436" t="s">
        <v>432</v>
      </c>
      <c r="L436">
        <v>0.88986415052945922</v>
      </c>
      <c r="M436">
        <v>1</v>
      </c>
      <c r="N436">
        <v>1.6046315404675299E-2</v>
      </c>
      <c r="O436" t="s">
        <v>433</v>
      </c>
      <c r="P436">
        <v>393618</v>
      </c>
      <c r="Q436">
        <v>0.2443180952090605</v>
      </c>
      <c r="R436">
        <v>0</v>
      </c>
      <c r="T436">
        <v>1</v>
      </c>
      <c r="U436" t="b">
        <v>1</v>
      </c>
      <c r="V436">
        <v>5.316735006818524</v>
      </c>
      <c r="W436">
        <v>0</v>
      </c>
      <c r="X436" t="b">
        <v>1</v>
      </c>
      <c r="Y436">
        <v>0</v>
      </c>
      <c r="Z436">
        <v>10530</v>
      </c>
      <c r="AA436">
        <v>3.7396917827443699E-2</v>
      </c>
      <c r="AB436">
        <v>1.917095399382738</v>
      </c>
      <c r="AC436">
        <v>-1.6892666850453E-3</v>
      </c>
      <c r="AD436">
        <v>7.74198774732658E-2</v>
      </c>
      <c r="AE436">
        <v>1</v>
      </c>
      <c r="AF436" t="b">
        <v>1</v>
      </c>
      <c r="AG436">
        <v>0</v>
      </c>
      <c r="AH436">
        <v>0</v>
      </c>
      <c r="AI436" t="b">
        <v>1</v>
      </c>
    </row>
    <row r="437" spans="1:35" x14ac:dyDescent="0.3">
      <c r="A437" t="s">
        <v>1000</v>
      </c>
      <c r="B437" t="s">
        <v>1001</v>
      </c>
      <c r="C437" t="s">
        <v>431</v>
      </c>
      <c r="D437">
        <v>1626</v>
      </c>
      <c r="E437">
        <v>47470</v>
      </c>
      <c r="F437">
        <v>211</v>
      </c>
      <c r="G437">
        <v>58</v>
      </c>
      <c r="H437">
        <v>1</v>
      </c>
      <c r="I437">
        <v>4.3943543290499203E-2</v>
      </c>
      <c r="J437">
        <v>0.2014855704834192</v>
      </c>
      <c r="K437" t="s">
        <v>432</v>
      </c>
      <c r="L437">
        <v>0.84584162032715027</v>
      </c>
      <c r="M437">
        <v>1</v>
      </c>
      <c r="N437">
        <v>5.5952780843610501E-2</v>
      </c>
      <c r="O437" t="s">
        <v>433</v>
      </c>
      <c r="P437">
        <v>39346</v>
      </c>
      <c r="Q437">
        <v>0.1806282722513089</v>
      </c>
      <c r="R437">
        <v>0</v>
      </c>
      <c r="T437">
        <v>1</v>
      </c>
      <c r="U437" t="b">
        <v>1</v>
      </c>
      <c r="V437">
        <v>0.5671327119396361</v>
      </c>
      <c r="W437">
        <v>7.3863636363637006E-2</v>
      </c>
      <c r="X437" t="b">
        <v>1</v>
      </c>
      <c r="Y437">
        <v>0</v>
      </c>
      <c r="Z437">
        <v>1747</v>
      </c>
      <c r="AA437">
        <v>1.7783888372273E-3</v>
      </c>
      <c r="AB437">
        <v>0.1201038515005315</v>
      </c>
      <c r="AC437">
        <v>8.1482516180099616E-5</v>
      </c>
      <c r="AD437">
        <v>6.5033600693690996E-3</v>
      </c>
      <c r="AE437">
        <v>1</v>
      </c>
      <c r="AF437" t="b">
        <v>1</v>
      </c>
      <c r="AG437">
        <v>1.1250130581869999E-4</v>
      </c>
      <c r="AH437">
        <v>1.2477718360071499E-2</v>
      </c>
      <c r="AI437" t="b">
        <v>1</v>
      </c>
    </row>
    <row r="438" spans="1:35" x14ac:dyDescent="0.3">
      <c r="A438" t="s">
        <v>1002</v>
      </c>
      <c r="B438" t="s">
        <v>1003</v>
      </c>
      <c r="C438" t="s">
        <v>431</v>
      </c>
      <c r="D438">
        <v>854</v>
      </c>
      <c r="E438">
        <v>23053</v>
      </c>
      <c r="F438">
        <v>272</v>
      </c>
      <c r="G438">
        <v>47</v>
      </c>
      <c r="H438">
        <v>1</v>
      </c>
      <c r="I438">
        <v>2.0778206740988101E-2</v>
      </c>
      <c r="J438">
        <v>0.1825825072154599</v>
      </c>
      <c r="K438" t="s">
        <v>432</v>
      </c>
      <c r="L438">
        <v>0.83552934287028902</v>
      </c>
      <c r="M438">
        <v>1</v>
      </c>
      <c r="N438">
        <v>2.1677096370463E-2</v>
      </c>
      <c r="O438" t="s">
        <v>433</v>
      </c>
      <c r="P438">
        <v>19542</v>
      </c>
      <c r="Q438">
        <v>0.2345205199058438</v>
      </c>
      <c r="R438">
        <v>0</v>
      </c>
      <c r="T438">
        <v>0</v>
      </c>
      <c r="U438" t="b">
        <v>0</v>
      </c>
      <c r="V438">
        <v>6.1550757575757578</v>
      </c>
      <c r="Y438">
        <v>0</v>
      </c>
      <c r="Z438">
        <v>989</v>
      </c>
      <c r="AA438">
        <v>-1.8122497834066199E-2</v>
      </c>
      <c r="AB438">
        <v>-1.2754075858979801</v>
      </c>
      <c r="AC438">
        <v>-6.4677268184851505E-2</v>
      </c>
      <c r="AD438">
        <v>8.7846003256054992E-3</v>
      </c>
      <c r="AE438">
        <v>0</v>
      </c>
      <c r="AF438" t="b">
        <v>0</v>
      </c>
    </row>
    <row r="439" spans="1:35" x14ac:dyDescent="0.3">
      <c r="A439" t="s">
        <v>1004</v>
      </c>
      <c r="B439" t="s">
        <v>1005</v>
      </c>
      <c r="C439" t="s">
        <v>431</v>
      </c>
      <c r="D439">
        <v>687</v>
      </c>
      <c r="E439">
        <v>29953</v>
      </c>
      <c r="F439">
        <v>26</v>
      </c>
      <c r="G439">
        <v>59</v>
      </c>
      <c r="H439">
        <v>1</v>
      </c>
      <c r="I439">
        <v>0.3187660668380462</v>
      </c>
      <c r="J439">
        <v>0.62242167101827672</v>
      </c>
      <c r="K439" t="s">
        <v>432</v>
      </c>
      <c r="L439">
        <v>0.90900783289817244</v>
      </c>
      <c r="M439">
        <v>1</v>
      </c>
      <c r="N439">
        <v>0.58462587964957635</v>
      </c>
      <c r="O439" t="s">
        <v>433</v>
      </c>
      <c r="P439">
        <v>11569</v>
      </c>
      <c r="Q439">
        <v>3.9415679834039201E-2</v>
      </c>
      <c r="R439">
        <v>0</v>
      </c>
      <c r="T439">
        <v>0</v>
      </c>
      <c r="U439" t="b">
        <v>0</v>
      </c>
      <c r="V439">
        <v>7.4552110249784667</v>
      </c>
      <c r="Y439">
        <v>0</v>
      </c>
      <c r="Z439">
        <v>1488</v>
      </c>
      <c r="AA439">
        <v>1.04286106410262E-2</v>
      </c>
      <c r="AB439">
        <v>0.48682875704045059</v>
      </c>
      <c r="AC439">
        <v>-1.80739915718429E-2</v>
      </c>
      <c r="AD439">
        <v>6.5438343307175503E-2</v>
      </c>
      <c r="AE439">
        <v>0</v>
      </c>
      <c r="AF439" t="b">
        <v>0</v>
      </c>
    </row>
    <row r="440" spans="1:35" x14ac:dyDescent="0.3">
      <c r="A440" t="s">
        <v>1006</v>
      </c>
      <c r="B440" t="s">
        <v>1007</v>
      </c>
      <c r="C440" t="s">
        <v>431</v>
      </c>
      <c r="D440">
        <v>555</v>
      </c>
      <c r="E440">
        <v>13421</v>
      </c>
      <c r="F440">
        <v>21</v>
      </c>
      <c r="G440">
        <v>60</v>
      </c>
      <c r="H440">
        <v>10</v>
      </c>
      <c r="I440">
        <v>0.50577453244914683</v>
      </c>
      <c r="J440">
        <v>0.72996565540927305</v>
      </c>
      <c r="K440" t="s">
        <v>432</v>
      </c>
      <c r="L440">
        <v>0.80566685746994848</v>
      </c>
      <c r="M440">
        <v>0.85456553755522824</v>
      </c>
      <c r="N440">
        <v>0.69991119005328595</v>
      </c>
      <c r="O440" t="s">
        <v>433</v>
      </c>
      <c r="P440">
        <v>3349</v>
      </c>
      <c r="Q440">
        <v>7.31561660197073E-2</v>
      </c>
      <c r="R440">
        <v>339</v>
      </c>
      <c r="S440">
        <v>0</v>
      </c>
      <c r="T440">
        <v>0</v>
      </c>
      <c r="U440" t="b">
        <v>0</v>
      </c>
      <c r="V440">
        <v>2.4835526315789478</v>
      </c>
      <c r="Y440">
        <v>0</v>
      </c>
      <c r="Z440">
        <v>586</v>
      </c>
      <c r="AA440">
        <v>2.4066511085179998E-3</v>
      </c>
      <c r="AB440">
        <v>0.1407849829351536</v>
      </c>
      <c r="AC440">
        <v>8.4650112866809998E-4</v>
      </c>
      <c r="AD440">
        <v>0</v>
      </c>
      <c r="AE440">
        <v>0</v>
      </c>
      <c r="AF440" t="b">
        <v>0</v>
      </c>
    </row>
    <row r="441" spans="1:35" x14ac:dyDescent="0.3">
      <c r="A441" t="s">
        <v>1008</v>
      </c>
      <c r="B441" t="s">
        <v>1009</v>
      </c>
      <c r="C441" t="s">
        <v>431</v>
      </c>
      <c r="D441">
        <v>1385</v>
      </c>
      <c r="E441">
        <v>25572</v>
      </c>
      <c r="F441">
        <v>210</v>
      </c>
      <c r="G441">
        <v>59</v>
      </c>
      <c r="H441">
        <v>1</v>
      </c>
      <c r="I441">
        <v>2.1234162365086798E-2</v>
      </c>
      <c r="J441">
        <v>0.20692213525243899</v>
      </c>
      <c r="K441" t="s">
        <v>432</v>
      </c>
      <c r="L441">
        <v>0.80387283451422631</v>
      </c>
      <c r="M441">
        <v>1</v>
      </c>
      <c r="N441">
        <v>1.3428703276419001E-2</v>
      </c>
      <c r="O441" t="s">
        <v>433</v>
      </c>
      <c r="P441">
        <v>21379</v>
      </c>
      <c r="Q441">
        <v>1</v>
      </c>
      <c r="R441">
        <v>0</v>
      </c>
      <c r="T441">
        <v>0</v>
      </c>
      <c r="U441" t="b">
        <v>0</v>
      </c>
      <c r="V441">
        <v>8.0117621085524089</v>
      </c>
      <c r="Y441">
        <v>0</v>
      </c>
      <c r="Z441">
        <v>895</v>
      </c>
      <c r="AA441">
        <v>-7.8896928791516996E-3</v>
      </c>
      <c r="AB441">
        <v>-0.54833231944963789</v>
      </c>
      <c r="AC441">
        <v>-5.0542023271392497E-2</v>
      </c>
      <c r="AD441">
        <v>4.3841442340639997E-2</v>
      </c>
      <c r="AE441">
        <v>0</v>
      </c>
      <c r="AF441" t="b">
        <v>0</v>
      </c>
    </row>
    <row r="442" spans="1:35" x14ac:dyDescent="0.3">
      <c r="A442" t="s">
        <v>1010</v>
      </c>
      <c r="B442" t="s">
        <v>1011</v>
      </c>
      <c r="C442" t="s">
        <v>431</v>
      </c>
      <c r="D442">
        <v>780</v>
      </c>
      <c r="E442">
        <v>24063</v>
      </c>
      <c r="F442">
        <v>220</v>
      </c>
      <c r="G442">
        <v>40</v>
      </c>
      <c r="H442">
        <v>1</v>
      </c>
      <c r="I442">
        <v>2.8009807588413701E-2</v>
      </c>
      <c r="J442">
        <v>0.19136175180131221</v>
      </c>
      <c r="K442" t="s">
        <v>432</v>
      </c>
      <c r="L442">
        <v>0.81302580203679109</v>
      </c>
      <c r="M442">
        <v>1</v>
      </c>
      <c r="N442">
        <v>5.3965739182097001E-3</v>
      </c>
      <c r="O442" t="s">
        <v>433</v>
      </c>
      <c r="P442">
        <v>20089</v>
      </c>
      <c r="Q442">
        <v>0.78236846035143615</v>
      </c>
      <c r="R442">
        <v>0</v>
      </c>
      <c r="T442">
        <v>0</v>
      </c>
      <c r="U442" t="b">
        <v>0</v>
      </c>
      <c r="V442">
        <v>1.21212121212121E-2</v>
      </c>
      <c r="Y442">
        <v>0</v>
      </c>
      <c r="Z442">
        <v>856</v>
      </c>
      <c r="AA442">
        <v>1.04232804232804E-2</v>
      </c>
      <c r="AB442">
        <v>0.69042056074766345</v>
      </c>
      <c r="AC442">
        <v>5.0734871070662003E-3</v>
      </c>
      <c r="AD442">
        <v>8.0115977414923992E-3</v>
      </c>
      <c r="AE442">
        <v>0</v>
      </c>
      <c r="AF442" t="b">
        <v>0</v>
      </c>
    </row>
    <row r="443" spans="1:35" x14ac:dyDescent="0.3">
      <c r="A443" t="s">
        <v>1012</v>
      </c>
      <c r="B443" t="s">
        <v>1013</v>
      </c>
      <c r="C443" t="s">
        <v>431</v>
      </c>
      <c r="D443">
        <v>394</v>
      </c>
      <c r="E443">
        <v>6668</v>
      </c>
      <c r="F443">
        <v>5</v>
      </c>
      <c r="G443">
        <v>60</v>
      </c>
      <c r="H443">
        <v>60</v>
      </c>
      <c r="I443">
        <v>1</v>
      </c>
      <c r="J443">
        <v>1</v>
      </c>
      <c r="K443" t="s">
        <v>432</v>
      </c>
      <c r="L443">
        <v>0.84748988817511306</v>
      </c>
      <c r="M443">
        <v>1</v>
      </c>
      <c r="N443">
        <v>1</v>
      </c>
      <c r="O443" t="s">
        <v>433</v>
      </c>
      <c r="P443">
        <v>0</v>
      </c>
      <c r="R443">
        <v>0</v>
      </c>
      <c r="T443">
        <v>0</v>
      </c>
      <c r="U443" t="b">
        <v>0</v>
      </c>
      <c r="V443">
        <v>0</v>
      </c>
      <c r="Y443">
        <v>0</v>
      </c>
      <c r="Z443">
        <v>522</v>
      </c>
      <c r="AA443">
        <v>0</v>
      </c>
      <c r="AB443">
        <v>0</v>
      </c>
      <c r="AC443">
        <v>0</v>
      </c>
      <c r="AD443">
        <v>0</v>
      </c>
      <c r="AE443">
        <v>0</v>
      </c>
      <c r="AF443" t="b">
        <v>0</v>
      </c>
    </row>
    <row r="444" spans="1:35" x14ac:dyDescent="0.3">
      <c r="A444" t="s">
        <v>1014</v>
      </c>
      <c r="B444" t="s">
        <v>1015</v>
      </c>
      <c r="C444" t="s">
        <v>431</v>
      </c>
      <c r="D444">
        <v>1486</v>
      </c>
      <c r="E444">
        <v>43968</v>
      </c>
      <c r="F444">
        <v>21</v>
      </c>
      <c r="G444">
        <v>60</v>
      </c>
      <c r="H444">
        <v>60</v>
      </c>
      <c r="I444">
        <v>1</v>
      </c>
      <c r="J444">
        <v>1</v>
      </c>
      <c r="K444" t="s">
        <v>432</v>
      </c>
      <c r="L444">
        <v>0.888833746898263</v>
      </c>
      <c r="M444">
        <v>1</v>
      </c>
      <c r="N444">
        <v>1</v>
      </c>
      <c r="O444" t="s">
        <v>433</v>
      </c>
      <c r="P444">
        <v>0</v>
      </c>
      <c r="R444">
        <v>0</v>
      </c>
      <c r="T444">
        <v>0</v>
      </c>
      <c r="U444" t="b">
        <v>0</v>
      </c>
      <c r="V444">
        <v>3.9617940199335542</v>
      </c>
      <c r="Y444">
        <v>0</v>
      </c>
      <c r="Z444">
        <v>1362</v>
      </c>
      <c r="AA444">
        <v>1.6735223363465401E-2</v>
      </c>
      <c r="AB444">
        <v>1.247124326970142</v>
      </c>
      <c r="AC444">
        <v>-5.9456853607583997E-3</v>
      </c>
      <c r="AD444">
        <v>2.7200540631863401E-2</v>
      </c>
      <c r="AE444">
        <v>0</v>
      </c>
      <c r="AF444" t="b">
        <v>0</v>
      </c>
    </row>
    <row r="445" spans="1:35" x14ac:dyDescent="0.3">
      <c r="A445" t="s">
        <v>1016</v>
      </c>
      <c r="B445" t="s">
        <v>1017</v>
      </c>
      <c r="C445" t="s">
        <v>431</v>
      </c>
      <c r="D445">
        <v>865</v>
      </c>
      <c r="E445">
        <v>11456</v>
      </c>
      <c r="F445">
        <v>122</v>
      </c>
      <c r="G445">
        <v>82</v>
      </c>
      <c r="H445">
        <v>1</v>
      </c>
      <c r="I445">
        <v>2.7060055865921698E-2</v>
      </c>
      <c r="J445">
        <v>0.20826231637042439</v>
      </c>
      <c r="K445" t="s">
        <v>432</v>
      </c>
      <c r="L445">
        <v>0.80318155993831675</v>
      </c>
      <c r="M445">
        <v>1</v>
      </c>
      <c r="N445">
        <v>1.42481810832659E-2</v>
      </c>
      <c r="O445" t="s">
        <v>433</v>
      </c>
      <c r="P445">
        <v>9755</v>
      </c>
      <c r="Q445">
        <v>5.8944131214761601E-2</v>
      </c>
      <c r="R445">
        <v>0</v>
      </c>
      <c r="T445">
        <v>0</v>
      </c>
      <c r="U445" t="b">
        <v>0</v>
      </c>
      <c r="V445">
        <v>2.2949709864603478</v>
      </c>
      <c r="Y445">
        <v>0</v>
      </c>
      <c r="Z445">
        <v>141</v>
      </c>
      <c r="AA445">
        <v>-1.0270541330910401E-2</v>
      </c>
      <c r="AB445">
        <v>-1.0631102888272179</v>
      </c>
      <c r="AC445">
        <v>-2.1017990802163398E-2</v>
      </c>
      <c r="AD445">
        <v>0</v>
      </c>
      <c r="AE445">
        <v>0</v>
      </c>
      <c r="AF445" t="b">
        <v>0</v>
      </c>
    </row>
    <row r="446" spans="1:35" x14ac:dyDescent="0.3">
      <c r="A446" t="s">
        <v>1018</v>
      </c>
      <c r="B446" t="s">
        <v>1019</v>
      </c>
      <c r="C446" t="s">
        <v>431</v>
      </c>
      <c r="D446">
        <v>2619</v>
      </c>
      <c r="E446">
        <v>65431</v>
      </c>
      <c r="F446">
        <v>220</v>
      </c>
      <c r="G446">
        <v>56</v>
      </c>
      <c r="H446">
        <v>1</v>
      </c>
      <c r="I446">
        <v>1.5833473430025499E-2</v>
      </c>
      <c r="J446">
        <v>0.15663482733284351</v>
      </c>
      <c r="K446" t="s">
        <v>432</v>
      </c>
      <c r="L446">
        <v>0.86473181484202788</v>
      </c>
      <c r="M446">
        <v>0.99782726778924502</v>
      </c>
      <c r="N446">
        <v>2.5048857167133901E-2</v>
      </c>
      <c r="O446" t="s">
        <v>433</v>
      </c>
      <c r="P446">
        <v>57371</v>
      </c>
      <c r="Q446">
        <v>6.6026389639364802E-2</v>
      </c>
      <c r="R446">
        <v>0</v>
      </c>
      <c r="T446">
        <v>0</v>
      </c>
      <c r="U446" t="b">
        <v>0</v>
      </c>
      <c r="V446">
        <v>0.164732770745429</v>
      </c>
      <c r="Y446">
        <v>0</v>
      </c>
      <c r="Z446">
        <v>1732</v>
      </c>
      <c r="AA446">
        <v>2.9909860473869999E-3</v>
      </c>
      <c r="AB446">
        <v>0.22162831298801269</v>
      </c>
      <c r="AC446">
        <v>3.8733697222573002E-3</v>
      </c>
      <c r="AD446">
        <v>3.8371832182949998E-3</v>
      </c>
      <c r="AE446">
        <v>0</v>
      </c>
      <c r="AF446" t="b">
        <v>0</v>
      </c>
    </row>
    <row r="447" spans="1:35" x14ac:dyDescent="0.3">
      <c r="A447" t="s">
        <v>1020</v>
      </c>
      <c r="B447" t="s">
        <v>1021</v>
      </c>
      <c r="C447" t="s">
        <v>431</v>
      </c>
      <c r="D447">
        <v>327</v>
      </c>
      <c r="E447">
        <v>442</v>
      </c>
      <c r="F447">
        <v>5</v>
      </c>
      <c r="G447">
        <v>120</v>
      </c>
      <c r="H447">
        <v>60</v>
      </c>
      <c r="I447">
        <v>0.97737556561085959</v>
      </c>
      <c r="J447">
        <v>0.98122485471613763</v>
      </c>
      <c r="K447" t="s">
        <v>432</v>
      </c>
      <c r="L447">
        <v>0.80443031483950367</v>
      </c>
      <c r="M447">
        <v>0.97797587834294719</v>
      </c>
      <c r="N447">
        <v>1</v>
      </c>
      <c r="O447" t="s">
        <v>433</v>
      </c>
      <c r="P447">
        <v>0</v>
      </c>
      <c r="R447">
        <v>16</v>
      </c>
      <c r="S447">
        <v>0</v>
      </c>
      <c r="T447">
        <v>0</v>
      </c>
      <c r="U447" t="b">
        <v>0</v>
      </c>
      <c r="Y447">
        <v>0.77058763203773972</v>
      </c>
      <c r="Z447">
        <v>14</v>
      </c>
      <c r="AA447">
        <v>3.8251366120218497E-2</v>
      </c>
      <c r="AB447">
        <v>5</v>
      </c>
      <c r="AC447">
        <v>4.7619047619047603E-2</v>
      </c>
      <c r="AD447">
        <v>3.8251366120218497E-2</v>
      </c>
      <c r="AE447">
        <v>0</v>
      </c>
      <c r="AF447" t="b">
        <v>0</v>
      </c>
    </row>
    <row r="448" spans="1:35" x14ac:dyDescent="0.3">
      <c r="A448" t="s">
        <v>1022</v>
      </c>
      <c r="B448" t="s">
        <v>1023</v>
      </c>
      <c r="C448" t="s">
        <v>431</v>
      </c>
      <c r="D448">
        <v>249</v>
      </c>
      <c r="E448">
        <v>6682</v>
      </c>
      <c r="F448">
        <v>87</v>
      </c>
      <c r="G448">
        <v>45</v>
      </c>
      <c r="H448">
        <v>1</v>
      </c>
      <c r="I448">
        <v>2.1400778210116701E-2</v>
      </c>
      <c r="J448">
        <v>0.18366758043572351</v>
      </c>
      <c r="K448" t="s">
        <v>432</v>
      </c>
      <c r="L448">
        <v>0.81791949213677684</v>
      </c>
      <c r="M448">
        <v>1</v>
      </c>
      <c r="N448">
        <v>1.9403774916210001E-3</v>
      </c>
      <c r="O448" t="s">
        <v>433</v>
      </c>
      <c r="P448">
        <v>5658</v>
      </c>
      <c r="Q448">
        <v>1</v>
      </c>
      <c r="R448">
        <v>0</v>
      </c>
      <c r="T448">
        <v>0</v>
      </c>
      <c r="U448" t="b">
        <v>0</v>
      </c>
      <c r="V448">
        <v>0</v>
      </c>
      <c r="Y448">
        <v>0</v>
      </c>
      <c r="Z448">
        <v>299</v>
      </c>
      <c r="AA448">
        <v>0</v>
      </c>
      <c r="AB448">
        <v>0</v>
      </c>
      <c r="AC448">
        <v>0</v>
      </c>
      <c r="AD448">
        <v>0</v>
      </c>
      <c r="AE448">
        <v>0</v>
      </c>
      <c r="AF448" t="b">
        <v>0</v>
      </c>
    </row>
    <row r="449" spans="1:35" x14ac:dyDescent="0.3">
      <c r="A449" t="s">
        <v>1024</v>
      </c>
      <c r="B449" t="s">
        <v>1025</v>
      </c>
      <c r="C449" t="s">
        <v>1026</v>
      </c>
      <c r="D449">
        <v>980</v>
      </c>
      <c r="E449">
        <v>14564</v>
      </c>
      <c r="F449">
        <v>1089</v>
      </c>
      <c r="G449">
        <v>85</v>
      </c>
      <c r="H449">
        <v>1</v>
      </c>
      <c r="I449">
        <v>1.57237022795935E-2</v>
      </c>
      <c r="J449">
        <v>0.13868520053561181</v>
      </c>
      <c r="K449" t="s">
        <v>86</v>
      </c>
      <c r="P449">
        <v>0</v>
      </c>
      <c r="R449">
        <v>0</v>
      </c>
      <c r="T449">
        <v>0</v>
      </c>
      <c r="U449" t="b">
        <v>0</v>
      </c>
      <c r="Y449">
        <v>0</v>
      </c>
      <c r="Z449">
        <v>0</v>
      </c>
      <c r="AE449">
        <v>0</v>
      </c>
      <c r="AF449" t="b">
        <v>0</v>
      </c>
    </row>
    <row r="450" spans="1:35" x14ac:dyDescent="0.3">
      <c r="A450" t="s">
        <v>1027</v>
      </c>
      <c r="B450" t="s">
        <v>1028</v>
      </c>
      <c r="C450" t="s">
        <v>431</v>
      </c>
      <c r="D450">
        <v>466</v>
      </c>
      <c r="E450">
        <v>65</v>
      </c>
      <c r="F450">
        <v>7</v>
      </c>
      <c r="G450">
        <v>120</v>
      </c>
      <c r="H450">
        <v>30</v>
      </c>
      <c r="I450">
        <v>0.81538461538461537</v>
      </c>
      <c r="J450">
        <v>0.99317406143344722</v>
      </c>
      <c r="K450" t="s">
        <v>86</v>
      </c>
      <c r="P450">
        <v>0</v>
      </c>
      <c r="R450">
        <v>0</v>
      </c>
      <c r="T450">
        <v>0</v>
      </c>
      <c r="U450" t="b">
        <v>0</v>
      </c>
      <c r="Y450">
        <v>0.88803974016048914</v>
      </c>
      <c r="Z450">
        <v>3</v>
      </c>
      <c r="AA450">
        <v>-0.22222222222222221</v>
      </c>
      <c r="AB450">
        <v>-20</v>
      </c>
      <c r="AC450">
        <v>0</v>
      </c>
      <c r="AE450">
        <v>0</v>
      </c>
      <c r="AF450" t="b">
        <v>0</v>
      </c>
    </row>
    <row r="451" spans="1:35" x14ac:dyDescent="0.3">
      <c r="A451" t="s">
        <v>1029</v>
      </c>
      <c r="B451" t="s">
        <v>1030</v>
      </c>
      <c r="C451" t="s">
        <v>431</v>
      </c>
      <c r="D451">
        <v>230</v>
      </c>
      <c r="E451">
        <v>5237</v>
      </c>
      <c r="F451">
        <v>9</v>
      </c>
      <c r="G451">
        <v>60</v>
      </c>
      <c r="H451">
        <v>60</v>
      </c>
      <c r="I451">
        <v>1</v>
      </c>
      <c r="J451">
        <v>1</v>
      </c>
      <c r="K451" t="s">
        <v>86</v>
      </c>
      <c r="P451">
        <v>0</v>
      </c>
      <c r="R451">
        <v>0</v>
      </c>
      <c r="T451">
        <v>0</v>
      </c>
      <c r="U451" t="b">
        <v>0</v>
      </c>
      <c r="Y451">
        <v>0</v>
      </c>
      <c r="Z451">
        <v>316</v>
      </c>
      <c r="AA451">
        <v>-5.5617352614015002E-3</v>
      </c>
      <c r="AB451">
        <v>-0.47468354430379739</v>
      </c>
      <c r="AC451">
        <v>0</v>
      </c>
      <c r="AD451">
        <v>0</v>
      </c>
      <c r="AE451">
        <v>0</v>
      </c>
      <c r="AF451" t="b">
        <v>0</v>
      </c>
    </row>
    <row r="452" spans="1:35" x14ac:dyDescent="0.3">
      <c r="A452" t="s">
        <v>1031</v>
      </c>
      <c r="B452" t="s">
        <v>1032</v>
      </c>
      <c r="C452" t="s">
        <v>431</v>
      </c>
      <c r="D452">
        <v>803</v>
      </c>
      <c r="E452">
        <v>36069</v>
      </c>
      <c r="F452">
        <v>264</v>
      </c>
      <c r="G452">
        <v>33</v>
      </c>
      <c r="H452">
        <v>1</v>
      </c>
      <c r="I452">
        <v>4.7131886107182998E-3</v>
      </c>
      <c r="J452">
        <v>7.8135170318941197E-2</v>
      </c>
      <c r="K452" t="s">
        <v>432</v>
      </c>
      <c r="L452">
        <v>0.93401497070948158</v>
      </c>
      <c r="M452">
        <v>0.95602137279079324</v>
      </c>
      <c r="N452">
        <v>1.6115450506692899E-2</v>
      </c>
      <c r="O452" t="s">
        <v>433</v>
      </c>
      <c r="P452">
        <v>33884</v>
      </c>
      <c r="Q452">
        <v>9.39086294416243E-2</v>
      </c>
      <c r="R452">
        <v>104</v>
      </c>
      <c r="S452">
        <v>0</v>
      </c>
      <c r="T452">
        <v>0</v>
      </c>
      <c r="U452" t="b">
        <v>0</v>
      </c>
      <c r="V452">
        <v>0.55678166003243401</v>
      </c>
      <c r="Y452">
        <v>0</v>
      </c>
      <c r="Z452">
        <v>1045</v>
      </c>
      <c r="AA452">
        <v>1.4732535114939999E-4</v>
      </c>
      <c r="AB452">
        <v>6.6670012603027001E-3</v>
      </c>
      <c r="AC452">
        <v>-3.0656693055968001E-3</v>
      </c>
      <c r="AD452">
        <v>1.5162551816343E-3</v>
      </c>
      <c r="AE452">
        <v>0</v>
      </c>
      <c r="AF452" t="b">
        <v>0</v>
      </c>
    </row>
    <row r="453" spans="1:35" x14ac:dyDescent="0.3">
      <c r="A453" t="s">
        <v>1033</v>
      </c>
      <c r="B453" t="s">
        <v>1034</v>
      </c>
      <c r="C453" t="s">
        <v>431</v>
      </c>
      <c r="D453">
        <v>209</v>
      </c>
      <c r="E453">
        <v>4522</v>
      </c>
      <c r="F453">
        <v>130</v>
      </c>
      <c r="G453">
        <v>53</v>
      </c>
      <c r="H453">
        <v>1</v>
      </c>
      <c r="I453">
        <v>0.2664750110570544</v>
      </c>
      <c r="J453">
        <v>0.55781018812090466</v>
      </c>
      <c r="K453" t="s">
        <v>432</v>
      </c>
      <c r="L453">
        <v>0.45783132530120479</v>
      </c>
      <c r="M453">
        <v>1</v>
      </c>
      <c r="N453">
        <v>3.41643582640812E-2</v>
      </c>
      <c r="O453" t="s">
        <v>433</v>
      </c>
      <c r="P453">
        <v>2092</v>
      </c>
      <c r="Q453">
        <v>1</v>
      </c>
      <c r="R453">
        <v>0</v>
      </c>
      <c r="T453">
        <v>0</v>
      </c>
      <c r="U453" t="b">
        <v>0</v>
      </c>
      <c r="V453">
        <v>0</v>
      </c>
      <c r="Y453">
        <v>0</v>
      </c>
      <c r="Z453">
        <v>343</v>
      </c>
      <c r="AA453">
        <v>-1.9451269451269001E-3</v>
      </c>
      <c r="AB453">
        <v>-0.13848396501457719</v>
      </c>
      <c r="AC453">
        <v>0</v>
      </c>
      <c r="AD453">
        <v>0</v>
      </c>
      <c r="AE453">
        <v>0</v>
      </c>
      <c r="AF453" t="b">
        <v>0</v>
      </c>
    </row>
    <row r="454" spans="1:35" x14ac:dyDescent="0.3">
      <c r="A454" t="s">
        <v>1035</v>
      </c>
      <c r="B454" t="s">
        <v>1036</v>
      </c>
      <c r="C454" t="s">
        <v>428</v>
      </c>
      <c r="D454">
        <v>677</v>
      </c>
      <c r="E454">
        <v>14603</v>
      </c>
      <c r="F454">
        <v>4</v>
      </c>
      <c r="G454">
        <v>60</v>
      </c>
      <c r="H454">
        <v>60</v>
      </c>
      <c r="I454">
        <v>1</v>
      </c>
      <c r="J454">
        <v>1</v>
      </c>
      <c r="K454" t="s">
        <v>86</v>
      </c>
      <c r="P454">
        <v>0</v>
      </c>
      <c r="R454">
        <v>0</v>
      </c>
      <c r="T454">
        <v>0</v>
      </c>
      <c r="U454" t="b">
        <v>0</v>
      </c>
      <c r="V454">
        <v>2.0589484864577798</v>
      </c>
      <c r="Y454">
        <v>0</v>
      </c>
      <c r="Z454">
        <v>594</v>
      </c>
      <c r="AA454">
        <v>1.1202338078088301E-2</v>
      </c>
      <c r="AB454">
        <v>0.94258056758056763</v>
      </c>
      <c r="AC454">
        <v>7.3129251700680001E-3</v>
      </c>
      <c r="AD454">
        <v>1.32990424430641E-2</v>
      </c>
      <c r="AE454">
        <v>0</v>
      </c>
      <c r="AF454" t="b">
        <v>0</v>
      </c>
    </row>
    <row r="455" spans="1:35" x14ac:dyDescent="0.3">
      <c r="A455" t="s">
        <v>1037</v>
      </c>
      <c r="B455" t="s">
        <v>1038</v>
      </c>
      <c r="C455" t="s">
        <v>428</v>
      </c>
      <c r="D455">
        <v>393</v>
      </c>
      <c r="E455">
        <v>8444</v>
      </c>
      <c r="F455">
        <v>7</v>
      </c>
      <c r="G455">
        <v>60</v>
      </c>
      <c r="H455">
        <v>60</v>
      </c>
      <c r="I455">
        <v>1</v>
      </c>
      <c r="J455">
        <v>1</v>
      </c>
      <c r="K455" t="s">
        <v>86</v>
      </c>
      <c r="P455">
        <v>0</v>
      </c>
      <c r="R455">
        <v>0</v>
      </c>
      <c r="T455">
        <v>0</v>
      </c>
      <c r="U455" t="b">
        <v>0</v>
      </c>
      <c r="V455">
        <v>0</v>
      </c>
      <c r="Y455">
        <v>0</v>
      </c>
      <c r="Z455">
        <v>334</v>
      </c>
      <c r="AA455">
        <v>0</v>
      </c>
      <c r="AB455">
        <v>0</v>
      </c>
      <c r="AC455">
        <v>0</v>
      </c>
      <c r="AD455">
        <v>0</v>
      </c>
      <c r="AE455">
        <v>0</v>
      </c>
      <c r="AF455" t="b">
        <v>0</v>
      </c>
    </row>
    <row r="456" spans="1:35" x14ac:dyDescent="0.3">
      <c r="A456" t="s">
        <v>1039</v>
      </c>
      <c r="B456" t="s">
        <v>1040</v>
      </c>
      <c r="C456" t="s">
        <v>428</v>
      </c>
      <c r="D456">
        <v>363</v>
      </c>
      <c r="E456">
        <v>7678</v>
      </c>
      <c r="F456">
        <v>11</v>
      </c>
      <c r="G456">
        <v>60</v>
      </c>
      <c r="H456">
        <v>60</v>
      </c>
      <c r="I456">
        <v>1</v>
      </c>
      <c r="J456">
        <v>1</v>
      </c>
      <c r="K456" t="s">
        <v>86</v>
      </c>
      <c r="P456">
        <v>0</v>
      </c>
      <c r="R456">
        <v>0</v>
      </c>
      <c r="T456">
        <v>0</v>
      </c>
      <c r="U456" t="b">
        <v>0</v>
      </c>
      <c r="V456">
        <v>2.2184873949579829</v>
      </c>
      <c r="Y456">
        <v>0</v>
      </c>
      <c r="Z456">
        <v>119</v>
      </c>
      <c r="AA456">
        <v>-5.3453213453213397E-2</v>
      </c>
      <c r="AB456">
        <v>-5.1094983447924633</v>
      </c>
      <c r="AC456">
        <v>-5.5503144654088003E-2</v>
      </c>
      <c r="AD456">
        <v>4.5248868778280001E-3</v>
      </c>
      <c r="AE456">
        <v>0</v>
      </c>
      <c r="AF456" t="b">
        <v>0</v>
      </c>
    </row>
    <row r="457" spans="1:35" x14ac:dyDescent="0.3">
      <c r="A457" t="s">
        <v>1041</v>
      </c>
      <c r="B457" t="s">
        <v>1042</v>
      </c>
      <c r="C457" t="s">
        <v>428</v>
      </c>
      <c r="D457">
        <v>365</v>
      </c>
      <c r="E457">
        <v>2213</v>
      </c>
      <c r="F457">
        <v>33</v>
      </c>
      <c r="G457">
        <v>480</v>
      </c>
      <c r="H457">
        <v>60</v>
      </c>
      <c r="I457">
        <v>1</v>
      </c>
      <c r="J457">
        <v>1</v>
      </c>
      <c r="K457" t="s">
        <v>86</v>
      </c>
      <c r="P457">
        <v>0</v>
      </c>
      <c r="R457">
        <v>0</v>
      </c>
      <c r="T457">
        <v>1</v>
      </c>
      <c r="U457" t="b">
        <v>0</v>
      </c>
      <c r="V457">
        <v>40.74285714285714</v>
      </c>
      <c r="W457">
        <v>15.48829931972789</v>
      </c>
      <c r="Y457">
        <v>0</v>
      </c>
      <c r="Z457">
        <v>31</v>
      </c>
      <c r="AA457">
        <v>2.9923202853025899E-2</v>
      </c>
      <c r="AB457">
        <v>13.418377321603129</v>
      </c>
      <c r="AC457">
        <v>2.05797321972002E-2</v>
      </c>
      <c r="AD457">
        <v>0.13017734482715779</v>
      </c>
      <c r="AE457">
        <v>1</v>
      </c>
      <c r="AF457" t="b">
        <v>1</v>
      </c>
      <c r="AG457">
        <v>-4.0250108652709998E-4</v>
      </c>
      <c r="AH457">
        <v>-8.8526941468117903E-2</v>
      </c>
      <c r="AI457" t="b">
        <v>1</v>
      </c>
    </row>
    <row r="458" spans="1:35" x14ac:dyDescent="0.3">
      <c r="A458" t="s">
        <v>1043</v>
      </c>
      <c r="B458" t="s">
        <v>1044</v>
      </c>
      <c r="C458" t="s">
        <v>428</v>
      </c>
      <c r="D458">
        <v>59</v>
      </c>
      <c r="E458">
        <v>144</v>
      </c>
      <c r="F458">
        <v>28</v>
      </c>
      <c r="G458">
        <v>1620</v>
      </c>
      <c r="H458">
        <v>60</v>
      </c>
      <c r="I458">
        <v>0.99305555555555558</v>
      </c>
      <c r="J458">
        <v>0.99507389162561577</v>
      </c>
      <c r="K458" t="s">
        <v>86</v>
      </c>
      <c r="P458">
        <v>0</v>
      </c>
      <c r="R458">
        <v>0</v>
      </c>
      <c r="T458">
        <v>1</v>
      </c>
      <c r="U458" t="b">
        <v>0</v>
      </c>
      <c r="W458">
        <v>24.14772727272727</v>
      </c>
      <c r="Y458">
        <v>0</v>
      </c>
      <c r="Z458">
        <v>1</v>
      </c>
      <c r="AA458">
        <v>1.0869565217391301E-2</v>
      </c>
      <c r="AB458">
        <v>25</v>
      </c>
      <c r="AD458">
        <v>0</v>
      </c>
      <c r="AE458">
        <v>1</v>
      </c>
      <c r="AF458" t="b">
        <v>0</v>
      </c>
      <c r="AG458">
        <v>6.8780253994655998E-3</v>
      </c>
      <c r="AH458">
        <v>5.6666477391288828</v>
      </c>
    </row>
    <row r="459" spans="1:35" x14ac:dyDescent="0.3">
      <c r="A459" t="s">
        <v>1045</v>
      </c>
      <c r="B459" t="s">
        <v>1046</v>
      </c>
      <c r="C459" t="s">
        <v>428</v>
      </c>
      <c r="D459">
        <v>2204</v>
      </c>
      <c r="E459">
        <v>45148</v>
      </c>
      <c r="F459">
        <v>10</v>
      </c>
      <c r="G459">
        <v>120</v>
      </c>
      <c r="H459">
        <v>60</v>
      </c>
      <c r="I459">
        <v>1</v>
      </c>
      <c r="J459">
        <v>1</v>
      </c>
      <c r="K459" t="s">
        <v>86</v>
      </c>
      <c r="P459">
        <v>0</v>
      </c>
      <c r="R459">
        <v>0</v>
      </c>
      <c r="T459">
        <v>1</v>
      </c>
      <c r="U459" t="b">
        <v>1</v>
      </c>
      <c r="V459">
        <v>3.5455988455988452</v>
      </c>
      <c r="W459">
        <v>0</v>
      </c>
      <c r="X459" t="b">
        <v>1</v>
      </c>
      <c r="Y459">
        <v>0</v>
      </c>
      <c r="Z459">
        <v>1176</v>
      </c>
      <c r="AA459">
        <v>6.202561052738E-4</v>
      </c>
      <c r="AB459">
        <v>6.23104220042996E-2</v>
      </c>
      <c r="AC459">
        <v>1.10719017874043E-2</v>
      </c>
      <c r="AD459">
        <v>-1.11243307555026E-2</v>
      </c>
      <c r="AE459">
        <v>1</v>
      </c>
      <c r="AF459" t="b">
        <v>1</v>
      </c>
      <c r="AG459">
        <v>0</v>
      </c>
      <c r="AH459">
        <v>0</v>
      </c>
      <c r="AI459" t="b">
        <v>1</v>
      </c>
    </row>
    <row r="460" spans="1:35" x14ac:dyDescent="0.3">
      <c r="A460" t="s">
        <v>1047</v>
      </c>
      <c r="B460" t="s">
        <v>1048</v>
      </c>
      <c r="C460" t="s">
        <v>428</v>
      </c>
      <c r="D460">
        <v>2122</v>
      </c>
      <c r="E460">
        <v>52413</v>
      </c>
      <c r="F460">
        <v>6</v>
      </c>
      <c r="G460">
        <v>60</v>
      </c>
      <c r="H460">
        <v>60</v>
      </c>
      <c r="I460">
        <v>1</v>
      </c>
      <c r="J460">
        <v>1</v>
      </c>
      <c r="K460" t="s">
        <v>86</v>
      </c>
      <c r="P460">
        <v>0</v>
      </c>
      <c r="R460">
        <v>0</v>
      </c>
      <c r="T460">
        <v>0</v>
      </c>
      <c r="U460" t="b">
        <v>0</v>
      </c>
      <c r="V460">
        <v>6.2884661402249344</v>
      </c>
      <c r="Y460">
        <v>0</v>
      </c>
      <c r="Z460">
        <v>1288</v>
      </c>
      <c r="AA460">
        <v>-8.0778151258508006E-3</v>
      </c>
      <c r="AB460">
        <v>-0.73866852913254077</v>
      </c>
      <c r="AC460">
        <v>-2.3635912698412701E-2</v>
      </c>
      <c r="AD460">
        <v>7.3589929799080002E-3</v>
      </c>
      <c r="AE460">
        <v>0</v>
      </c>
      <c r="AF460" t="b">
        <v>0</v>
      </c>
    </row>
    <row r="461" spans="1:35" x14ac:dyDescent="0.3">
      <c r="A461" t="s">
        <v>1049</v>
      </c>
      <c r="B461" t="s">
        <v>1050</v>
      </c>
      <c r="C461" t="s">
        <v>428</v>
      </c>
      <c r="D461">
        <v>78</v>
      </c>
      <c r="E461">
        <v>78</v>
      </c>
      <c r="F461">
        <v>1</v>
      </c>
      <c r="G461">
        <v>540</v>
      </c>
      <c r="I461">
        <v>1</v>
      </c>
      <c r="J461">
        <v>1</v>
      </c>
      <c r="K461" t="s">
        <v>86</v>
      </c>
      <c r="P461">
        <v>0</v>
      </c>
      <c r="R461">
        <v>0</v>
      </c>
      <c r="T461">
        <v>1</v>
      </c>
      <c r="U461" t="b">
        <v>0</v>
      </c>
      <c r="V461">
        <v>0</v>
      </c>
      <c r="W461">
        <v>0.65217391304347827</v>
      </c>
      <c r="Y461">
        <v>0</v>
      </c>
      <c r="Z461">
        <v>2</v>
      </c>
      <c r="AA461">
        <v>0</v>
      </c>
      <c r="AB461">
        <v>0</v>
      </c>
      <c r="AC461">
        <v>0</v>
      </c>
      <c r="AD461">
        <v>0</v>
      </c>
      <c r="AE461">
        <v>1</v>
      </c>
      <c r="AF461" t="b">
        <v>0</v>
      </c>
      <c r="AG461">
        <v>2.2590361445783001E-3</v>
      </c>
      <c r="AH461">
        <v>0.3</v>
      </c>
    </row>
    <row r="462" spans="1:35" x14ac:dyDescent="0.3">
      <c r="A462" t="s">
        <v>1051</v>
      </c>
      <c r="B462" t="s">
        <v>1052</v>
      </c>
      <c r="C462" t="s">
        <v>428</v>
      </c>
      <c r="D462">
        <v>28376</v>
      </c>
      <c r="E462">
        <v>673260</v>
      </c>
      <c r="F462">
        <v>44</v>
      </c>
      <c r="G462">
        <v>60</v>
      </c>
      <c r="H462">
        <v>60</v>
      </c>
      <c r="I462">
        <v>0.95191456495261861</v>
      </c>
      <c r="J462">
        <v>0.97343351823452617</v>
      </c>
      <c r="K462" t="s">
        <v>86</v>
      </c>
      <c r="P462">
        <v>0</v>
      </c>
      <c r="R462">
        <v>0</v>
      </c>
      <c r="T462">
        <v>2</v>
      </c>
      <c r="U462" t="b">
        <v>1</v>
      </c>
      <c r="V462">
        <v>4.9501466709510602</v>
      </c>
      <c r="W462">
        <v>3.9655172413793109</v>
      </c>
      <c r="X462" t="b">
        <v>1</v>
      </c>
      <c r="Y462">
        <v>0</v>
      </c>
      <c r="Z462">
        <v>11482</v>
      </c>
      <c r="AA462">
        <v>5.0013925187062103E-2</v>
      </c>
      <c r="AB462">
        <v>4.2297858949455458</v>
      </c>
      <c r="AC462">
        <v>4.6861584118200302E-2</v>
      </c>
      <c r="AD462">
        <v>6.0853347095705501E-2</v>
      </c>
      <c r="AE462">
        <v>2</v>
      </c>
      <c r="AF462" t="b">
        <v>1</v>
      </c>
      <c r="AG462">
        <v>1.84949716795746E-2</v>
      </c>
      <c r="AH462">
        <v>1.6842105263157889</v>
      </c>
      <c r="AI462" t="b">
        <v>1</v>
      </c>
    </row>
    <row r="463" spans="1:35" x14ac:dyDescent="0.3">
      <c r="A463" t="s">
        <v>1053</v>
      </c>
      <c r="B463" t="s">
        <v>1054</v>
      </c>
      <c r="C463" t="s">
        <v>428</v>
      </c>
      <c r="D463">
        <v>5435</v>
      </c>
      <c r="E463">
        <v>106340</v>
      </c>
      <c r="F463">
        <v>11</v>
      </c>
      <c r="G463">
        <v>60</v>
      </c>
      <c r="H463">
        <v>60</v>
      </c>
      <c r="I463">
        <v>1</v>
      </c>
      <c r="J463">
        <v>1</v>
      </c>
      <c r="K463" t="s">
        <v>86</v>
      </c>
      <c r="P463">
        <v>0</v>
      </c>
      <c r="R463">
        <v>0</v>
      </c>
      <c r="T463">
        <v>1</v>
      </c>
      <c r="U463" t="b">
        <v>1</v>
      </c>
      <c r="V463">
        <v>9.1356846532285125</v>
      </c>
      <c r="W463">
        <v>0</v>
      </c>
      <c r="X463" t="b">
        <v>1</v>
      </c>
      <c r="Y463">
        <v>0</v>
      </c>
      <c r="Z463">
        <v>2536</v>
      </c>
      <c r="AA463">
        <v>5.7701680741353401E-2</v>
      </c>
      <c r="AB463">
        <v>5.4429445170071178</v>
      </c>
      <c r="AC463">
        <v>4.6183978893798598E-2</v>
      </c>
      <c r="AD463">
        <v>6.9215783033719003E-2</v>
      </c>
      <c r="AE463">
        <v>1</v>
      </c>
      <c r="AF463" t="b">
        <v>1</v>
      </c>
      <c r="AG463">
        <v>0</v>
      </c>
      <c r="AH463">
        <v>0</v>
      </c>
      <c r="AI463" t="b">
        <v>1</v>
      </c>
    </row>
    <row r="464" spans="1:35" x14ac:dyDescent="0.3">
      <c r="A464" t="s">
        <v>1055</v>
      </c>
      <c r="B464" t="s">
        <v>1056</v>
      </c>
      <c r="C464" t="s">
        <v>935</v>
      </c>
      <c r="D464">
        <v>22870</v>
      </c>
      <c r="E464">
        <v>470562</v>
      </c>
      <c r="F464">
        <v>44</v>
      </c>
      <c r="G464">
        <v>120</v>
      </c>
      <c r="H464">
        <v>60</v>
      </c>
      <c r="I464">
        <v>0.99988099336538017</v>
      </c>
      <c r="J464">
        <v>0.99984568020308484</v>
      </c>
      <c r="K464" t="s">
        <v>86</v>
      </c>
      <c r="P464">
        <v>0</v>
      </c>
      <c r="R464">
        <v>0</v>
      </c>
      <c r="T464">
        <v>1</v>
      </c>
      <c r="U464" t="b">
        <v>1</v>
      </c>
      <c r="V464">
        <v>27.448453709504289</v>
      </c>
      <c r="W464">
        <v>19.544181130227319</v>
      </c>
      <c r="X464" t="b">
        <v>1</v>
      </c>
      <c r="Y464">
        <v>0</v>
      </c>
      <c r="Z464">
        <v>6673</v>
      </c>
      <c r="AA464">
        <v>5.7153187880328797E-2</v>
      </c>
      <c r="AB464">
        <v>6.2999812562377784</v>
      </c>
      <c r="AC464">
        <v>1.20440744461818E-2</v>
      </c>
      <c r="AD464">
        <v>0.1093101477634647</v>
      </c>
      <c r="AE464">
        <v>1</v>
      </c>
      <c r="AF464" t="b">
        <v>1</v>
      </c>
      <c r="AG464">
        <v>3.10131312006716E-2</v>
      </c>
      <c r="AH464">
        <v>3.638406295669089</v>
      </c>
      <c r="AI464" t="b">
        <v>1</v>
      </c>
    </row>
    <row r="465" spans="1:35" x14ac:dyDescent="0.3">
      <c r="A465" t="s">
        <v>1057</v>
      </c>
      <c r="B465" t="s">
        <v>1058</v>
      </c>
      <c r="C465" t="s">
        <v>935</v>
      </c>
      <c r="D465">
        <v>2396</v>
      </c>
      <c r="E465">
        <v>41632</v>
      </c>
      <c r="F465">
        <v>12</v>
      </c>
      <c r="G465">
        <v>50</v>
      </c>
      <c r="H465">
        <v>60</v>
      </c>
      <c r="I465">
        <v>0</v>
      </c>
      <c r="J465">
        <v>0</v>
      </c>
      <c r="K465" t="s">
        <v>86</v>
      </c>
      <c r="P465">
        <v>0</v>
      </c>
      <c r="R465">
        <v>0</v>
      </c>
      <c r="T465">
        <v>0</v>
      </c>
      <c r="U465" t="b">
        <v>0</v>
      </c>
      <c r="V465">
        <v>7.1428571428571397E-2</v>
      </c>
      <c r="Y465">
        <v>0</v>
      </c>
      <c r="Z465">
        <v>778</v>
      </c>
      <c r="AA465">
        <v>-4.9734748010610004E-4</v>
      </c>
      <c r="AB465">
        <v>-3.8560411311053901E-2</v>
      </c>
      <c r="AC465">
        <v>0</v>
      </c>
      <c r="AD465">
        <v>0</v>
      </c>
      <c r="AE465">
        <v>0</v>
      </c>
      <c r="AF465" t="b">
        <v>0</v>
      </c>
    </row>
    <row r="466" spans="1:35" x14ac:dyDescent="0.3">
      <c r="A466" t="s">
        <v>1059</v>
      </c>
      <c r="B466" t="s">
        <v>1060</v>
      </c>
      <c r="C466" t="s">
        <v>431</v>
      </c>
      <c r="D466">
        <v>141</v>
      </c>
      <c r="E466">
        <v>4103</v>
      </c>
      <c r="F466">
        <v>10</v>
      </c>
      <c r="G466">
        <v>60</v>
      </c>
      <c r="H466">
        <v>60</v>
      </c>
      <c r="I466">
        <v>1</v>
      </c>
      <c r="J466">
        <v>1</v>
      </c>
      <c r="K466" t="s">
        <v>432</v>
      </c>
      <c r="L466">
        <v>9.1199659066694999E-2</v>
      </c>
      <c r="M466">
        <v>1</v>
      </c>
      <c r="N466">
        <v>1</v>
      </c>
      <c r="O466" t="s">
        <v>433</v>
      </c>
      <c r="P466">
        <v>0</v>
      </c>
      <c r="R466">
        <v>0</v>
      </c>
      <c r="T466">
        <v>0</v>
      </c>
      <c r="U466" t="b">
        <v>0</v>
      </c>
      <c r="V466">
        <v>0</v>
      </c>
      <c r="Y466">
        <v>0</v>
      </c>
      <c r="Z466">
        <v>230</v>
      </c>
      <c r="AA466">
        <v>0</v>
      </c>
      <c r="AB466">
        <v>0</v>
      </c>
      <c r="AC466">
        <v>0</v>
      </c>
      <c r="AD466">
        <v>0</v>
      </c>
      <c r="AE466">
        <v>0</v>
      </c>
      <c r="AF466" t="b">
        <v>0</v>
      </c>
    </row>
    <row r="467" spans="1:35" x14ac:dyDescent="0.3">
      <c r="A467" t="s">
        <v>1061</v>
      </c>
      <c r="B467" t="s">
        <v>1062</v>
      </c>
      <c r="C467" t="s">
        <v>935</v>
      </c>
      <c r="D467">
        <v>3156</v>
      </c>
      <c r="E467">
        <v>67596</v>
      </c>
      <c r="F467">
        <v>7</v>
      </c>
      <c r="G467">
        <v>120</v>
      </c>
      <c r="H467">
        <v>60</v>
      </c>
      <c r="I467">
        <v>1</v>
      </c>
      <c r="J467">
        <v>1</v>
      </c>
      <c r="K467" t="s">
        <v>86</v>
      </c>
      <c r="P467">
        <v>0</v>
      </c>
      <c r="R467">
        <v>0</v>
      </c>
      <c r="T467">
        <v>0</v>
      </c>
      <c r="U467" t="b">
        <v>0</v>
      </c>
      <c r="V467">
        <v>1.87593984962406</v>
      </c>
      <c r="Y467">
        <v>0</v>
      </c>
      <c r="Z467">
        <v>759</v>
      </c>
      <c r="AA467">
        <v>-2.082774725254E-4</v>
      </c>
      <c r="AB467">
        <v>-2.1416913267339702E-2</v>
      </c>
      <c r="AC467">
        <v>-5.0261570490147001E-3</v>
      </c>
      <c r="AD467">
        <v>2.9403092424075002E-3</v>
      </c>
      <c r="AE467">
        <v>0</v>
      </c>
      <c r="AF467" t="b">
        <v>0</v>
      </c>
    </row>
    <row r="468" spans="1:35" x14ac:dyDescent="0.3">
      <c r="A468" t="s">
        <v>1063</v>
      </c>
      <c r="B468" t="s">
        <v>1064</v>
      </c>
      <c r="C468" t="s">
        <v>935</v>
      </c>
      <c r="D468">
        <v>1766</v>
      </c>
      <c r="E468">
        <v>19019</v>
      </c>
      <c r="F468">
        <v>40</v>
      </c>
      <c r="G468">
        <v>120</v>
      </c>
      <c r="H468">
        <v>60</v>
      </c>
      <c r="I468">
        <v>0.9997371050002628</v>
      </c>
      <c r="J468">
        <v>0.99976263944932364</v>
      </c>
      <c r="K468" t="s">
        <v>86</v>
      </c>
      <c r="P468">
        <v>0</v>
      </c>
      <c r="R468">
        <v>0</v>
      </c>
      <c r="T468">
        <v>1</v>
      </c>
      <c r="U468" t="b">
        <v>1</v>
      </c>
      <c r="V468">
        <v>4.2032034632034634</v>
      </c>
      <c r="W468">
        <v>12.997627793082341</v>
      </c>
      <c r="X468" t="b">
        <v>0</v>
      </c>
      <c r="Y468">
        <v>0</v>
      </c>
      <c r="Z468">
        <v>343</v>
      </c>
      <c r="AA468">
        <v>1.0796933499263601E-2</v>
      </c>
      <c r="AB468">
        <v>1.4697996938178719</v>
      </c>
      <c r="AC468">
        <v>1.01405685273874E-2</v>
      </c>
      <c r="AD468">
        <v>2.7632483448041499E-2</v>
      </c>
      <c r="AE468">
        <v>1</v>
      </c>
      <c r="AF468" t="b">
        <v>1</v>
      </c>
      <c r="AG468">
        <v>-2.1930525556997201E-2</v>
      </c>
      <c r="AH468">
        <v>-2.335897681956796</v>
      </c>
      <c r="AI468" t="b">
        <v>1</v>
      </c>
    </row>
    <row r="469" spans="1:35" x14ac:dyDescent="0.3">
      <c r="A469" t="s">
        <v>1065</v>
      </c>
      <c r="B469" t="s">
        <v>1066</v>
      </c>
      <c r="C469" t="s">
        <v>935</v>
      </c>
      <c r="D469">
        <v>1768</v>
      </c>
      <c r="E469">
        <v>20725</v>
      </c>
      <c r="F469">
        <v>13</v>
      </c>
      <c r="G469">
        <v>120</v>
      </c>
      <c r="H469">
        <v>60</v>
      </c>
      <c r="I469">
        <v>1</v>
      </c>
      <c r="J469">
        <v>1</v>
      </c>
      <c r="K469" t="s">
        <v>86</v>
      </c>
      <c r="P469">
        <v>0</v>
      </c>
      <c r="R469">
        <v>0</v>
      </c>
      <c r="T469">
        <v>0</v>
      </c>
      <c r="U469" t="b">
        <v>0</v>
      </c>
      <c r="V469">
        <v>0</v>
      </c>
      <c r="Y469">
        <v>0</v>
      </c>
      <c r="Z469">
        <v>278</v>
      </c>
      <c r="AA469">
        <v>0</v>
      </c>
      <c r="AB469">
        <v>0</v>
      </c>
      <c r="AC469">
        <v>0</v>
      </c>
      <c r="AD469">
        <v>0</v>
      </c>
      <c r="AE469">
        <v>0</v>
      </c>
      <c r="AF469" t="b">
        <v>0</v>
      </c>
    </row>
    <row r="470" spans="1:35" x14ac:dyDescent="0.3">
      <c r="A470" t="s">
        <v>1067</v>
      </c>
      <c r="B470" t="s">
        <v>1068</v>
      </c>
      <c r="C470" t="s">
        <v>935</v>
      </c>
      <c r="D470">
        <v>955</v>
      </c>
      <c r="E470">
        <v>22146</v>
      </c>
      <c r="F470">
        <v>15</v>
      </c>
      <c r="G470">
        <v>110</v>
      </c>
      <c r="H470">
        <v>60</v>
      </c>
      <c r="I470">
        <v>0</v>
      </c>
      <c r="J470">
        <v>0</v>
      </c>
      <c r="K470" t="s">
        <v>86</v>
      </c>
      <c r="P470">
        <v>0</v>
      </c>
      <c r="R470">
        <v>0</v>
      </c>
      <c r="T470">
        <v>0</v>
      </c>
      <c r="U470" t="b">
        <v>0</v>
      </c>
      <c r="V470">
        <v>0</v>
      </c>
      <c r="Y470">
        <v>0</v>
      </c>
      <c r="Z470">
        <v>536</v>
      </c>
      <c r="AA470">
        <v>0</v>
      </c>
      <c r="AB470">
        <v>0</v>
      </c>
      <c r="AC470">
        <v>0</v>
      </c>
      <c r="AD470">
        <v>0</v>
      </c>
      <c r="AE470">
        <v>0</v>
      </c>
      <c r="AF470" t="b">
        <v>0</v>
      </c>
    </row>
    <row r="471" spans="1:35" x14ac:dyDescent="0.3">
      <c r="A471" t="s">
        <v>1069</v>
      </c>
      <c r="B471" t="s">
        <v>1070</v>
      </c>
      <c r="C471" t="s">
        <v>935</v>
      </c>
      <c r="D471">
        <v>521</v>
      </c>
      <c r="E471">
        <v>10214</v>
      </c>
      <c r="F471">
        <v>5</v>
      </c>
      <c r="G471">
        <v>110</v>
      </c>
      <c r="H471">
        <v>60</v>
      </c>
      <c r="I471">
        <v>0</v>
      </c>
      <c r="J471">
        <v>0</v>
      </c>
      <c r="K471" t="s">
        <v>86</v>
      </c>
      <c r="P471">
        <v>0</v>
      </c>
      <c r="R471">
        <v>0</v>
      </c>
      <c r="T471">
        <v>0</v>
      </c>
      <c r="U471" t="b">
        <v>0</v>
      </c>
      <c r="V471">
        <v>0</v>
      </c>
      <c r="Y471">
        <v>0</v>
      </c>
      <c r="Z471">
        <v>162</v>
      </c>
      <c r="AA471">
        <v>0</v>
      </c>
      <c r="AB471">
        <v>0</v>
      </c>
      <c r="AC471">
        <v>0</v>
      </c>
      <c r="AD471">
        <v>0</v>
      </c>
      <c r="AE471">
        <v>0</v>
      </c>
      <c r="AF471" t="b">
        <v>0</v>
      </c>
    </row>
    <row r="472" spans="1:35" x14ac:dyDescent="0.3">
      <c r="A472" t="s">
        <v>1071</v>
      </c>
      <c r="B472" t="s">
        <v>1072</v>
      </c>
      <c r="C472" t="s">
        <v>935</v>
      </c>
      <c r="D472">
        <v>2762</v>
      </c>
      <c r="E472">
        <v>28685</v>
      </c>
      <c r="F472">
        <v>12</v>
      </c>
      <c r="G472">
        <v>110</v>
      </c>
      <c r="H472">
        <v>60</v>
      </c>
      <c r="I472">
        <v>0</v>
      </c>
      <c r="J472">
        <v>0</v>
      </c>
      <c r="K472" t="s">
        <v>86</v>
      </c>
      <c r="P472">
        <v>0</v>
      </c>
      <c r="R472">
        <v>0</v>
      </c>
      <c r="T472">
        <v>1</v>
      </c>
      <c r="U472" t="b">
        <v>1</v>
      </c>
      <c r="V472">
        <v>0</v>
      </c>
      <c r="W472">
        <v>0</v>
      </c>
      <c r="X472" t="b">
        <v>0</v>
      </c>
      <c r="Y472">
        <v>0</v>
      </c>
      <c r="Z472">
        <v>380</v>
      </c>
      <c r="AA472">
        <v>0</v>
      </c>
      <c r="AB472">
        <v>0</v>
      </c>
      <c r="AC472">
        <v>0</v>
      </c>
      <c r="AD472">
        <v>0</v>
      </c>
      <c r="AE472">
        <v>1</v>
      </c>
      <c r="AF472" t="b">
        <v>1</v>
      </c>
      <c r="AG472">
        <v>0</v>
      </c>
      <c r="AH472">
        <v>0</v>
      </c>
      <c r="AI472" t="b">
        <v>0</v>
      </c>
    </row>
    <row r="473" spans="1:35" x14ac:dyDescent="0.3">
      <c r="A473" t="s">
        <v>1073</v>
      </c>
      <c r="B473" t="s">
        <v>1074</v>
      </c>
      <c r="C473" t="s">
        <v>935</v>
      </c>
      <c r="D473">
        <v>108</v>
      </c>
      <c r="E473">
        <v>1247</v>
      </c>
      <c r="F473">
        <v>9</v>
      </c>
      <c r="G473">
        <v>120</v>
      </c>
      <c r="H473">
        <v>60</v>
      </c>
      <c r="I473">
        <v>1</v>
      </c>
      <c r="J473">
        <v>1</v>
      </c>
      <c r="K473" t="s">
        <v>86</v>
      </c>
      <c r="P473">
        <v>0</v>
      </c>
      <c r="R473">
        <v>0</v>
      </c>
      <c r="T473">
        <v>0</v>
      </c>
      <c r="U473" t="b">
        <v>0</v>
      </c>
      <c r="Y473">
        <v>0</v>
      </c>
      <c r="Z473">
        <v>71</v>
      </c>
      <c r="AA473">
        <v>-8.8495575221238E-3</v>
      </c>
      <c r="AB473">
        <v>-0.84507042253521125</v>
      </c>
      <c r="AE473">
        <v>0</v>
      </c>
      <c r="AF473" t="b">
        <v>0</v>
      </c>
    </row>
    <row r="474" spans="1:35" x14ac:dyDescent="0.3">
      <c r="A474" t="s">
        <v>1075</v>
      </c>
      <c r="B474" t="s">
        <v>1076</v>
      </c>
      <c r="C474" t="s">
        <v>935</v>
      </c>
      <c r="D474">
        <v>1356</v>
      </c>
      <c r="E474">
        <v>36700</v>
      </c>
      <c r="F474">
        <v>24</v>
      </c>
      <c r="G474">
        <v>120</v>
      </c>
      <c r="H474">
        <v>30</v>
      </c>
      <c r="I474">
        <v>0.91836512261580383</v>
      </c>
      <c r="J474">
        <v>7.5783056548244604E-2</v>
      </c>
      <c r="K474" t="s">
        <v>86</v>
      </c>
      <c r="P474">
        <v>0</v>
      </c>
      <c r="R474">
        <v>0</v>
      </c>
      <c r="T474">
        <v>1</v>
      </c>
      <c r="U474" t="b">
        <v>1</v>
      </c>
      <c r="V474">
        <v>0</v>
      </c>
      <c r="W474">
        <v>0</v>
      </c>
      <c r="X474" t="b">
        <v>0</v>
      </c>
      <c r="Y474">
        <v>0</v>
      </c>
      <c r="Z474">
        <v>421</v>
      </c>
      <c r="AA474">
        <v>0</v>
      </c>
      <c r="AB474">
        <v>0</v>
      </c>
      <c r="AC474">
        <v>0</v>
      </c>
      <c r="AD474">
        <v>0</v>
      </c>
      <c r="AE474">
        <v>1</v>
      </c>
      <c r="AF474" t="b">
        <v>1</v>
      </c>
      <c r="AG474">
        <v>6.7069081153579998E-4</v>
      </c>
      <c r="AH474">
        <v>8.9285714285714204E-2</v>
      </c>
      <c r="AI474" t="b">
        <v>0</v>
      </c>
    </row>
    <row r="475" spans="1:35" x14ac:dyDescent="0.3">
      <c r="A475" t="s">
        <v>1077</v>
      </c>
      <c r="B475" t="s">
        <v>1078</v>
      </c>
      <c r="C475" t="s">
        <v>935</v>
      </c>
      <c r="D475">
        <v>3464</v>
      </c>
      <c r="E475">
        <v>58823</v>
      </c>
      <c r="F475">
        <v>14</v>
      </c>
      <c r="G475">
        <v>120</v>
      </c>
      <c r="H475">
        <v>60</v>
      </c>
      <c r="I475">
        <v>1</v>
      </c>
      <c r="J475">
        <v>1</v>
      </c>
      <c r="K475" t="s">
        <v>86</v>
      </c>
      <c r="P475">
        <v>0</v>
      </c>
      <c r="R475">
        <v>0</v>
      </c>
      <c r="T475">
        <v>1</v>
      </c>
      <c r="U475" t="b">
        <v>1</v>
      </c>
      <c r="V475">
        <v>0</v>
      </c>
      <c r="W475">
        <v>0</v>
      </c>
      <c r="X475" t="b">
        <v>0</v>
      </c>
      <c r="Y475">
        <v>0</v>
      </c>
      <c r="Z475">
        <v>1022</v>
      </c>
      <c r="AA475">
        <v>0</v>
      </c>
      <c r="AB475">
        <v>0</v>
      </c>
      <c r="AC475">
        <v>0</v>
      </c>
      <c r="AD475">
        <v>0</v>
      </c>
      <c r="AE475">
        <v>1</v>
      </c>
      <c r="AF475" t="b">
        <v>1</v>
      </c>
      <c r="AG475">
        <v>0</v>
      </c>
      <c r="AH475">
        <v>0</v>
      </c>
      <c r="AI475" t="b">
        <v>0</v>
      </c>
    </row>
    <row r="476" spans="1:35" x14ac:dyDescent="0.3">
      <c r="A476" t="s">
        <v>1079</v>
      </c>
      <c r="B476" t="s">
        <v>1080</v>
      </c>
      <c r="C476" t="s">
        <v>1081</v>
      </c>
      <c r="D476">
        <v>1388</v>
      </c>
      <c r="E476">
        <v>19219</v>
      </c>
      <c r="F476">
        <v>9</v>
      </c>
      <c r="G476">
        <v>120</v>
      </c>
      <c r="H476">
        <v>30</v>
      </c>
      <c r="I476">
        <v>0.98064415422238405</v>
      </c>
      <c r="J476">
        <v>0.97889066821953719</v>
      </c>
      <c r="K476" t="s">
        <v>86</v>
      </c>
      <c r="P476">
        <v>0</v>
      </c>
      <c r="R476">
        <v>0</v>
      </c>
      <c r="T476">
        <v>0</v>
      </c>
      <c r="U476" t="b">
        <v>0</v>
      </c>
      <c r="V476">
        <v>0</v>
      </c>
      <c r="Y476">
        <v>0</v>
      </c>
      <c r="Z476">
        <v>318</v>
      </c>
      <c r="AA476">
        <v>0</v>
      </c>
      <c r="AB476">
        <v>0</v>
      </c>
      <c r="AC476">
        <v>0</v>
      </c>
      <c r="AD476">
        <v>0</v>
      </c>
      <c r="AE476">
        <v>0</v>
      </c>
      <c r="AF476" t="b">
        <v>0</v>
      </c>
    </row>
    <row r="477" spans="1:35" x14ac:dyDescent="0.3">
      <c r="A477" t="s">
        <v>1082</v>
      </c>
      <c r="B477" t="s">
        <v>1083</v>
      </c>
      <c r="C477" t="s">
        <v>431</v>
      </c>
      <c r="D477">
        <v>63</v>
      </c>
      <c r="E477">
        <v>184</v>
      </c>
      <c r="F477">
        <v>8</v>
      </c>
      <c r="G477">
        <v>300</v>
      </c>
      <c r="H477">
        <v>120</v>
      </c>
      <c r="I477">
        <v>1</v>
      </c>
      <c r="J477">
        <v>1</v>
      </c>
      <c r="K477" t="s">
        <v>432</v>
      </c>
      <c r="L477">
        <v>0.59340659340659341</v>
      </c>
      <c r="M477">
        <v>1</v>
      </c>
      <c r="O477" t="s">
        <v>433</v>
      </c>
      <c r="P477">
        <v>0</v>
      </c>
      <c r="R477">
        <v>0</v>
      </c>
      <c r="T477">
        <v>0</v>
      </c>
      <c r="U477" t="b">
        <v>0</v>
      </c>
      <c r="Y477">
        <v>0.59340659340659341</v>
      </c>
      <c r="Z477">
        <v>15</v>
      </c>
      <c r="AA477">
        <v>0</v>
      </c>
      <c r="AB477">
        <v>0</v>
      </c>
      <c r="AE477">
        <v>0</v>
      </c>
      <c r="AF477" t="b">
        <v>0</v>
      </c>
    </row>
    <row r="478" spans="1:35" x14ac:dyDescent="0.3">
      <c r="A478" t="s">
        <v>1084</v>
      </c>
      <c r="B478" t="s">
        <v>1085</v>
      </c>
      <c r="C478" t="s">
        <v>935</v>
      </c>
      <c r="D478">
        <v>7104</v>
      </c>
      <c r="E478">
        <v>87917</v>
      </c>
      <c r="F478">
        <v>29</v>
      </c>
      <c r="G478">
        <v>120</v>
      </c>
      <c r="H478">
        <v>60</v>
      </c>
      <c r="I478">
        <v>1</v>
      </c>
      <c r="J478">
        <v>1</v>
      </c>
      <c r="K478" t="s">
        <v>86</v>
      </c>
      <c r="P478">
        <v>0</v>
      </c>
      <c r="R478">
        <v>0</v>
      </c>
      <c r="T478">
        <v>1</v>
      </c>
      <c r="U478" t="b">
        <v>1</v>
      </c>
      <c r="V478">
        <v>0</v>
      </c>
      <c r="W478">
        <v>0</v>
      </c>
      <c r="X478" t="b">
        <v>0</v>
      </c>
      <c r="Y478">
        <v>0</v>
      </c>
      <c r="Z478">
        <v>1350</v>
      </c>
      <c r="AA478">
        <v>0</v>
      </c>
      <c r="AB478">
        <v>0</v>
      </c>
      <c r="AC478">
        <v>0</v>
      </c>
      <c r="AD478">
        <v>0</v>
      </c>
      <c r="AE478">
        <v>1</v>
      </c>
      <c r="AF478" t="b">
        <v>1</v>
      </c>
      <c r="AG478">
        <v>0</v>
      </c>
      <c r="AH478">
        <v>0</v>
      </c>
      <c r="AI478" t="b">
        <v>0</v>
      </c>
    </row>
    <row r="479" spans="1:35" x14ac:dyDescent="0.3">
      <c r="A479" t="s">
        <v>1086</v>
      </c>
      <c r="B479" t="s">
        <v>1087</v>
      </c>
      <c r="C479" t="s">
        <v>431</v>
      </c>
      <c r="D479">
        <v>1377</v>
      </c>
      <c r="E479">
        <v>34929</v>
      </c>
      <c r="F479">
        <v>213</v>
      </c>
      <c r="G479">
        <v>45</v>
      </c>
      <c r="H479">
        <v>1</v>
      </c>
      <c r="I479">
        <v>1.9639840819949E-2</v>
      </c>
      <c r="J479">
        <v>0.21401421252685501</v>
      </c>
      <c r="K479" t="s">
        <v>432</v>
      </c>
      <c r="L479">
        <v>0.79749903597201566</v>
      </c>
      <c r="M479">
        <v>1</v>
      </c>
      <c r="N479">
        <v>1.44366926849485E-2</v>
      </c>
      <c r="O479" t="s">
        <v>433</v>
      </c>
      <c r="P479">
        <v>28536</v>
      </c>
      <c r="Q479">
        <v>0.96818054387440422</v>
      </c>
      <c r="R479">
        <v>0</v>
      </c>
      <c r="T479">
        <v>0</v>
      </c>
      <c r="U479" t="b">
        <v>0</v>
      </c>
      <c r="V479">
        <v>4.5414128450832756</v>
      </c>
      <c r="Y479">
        <v>0</v>
      </c>
      <c r="Z479">
        <v>1000</v>
      </c>
      <c r="AA479">
        <v>2.5601327900174001E-2</v>
      </c>
      <c r="AB479">
        <v>1.438345004668534</v>
      </c>
      <c r="AC479">
        <v>-1.1899922212419E-3</v>
      </c>
      <c r="AD479">
        <v>5.6815730539182902E-2</v>
      </c>
      <c r="AE479">
        <v>0</v>
      </c>
      <c r="AF479" t="b">
        <v>0</v>
      </c>
    </row>
    <row r="480" spans="1:35" x14ac:dyDescent="0.3">
      <c r="A480" t="s">
        <v>1088</v>
      </c>
      <c r="B480" t="s">
        <v>1089</v>
      </c>
      <c r="C480" t="s">
        <v>549</v>
      </c>
      <c r="D480">
        <v>17338</v>
      </c>
      <c r="E480">
        <v>612197</v>
      </c>
      <c r="F480">
        <v>481</v>
      </c>
      <c r="G480">
        <v>54</v>
      </c>
      <c r="H480">
        <v>1</v>
      </c>
      <c r="I480">
        <v>5.50117037489566E-2</v>
      </c>
      <c r="J480">
        <v>0.25850191014002399</v>
      </c>
      <c r="K480" t="s">
        <v>86</v>
      </c>
      <c r="P480">
        <v>0</v>
      </c>
      <c r="R480">
        <v>0</v>
      </c>
      <c r="T480">
        <v>1</v>
      </c>
      <c r="U480" t="b">
        <v>1</v>
      </c>
      <c r="V480">
        <v>7.3330240252790242</v>
      </c>
      <c r="W480">
        <v>5.4903790535080628</v>
      </c>
      <c r="X480" t="b">
        <v>1</v>
      </c>
      <c r="Y480">
        <v>0</v>
      </c>
      <c r="Z480">
        <v>10781</v>
      </c>
      <c r="AA480">
        <v>8.76513080527693E-2</v>
      </c>
      <c r="AB480">
        <v>5.8854241925541997</v>
      </c>
      <c r="AC480">
        <v>5.5347380835242897E-2</v>
      </c>
      <c r="AD480">
        <v>0.114013747123153</v>
      </c>
      <c r="AE480">
        <v>1</v>
      </c>
      <c r="AF480" t="b">
        <v>1</v>
      </c>
      <c r="AG480">
        <v>9.2825336129932004E-3</v>
      </c>
      <c r="AH480">
        <v>0.8645921374838178</v>
      </c>
      <c r="AI480" t="b">
        <v>1</v>
      </c>
    </row>
    <row r="481" spans="1:35" x14ac:dyDescent="0.3">
      <c r="A481" t="s">
        <v>1090</v>
      </c>
      <c r="B481" t="s">
        <v>1091</v>
      </c>
      <c r="C481" t="s">
        <v>431</v>
      </c>
      <c r="D481">
        <v>4308</v>
      </c>
      <c r="E481">
        <v>168719</v>
      </c>
      <c r="F481">
        <v>16</v>
      </c>
      <c r="G481">
        <v>60</v>
      </c>
      <c r="H481">
        <v>60</v>
      </c>
      <c r="I481">
        <v>1</v>
      </c>
      <c r="J481">
        <v>1</v>
      </c>
      <c r="K481" t="s">
        <v>86</v>
      </c>
      <c r="P481">
        <v>0</v>
      </c>
      <c r="R481">
        <v>0</v>
      </c>
      <c r="T481">
        <v>0</v>
      </c>
      <c r="U481" t="b">
        <v>0</v>
      </c>
      <c r="V481">
        <v>5.0905214885797418</v>
      </c>
      <c r="Y481">
        <v>0</v>
      </c>
      <c r="Z481">
        <v>3190</v>
      </c>
      <c r="AA481">
        <v>4.3067430820384004E-3</v>
      </c>
      <c r="AB481">
        <v>0.31125712578099241</v>
      </c>
      <c r="AC481">
        <v>-1.7353455139632001E-2</v>
      </c>
      <c r="AD481">
        <v>2.34034958834392E-2</v>
      </c>
      <c r="AE481">
        <v>0</v>
      </c>
      <c r="AF481" t="b">
        <v>0</v>
      </c>
    </row>
    <row r="482" spans="1:35" x14ac:dyDescent="0.3">
      <c r="A482" t="s">
        <v>1092</v>
      </c>
      <c r="B482" t="s">
        <v>1093</v>
      </c>
      <c r="C482" t="s">
        <v>431</v>
      </c>
      <c r="D482">
        <v>344</v>
      </c>
      <c r="E482">
        <v>4509</v>
      </c>
      <c r="F482">
        <v>12</v>
      </c>
      <c r="G482">
        <v>60</v>
      </c>
      <c r="H482">
        <v>60</v>
      </c>
      <c r="I482">
        <v>1</v>
      </c>
      <c r="J482">
        <v>1</v>
      </c>
      <c r="K482" t="s">
        <v>86</v>
      </c>
      <c r="P482">
        <v>0</v>
      </c>
      <c r="R482">
        <v>0</v>
      </c>
      <c r="T482">
        <v>0</v>
      </c>
      <c r="U482" t="b">
        <v>0</v>
      </c>
      <c r="V482">
        <v>4.8484848484848486</v>
      </c>
      <c r="Y482">
        <v>0</v>
      </c>
      <c r="Z482">
        <v>274</v>
      </c>
      <c r="AA482">
        <v>1.1164630450732E-2</v>
      </c>
      <c r="AB482">
        <v>1.277372262773723</v>
      </c>
      <c r="AC482">
        <v>-4.4173913043478202E-2</v>
      </c>
      <c r="AD482">
        <v>-1.86250850813687E-2</v>
      </c>
      <c r="AE482">
        <v>0</v>
      </c>
      <c r="AF482" t="b">
        <v>0</v>
      </c>
    </row>
    <row r="483" spans="1:35" x14ac:dyDescent="0.3">
      <c r="A483" t="s">
        <v>1094</v>
      </c>
      <c r="B483" t="s">
        <v>1095</v>
      </c>
      <c r="C483" t="s">
        <v>549</v>
      </c>
      <c r="D483">
        <v>483</v>
      </c>
      <c r="E483">
        <v>10800</v>
      </c>
      <c r="F483">
        <v>10</v>
      </c>
      <c r="G483">
        <v>60</v>
      </c>
      <c r="H483">
        <v>60</v>
      </c>
      <c r="I483">
        <v>1</v>
      </c>
      <c r="J483">
        <v>1</v>
      </c>
      <c r="K483" t="s">
        <v>86</v>
      </c>
      <c r="P483">
        <v>0</v>
      </c>
      <c r="R483">
        <v>0</v>
      </c>
      <c r="T483">
        <v>0</v>
      </c>
      <c r="U483" t="b">
        <v>0</v>
      </c>
      <c r="V483">
        <v>0.28645833333333331</v>
      </c>
      <c r="Y483">
        <v>0</v>
      </c>
      <c r="Z483">
        <v>332</v>
      </c>
      <c r="AA483">
        <v>-1.384657989476E-4</v>
      </c>
      <c r="AB483">
        <v>-1.12951807228915E-2</v>
      </c>
      <c r="AC483">
        <v>-1.2742911755335999E-3</v>
      </c>
      <c r="AD483">
        <v>9.5571838165019998E-4</v>
      </c>
      <c r="AE483">
        <v>0</v>
      </c>
      <c r="AF483" t="b">
        <v>0</v>
      </c>
    </row>
    <row r="484" spans="1:35" x14ac:dyDescent="0.3">
      <c r="A484" t="s">
        <v>1096</v>
      </c>
      <c r="B484" t="s">
        <v>1097</v>
      </c>
      <c r="C484" t="s">
        <v>549</v>
      </c>
      <c r="D484">
        <v>342</v>
      </c>
      <c r="E484">
        <v>9402</v>
      </c>
      <c r="F484">
        <v>210</v>
      </c>
      <c r="G484">
        <v>39</v>
      </c>
      <c r="H484">
        <v>1</v>
      </c>
      <c r="I484">
        <v>0.10625398851308231</v>
      </c>
      <c r="J484">
        <v>0.34502103786816268</v>
      </c>
      <c r="K484" t="s">
        <v>432</v>
      </c>
      <c r="L484">
        <v>0.68763774794630339</v>
      </c>
      <c r="M484">
        <v>0.99839640795381657</v>
      </c>
      <c r="N484">
        <v>4.82226107226107E-2</v>
      </c>
      <c r="O484" t="s">
        <v>433</v>
      </c>
      <c r="P484">
        <v>5801</v>
      </c>
      <c r="Q484">
        <v>0.91122220306843638</v>
      </c>
      <c r="R484">
        <v>5</v>
      </c>
      <c r="S484">
        <v>1</v>
      </c>
      <c r="T484">
        <v>0</v>
      </c>
      <c r="U484" t="b">
        <v>0</v>
      </c>
      <c r="V484">
        <v>1.6478771454381209</v>
      </c>
      <c r="Y484">
        <v>0</v>
      </c>
      <c r="Z484">
        <v>278</v>
      </c>
      <c r="AA484">
        <v>-5.1009970978202002E-3</v>
      </c>
      <c r="AB484">
        <v>-0.26082517444690861</v>
      </c>
      <c r="AC484">
        <v>-7.6106967298677003E-3</v>
      </c>
      <c r="AD484">
        <v>-7.3784153160253996E-3</v>
      </c>
      <c r="AE484">
        <v>0</v>
      </c>
      <c r="AF484" t="b">
        <v>0</v>
      </c>
    </row>
    <row r="485" spans="1:35" x14ac:dyDescent="0.3">
      <c r="A485" t="s">
        <v>1098</v>
      </c>
      <c r="B485" t="s">
        <v>1099</v>
      </c>
      <c r="C485" t="s">
        <v>786</v>
      </c>
      <c r="D485">
        <v>80</v>
      </c>
      <c r="E485">
        <v>214</v>
      </c>
      <c r="F485">
        <v>8</v>
      </c>
      <c r="G485">
        <v>600</v>
      </c>
      <c r="H485">
        <v>300</v>
      </c>
      <c r="I485">
        <v>1</v>
      </c>
      <c r="J485">
        <v>1</v>
      </c>
      <c r="K485" t="s">
        <v>432</v>
      </c>
      <c r="L485">
        <v>0.84756097560975607</v>
      </c>
      <c r="M485">
        <v>1</v>
      </c>
      <c r="N485">
        <v>1</v>
      </c>
      <c r="O485" t="s">
        <v>518</v>
      </c>
      <c r="P485">
        <v>0</v>
      </c>
      <c r="R485">
        <v>0</v>
      </c>
      <c r="T485">
        <v>0</v>
      </c>
      <c r="U485" t="b">
        <v>0</v>
      </c>
      <c r="Y485">
        <v>0</v>
      </c>
      <c r="Z485">
        <v>1</v>
      </c>
      <c r="AA485">
        <v>0</v>
      </c>
      <c r="AB485">
        <v>0</v>
      </c>
      <c r="AE485">
        <v>0</v>
      </c>
      <c r="AF485" t="b">
        <v>0</v>
      </c>
    </row>
    <row r="486" spans="1:35" x14ac:dyDescent="0.3">
      <c r="A486" t="s">
        <v>1100</v>
      </c>
      <c r="B486" t="s">
        <v>1101</v>
      </c>
      <c r="C486" t="s">
        <v>431</v>
      </c>
      <c r="D486">
        <v>262</v>
      </c>
      <c r="E486">
        <v>5949</v>
      </c>
      <c r="F486">
        <v>13</v>
      </c>
      <c r="G486">
        <v>60</v>
      </c>
      <c r="H486">
        <v>60</v>
      </c>
      <c r="I486">
        <v>1</v>
      </c>
      <c r="J486">
        <v>1</v>
      </c>
      <c r="K486" t="s">
        <v>432</v>
      </c>
      <c r="L486">
        <v>0.82542479546884828</v>
      </c>
      <c r="M486">
        <v>1</v>
      </c>
      <c r="N486">
        <v>1</v>
      </c>
      <c r="O486" t="s">
        <v>433</v>
      </c>
      <c r="P486">
        <v>0</v>
      </c>
      <c r="R486">
        <v>0</v>
      </c>
      <c r="T486">
        <v>0</v>
      </c>
      <c r="U486" t="b">
        <v>0</v>
      </c>
      <c r="V486">
        <v>0</v>
      </c>
      <c r="Y486">
        <v>0</v>
      </c>
      <c r="Z486">
        <v>299</v>
      </c>
      <c r="AA486">
        <v>0</v>
      </c>
      <c r="AB486">
        <v>0</v>
      </c>
      <c r="AC486">
        <v>0</v>
      </c>
      <c r="AD486">
        <v>0</v>
      </c>
      <c r="AE486">
        <v>0</v>
      </c>
      <c r="AF486" t="b">
        <v>0</v>
      </c>
    </row>
    <row r="487" spans="1:35" x14ac:dyDescent="0.3">
      <c r="A487" t="s">
        <v>1102</v>
      </c>
      <c r="B487" t="s">
        <v>1103</v>
      </c>
      <c r="C487" t="s">
        <v>431</v>
      </c>
      <c r="D487">
        <v>314</v>
      </c>
      <c r="E487">
        <v>10858</v>
      </c>
      <c r="F487">
        <v>31</v>
      </c>
      <c r="G487">
        <v>60</v>
      </c>
      <c r="H487">
        <v>1</v>
      </c>
      <c r="I487">
        <v>0.75059863694971451</v>
      </c>
      <c r="J487">
        <v>0.87700008938946994</v>
      </c>
      <c r="K487" t="s">
        <v>432</v>
      </c>
      <c r="L487">
        <v>0.82828282828282829</v>
      </c>
      <c r="M487">
        <v>1</v>
      </c>
      <c r="N487">
        <v>0.85150010792143316</v>
      </c>
      <c r="O487" t="s">
        <v>433</v>
      </c>
      <c r="P487">
        <v>1376</v>
      </c>
      <c r="Q487">
        <v>3.8517441860465101E-2</v>
      </c>
      <c r="R487">
        <v>0</v>
      </c>
      <c r="T487">
        <v>0</v>
      </c>
      <c r="U487" t="b">
        <v>0</v>
      </c>
      <c r="V487">
        <v>15.186363636363639</v>
      </c>
      <c r="Y487">
        <v>0</v>
      </c>
      <c r="Z487">
        <v>541</v>
      </c>
      <c r="AA487">
        <v>-4.6216816890974101E-2</v>
      </c>
      <c r="AB487">
        <v>-3.7065289147082119</v>
      </c>
      <c r="AC487">
        <v>-0.18055555555555561</v>
      </c>
      <c r="AD487">
        <v>-0.1217220639442861</v>
      </c>
      <c r="AE487">
        <v>0</v>
      </c>
      <c r="AF487" t="b">
        <v>0</v>
      </c>
    </row>
    <row r="488" spans="1:35" x14ac:dyDescent="0.3">
      <c r="A488" t="s">
        <v>1104</v>
      </c>
      <c r="B488" t="s">
        <v>1105</v>
      </c>
      <c r="C488" t="s">
        <v>573</v>
      </c>
      <c r="D488">
        <v>1736</v>
      </c>
      <c r="E488">
        <v>24604</v>
      </c>
      <c r="F488">
        <v>74</v>
      </c>
      <c r="G488">
        <v>120</v>
      </c>
      <c r="H488">
        <v>60</v>
      </c>
      <c r="I488">
        <v>0.98471793204357017</v>
      </c>
      <c r="J488">
        <v>0.9921032649962036</v>
      </c>
      <c r="K488" t="s">
        <v>432</v>
      </c>
      <c r="L488">
        <v>0.55656795747911925</v>
      </c>
      <c r="M488">
        <v>0.99434931506849322</v>
      </c>
      <c r="N488">
        <v>0.99031377899045037</v>
      </c>
      <c r="O488" t="s">
        <v>518</v>
      </c>
      <c r="P488">
        <v>142</v>
      </c>
      <c r="Q488">
        <v>0</v>
      </c>
      <c r="R488">
        <v>66</v>
      </c>
      <c r="S488">
        <v>1.51515151515151E-2</v>
      </c>
      <c r="T488">
        <v>0</v>
      </c>
      <c r="U488" t="b">
        <v>0</v>
      </c>
      <c r="V488">
        <v>17.190647482014391</v>
      </c>
      <c r="Y488">
        <v>0</v>
      </c>
      <c r="Z488">
        <v>882</v>
      </c>
      <c r="AA488">
        <v>-1.8302850429722899E-2</v>
      </c>
      <c r="AB488">
        <v>-4.5275887377928203</v>
      </c>
      <c r="AC488">
        <v>-5.1057651547265798E-2</v>
      </c>
      <c r="AD488">
        <v>-1.58856324518304E-2</v>
      </c>
      <c r="AE488">
        <v>0</v>
      </c>
      <c r="AF488" t="b">
        <v>0</v>
      </c>
    </row>
    <row r="489" spans="1:35" x14ac:dyDescent="0.3">
      <c r="A489" t="s">
        <v>1106</v>
      </c>
      <c r="B489" t="s">
        <v>1107</v>
      </c>
      <c r="C489" t="s">
        <v>549</v>
      </c>
      <c r="D489">
        <v>919</v>
      </c>
      <c r="E489">
        <v>20597</v>
      </c>
      <c r="F489">
        <v>195</v>
      </c>
      <c r="G489">
        <v>43</v>
      </c>
      <c r="H489">
        <v>1</v>
      </c>
      <c r="I489">
        <v>5.3842792639704803E-2</v>
      </c>
      <c r="J489">
        <v>0.2862056144264733</v>
      </c>
      <c r="K489" t="s">
        <v>432</v>
      </c>
      <c r="L489">
        <v>0.72462353597322926</v>
      </c>
      <c r="M489">
        <v>1</v>
      </c>
      <c r="N489">
        <v>1.4944519273940001E-2</v>
      </c>
      <c r="O489" t="s">
        <v>433</v>
      </c>
      <c r="P489">
        <v>15358</v>
      </c>
      <c r="Q489">
        <v>0.99505143898945159</v>
      </c>
      <c r="R489">
        <v>0</v>
      </c>
      <c r="T489">
        <v>0</v>
      </c>
      <c r="U489" t="b">
        <v>0</v>
      </c>
      <c r="V489">
        <v>2.4349947572043251</v>
      </c>
      <c r="Y489">
        <v>0</v>
      </c>
      <c r="Z489">
        <v>461</v>
      </c>
      <c r="AA489">
        <v>6.6103552091980003E-2</v>
      </c>
      <c r="AB489">
        <v>3.4798764353265428</v>
      </c>
      <c r="AC489">
        <v>6.3907148103972897E-2</v>
      </c>
      <c r="AD489">
        <v>6.9864605920024206E-2</v>
      </c>
      <c r="AE489">
        <v>0</v>
      </c>
      <c r="AF489" t="b">
        <v>0</v>
      </c>
    </row>
    <row r="490" spans="1:35" x14ac:dyDescent="0.3">
      <c r="A490" t="s">
        <v>1108</v>
      </c>
      <c r="B490" t="s">
        <v>1109</v>
      </c>
      <c r="C490" t="s">
        <v>935</v>
      </c>
      <c r="D490">
        <v>4704</v>
      </c>
      <c r="E490">
        <v>66185</v>
      </c>
      <c r="F490">
        <v>24</v>
      </c>
      <c r="G490">
        <v>120</v>
      </c>
      <c r="H490">
        <v>60</v>
      </c>
      <c r="I490">
        <v>0.97806149429629075</v>
      </c>
      <c r="J490">
        <v>0.98963167769329519</v>
      </c>
      <c r="K490" t="s">
        <v>86</v>
      </c>
      <c r="P490">
        <v>0</v>
      </c>
      <c r="R490">
        <v>0</v>
      </c>
      <c r="T490">
        <v>0</v>
      </c>
      <c r="U490" t="b">
        <v>0</v>
      </c>
      <c r="V490">
        <v>0</v>
      </c>
      <c r="Y490">
        <v>0</v>
      </c>
      <c r="Z490">
        <v>1462</v>
      </c>
      <c r="AA490">
        <v>4.8948374760994201E-2</v>
      </c>
      <c r="AB490">
        <v>5.2530779753761969</v>
      </c>
      <c r="AC490">
        <v>5.6975505857294897E-2</v>
      </c>
      <c r="AD490">
        <v>5.6726094003241398E-2</v>
      </c>
      <c r="AE490">
        <v>0</v>
      </c>
      <c r="AF490" t="b">
        <v>0</v>
      </c>
    </row>
    <row r="491" spans="1:35" x14ac:dyDescent="0.3">
      <c r="A491" t="s">
        <v>1110</v>
      </c>
      <c r="B491" t="s">
        <v>1111</v>
      </c>
      <c r="C491" t="s">
        <v>431</v>
      </c>
      <c r="D491">
        <v>220</v>
      </c>
      <c r="E491">
        <v>3630</v>
      </c>
      <c r="F491">
        <v>6</v>
      </c>
      <c r="G491">
        <v>60</v>
      </c>
      <c r="H491">
        <v>60</v>
      </c>
      <c r="I491">
        <v>1</v>
      </c>
      <c r="J491">
        <v>1</v>
      </c>
      <c r="K491" t="s">
        <v>432</v>
      </c>
      <c r="L491">
        <v>0.86688079942897933</v>
      </c>
      <c r="M491">
        <v>1</v>
      </c>
      <c r="N491">
        <v>1</v>
      </c>
      <c r="O491" t="s">
        <v>433</v>
      </c>
      <c r="P491">
        <v>0</v>
      </c>
      <c r="R491">
        <v>0</v>
      </c>
      <c r="T491">
        <v>0</v>
      </c>
      <c r="U491" t="b">
        <v>0</v>
      </c>
      <c r="V491">
        <v>0</v>
      </c>
      <c r="Y491">
        <v>0</v>
      </c>
      <c r="Z491">
        <v>297</v>
      </c>
      <c r="AA491">
        <v>0</v>
      </c>
      <c r="AB491">
        <v>0</v>
      </c>
      <c r="AC491">
        <v>0</v>
      </c>
      <c r="AD491">
        <v>0</v>
      </c>
      <c r="AE491">
        <v>0</v>
      </c>
      <c r="AF491" t="b">
        <v>0</v>
      </c>
    </row>
    <row r="492" spans="1:35" x14ac:dyDescent="0.3">
      <c r="A492" t="s">
        <v>1112</v>
      </c>
      <c r="B492" t="s">
        <v>1113</v>
      </c>
      <c r="C492" t="s">
        <v>462</v>
      </c>
      <c r="D492">
        <v>5594</v>
      </c>
      <c r="E492">
        <v>194384</v>
      </c>
      <c r="F492">
        <v>384</v>
      </c>
      <c r="G492">
        <v>64</v>
      </c>
      <c r="H492">
        <v>1</v>
      </c>
      <c r="I492">
        <v>2.0711581200098701E-2</v>
      </c>
      <c r="J492">
        <v>0.16271279654025941</v>
      </c>
      <c r="K492" t="s">
        <v>86</v>
      </c>
      <c r="P492">
        <v>0</v>
      </c>
      <c r="R492">
        <v>0</v>
      </c>
      <c r="T492">
        <v>0</v>
      </c>
      <c r="U492" t="b">
        <v>0</v>
      </c>
      <c r="V492">
        <v>11.725882772782271</v>
      </c>
      <c r="Y492">
        <v>0</v>
      </c>
      <c r="Z492">
        <v>4050</v>
      </c>
      <c r="AA492">
        <v>8.0407550389809998E-2</v>
      </c>
      <c r="AB492">
        <v>5.7880103754030108</v>
      </c>
      <c r="AC492">
        <v>2.3514261530938E-2</v>
      </c>
      <c r="AD492">
        <v>0.13464728057591699</v>
      </c>
      <c r="AE492">
        <v>0</v>
      </c>
      <c r="AF492" t="b">
        <v>0</v>
      </c>
    </row>
    <row r="493" spans="1:35" x14ac:dyDescent="0.3">
      <c r="A493" t="s">
        <v>1114</v>
      </c>
      <c r="B493" t="s">
        <v>1115</v>
      </c>
      <c r="C493" t="s">
        <v>431</v>
      </c>
      <c r="D493">
        <v>99</v>
      </c>
      <c r="E493">
        <v>2217</v>
      </c>
      <c r="F493">
        <v>8</v>
      </c>
      <c r="G493">
        <v>60</v>
      </c>
      <c r="H493">
        <v>60</v>
      </c>
      <c r="I493">
        <v>1</v>
      </c>
      <c r="J493">
        <v>1</v>
      </c>
      <c r="K493" t="s">
        <v>86</v>
      </c>
      <c r="P493">
        <v>0</v>
      </c>
      <c r="R493">
        <v>0</v>
      </c>
      <c r="T493">
        <v>0</v>
      </c>
      <c r="U493" t="b">
        <v>0</v>
      </c>
      <c r="V493">
        <v>0</v>
      </c>
      <c r="Y493">
        <v>0</v>
      </c>
      <c r="Z493">
        <v>45</v>
      </c>
      <c r="AA493">
        <v>0</v>
      </c>
      <c r="AB493">
        <v>0</v>
      </c>
      <c r="AC493">
        <v>0</v>
      </c>
      <c r="AD493">
        <v>0</v>
      </c>
      <c r="AE493">
        <v>0</v>
      </c>
      <c r="AF493" t="b">
        <v>0</v>
      </c>
    </row>
    <row r="494" spans="1:35" x14ac:dyDescent="0.3">
      <c r="A494" t="s">
        <v>1116</v>
      </c>
      <c r="B494" t="s">
        <v>1117</v>
      </c>
      <c r="C494" t="s">
        <v>549</v>
      </c>
      <c r="D494">
        <v>6986</v>
      </c>
      <c r="E494">
        <v>284519</v>
      </c>
      <c r="F494">
        <v>555</v>
      </c>
      <c r="G494">
        <v>44</v>
      </c>
      <c r="H494">
        <v>1</v>
      </c>
      <c r="I494">
        <v>2.2532765825832302E-2</v>
      </c>
      <c r="J494">
        <v>0.16284797859384911</v>
      </c>
      <c r="K494" t="s">
        <v>432</v>
      </c>
      <c r="L494">
        <v>0.85416716694396322</v>
      </c>
      <c r="M494">
        <v>0.99960010350262285</v>
      </c>
      <c r="N494">
        <v>1.9988433456227798E-2</v>
      </c>
      <c r="O494" t="s">
        <v>433</v>
      </c>
      <c r="P494">
        <v>244017</v>
      </c>
      <c r="Q494">
        <v>0.10134539806652811</v>
      </c>
      <c r="R494">
        <v>0</v>
      </c>
      <c r="T494">
        <v>1</v>
      </c>
      <c r="U494" t="b">
        <v>1</v>
      </c>
      <c r="V494">
        <v>7.6241992329957906</v>
      </c>
      <c r="W494">
        <v>0</v>
      </c>
      <c r="X494" t="b">
        <v>1</v>
      </c>
      <c r="Y494">
        <v>0</v>
      </c>
      <c r="Z494">
        <v>5945</v>
      </c>
      <c r="AA494">
        <v>8.5828593143353907E-2</v>
      </c>
      <c r="AB494">
        <v>4.7871941703595944</v>
      </c>
      <c r="AC494">
        <v>3.57665605896983E-2</v>
      </c>
      <c r="AD494">
        <v>0.13126276863441491</v>
      </c>
      <c r="AE494">
        <v>1</v>
      </c>
      <c r="AF494" t="b">
        <v>1</v>
      </c>
      <c r="AG494">
        <v>1.3959981386691399E-2</v>
      </c>
      <c r="AH494">
        <v>2.5</v>
      </c>
      <c r="AI494" t="b">
        <v>1</v>
      </c>
    </row>
    <row r="495" spans="1:35" x14ac:dyDescent="0.3">
      <c r="A495" t="s">
        <v>1118</v>
      </c>
      <c r="B495" t="s">
        <v>1119</v>
      </c>
      <c r="C495" t="s">
        <v>1120</v>
      </c>
      <c r="D495">
        <v>13073</v>
      </c>
      <c r="E495">
        <v>189900</v>
      </c>
      <c r="F495">
        <v>20</v>
      </c>
      <c r="G495">
        <v>120</v>
      </c>
      <c r="H495">
        <v>60</v>
      </c>
      <c r="I495">
        <v>1</v>
      </c>
      <c r="J495">
        <v>1</v>
      </c>
      <c r="K495" t="s">
        <v>86</v>
      </c>
      <c r="P495">
        <v>0</v>
      </c>
      <c r="R495">
        <v>0</v>
      </c>
      <c r="T495">
        <v>2</v>
      </c>
      <c r="U495" t="b">
        <v>1</v>
      </c>
      <c r="V495">
        <v>0.61833641169352271</v>
      </c>
      <c r="W495">
        <v>12.87039764359352</v>
      </c>
      <c r="X495" t="b">
        <v>0</v>
      </c>
      <c r="Y495">
        <v>0</v>
      </c>
      <c r="Z495">
        <v>4599</v>
      </c>
      <c r="AA495">
        <v>7.4472408623189998E-4</v>
      </c>
      <c r="AB495">
        <v>9.3961865488284294E-2</v>
      </c>
      <c r="AC495">
        <v>2.3903702936261999E-3</v>
      </c>
      <c r="AD495">
        <v>9.4597045841533195E-5</v>
      </c>
      <c r="AE495">
        <v>2</v>
      </c>
      <c r="AF495" t="b">
        <v>1</v>
      </c>
      <c r="AG495">
        <v>4.9116308334556996E-3</v>
      </c>
      <c r="AH495">
        <v>1.2818903318903321</v>
      </c>
      <c r="AI495" t="b">
        <v>0</v>
      </c>
    </row>
    <row r="496" spans="1:35" x14ac:dyDescent="0.3">
      <c r="A496" t="s">
        <v>1121</v>
      </c>
      <c r="B496" t="s">
        <v>1122</v>
      </c>
      <c r="C496" t="s">
        <v>431</v>
      </c>
      <c r="D496">
        <v>112</v>
      </c>
      <c r="E496">
        <v>3080</v>
      </c>
      <c r="F496">
        <v>43</v>
      </c>
      <c r="G496">
        <v>74</v>
      </c>
      <c r="H496">
        <v>1</v>
      </c>
      <c r="I496">
        <v>5.4545454545454501E-2</v>
      </c>
      <c r="J496">
        <v>0.31578947368421051</v>
      </c>
      <c r="K496" t="s">
        <v>432</v>
      </c>
      <c r="L496">
        <v>0.75438596491228072</v>
      </c>
      <c r="M496">
        <v>1</v>
      </c>
      <c r="N496">
        <v>9.3023255813953404E-2</v>
      </c>
      <c r="O496" t="s">
        <v>433</v>
      </c>
      <c r="P496">
        <v>2184</v>
      </c>
      <c r="Q496">
        <v>1</v>
      </c>
      <c r="R496">
        <v>0</v>
      </c>
      <c r="T496">
        <v>0</v>
      </c>
      <c r="U496" t="b">
        <v>0</v>
      </c>
      <c r="V496">
        <v>0</v>
      </c>
      <c r="Y496">
        <v>0</v>
      </c>
      <c r="Z496">
        <v>55</v>
      </c>
      <c r="AA496">
        <v>0</v>
      </c>
      <c r="AB496">
        <v>0</v>
      </c>
      <c r="AC496">
        <v>0</v>
      </c>
      <c r="AD496">
        <v>0</v>
      </c>
      <c r="AE496">
        <v>0</v>
      </c>
      <c r="AF496" t="b">
        <v>0</v>
      </c>
    </row>
    <row r="497" spans="1:35" x14ac:dyDescent="0.3">
      <c r="A497" t="s">
        <v>1123</v>
      </c>
      <c r="B497" t="s">
        <v>1124</v>
      </c>
      <c r="C497" t="s">
        <v>431</v>
      </c>
      <c r="D497">
        <v>141</v>
      </c>
      <c r="E497">
        <v>1331</v>
      </c>
      <c r="F497">
        <v>32</v>
      </c>
      <c r="G497">
        <v>120</v>
      </c>
      <c r="H497">
        <v>60</v>
      </c>
      <c r="I497">
        <v>0.94139744552967697</v>
      </c>
      <c r="J497">
        <v>0.96399456521739135</v>
      </c>
      <c r="K497" t="s">
        <v>432</v>
      </c>
      <c r="L497">
        <v>0.3546195652173913</v>
      </c>
      <c r="M497">
        <v>1</v>
      </c>
      <c r="N497">
        <v>0.8984674329501916</v>
      </c>
      <c r="O497" t="s">
        <v>433</v>
      </c>
      <c r="P497">
        <v>53</v>
      </c>
      <c r="Q497">
        <v>0.16981132075471689</v>
      </c>
      <c r="R497">
        <v>0</v>
      </c>
      <c r="T497">
        <v>0</v>
      </c>
      <c r="U497" t="b">
        <v>0</v>
      </c>
      <c r="V497">
        <v>0</v>
      </c>
      <c r="Y497">
        <v>0</v>
      </c>
      <c r="Z497">
        <v>25</v>
      </c>
      <c r="AA497">
        <v>0</v>
      </c>
      <c r="AB497">
        <v>0</v>
      </c>
      <c r="AC497">
        <v>0</v>
      </c>
      <c r="AD497">
        <v>0</v>
      </c>
      <c r="AE497">
        <v>0</v>
      </c>
      <c r="AF497" t="b">
        <v>0</v>
      </c>
    </row>
    <row r="498" spans="1:35" x14ac:dyDescent="0.3">
      <c r="A498" t="s">
        <v>1125</v>
      </c>
      <c r="B498" t="s">
        <v>1126</v>
      </c>
      <c r="C498" t="s">
        <v>431</v>
      </c>
      <c r="D498">
        <v>252</v>
      </c>
      <c r="E498">
        <v>5240</v>
      </c>
      <c r="F498">
        <v>125</v>
      </c>
      <c r="G498">
        <v>60</v>
      </c>
      <c r="H498">
        <v>1</v>
      </c>
      <c r="I498">
        <v>0.29541984732824428</v>
      </c>
      <c r="J498">
        <v>0.51911871813546973</v>
      </c>
      <c r="K498" t="s">
        <v>432</v>
      </c>
      <c r="L498">
        <v>0.49198834668608887</v>
      </c>
      <c r="M498">
        <v>1</v>
      </c>
      <c r="N498">
        <v>2.2575869726128701E-2</v>
      </c>
      <c r="O498" t="s">
        <v>433</v>
      </c>
      <c r="P498">
        <v>2641</v>
      </c>
      <c r="Q498">
        <v>0.97917455509276796</v>
      </c>
      <c r="R498">
        <v>0</v>
      </c>
      <c r="T498">
        <v>0</v>
      </c>
      <c r="U498" t="b">
        <v>0</v>
      </c>
      <c r="V498">
        <v>0</v>
      </c>
      <c r="Y498">
        <v>0</v>
      </c>
      <c r="Z498">
        <v>312</v>
      </c>
      <c r="AA498">
        <v>0</v>
      </c>
      <c r="AB498">
        <v>0</v>
      </c>
      <c r="AC498">
        <v>0</v>
      </c>
      <c r="AD498">
        <v>0</v>
      </c>
      <c r="AE498">
        <v>0</v>
      </c>
      <c r="AF498" t="b">
        <v>0</v>
      </c>
    </row>
    <row r="499" spans="1:35" x14ac:dyDescent="0.3">
      <c r="A499" t="s">
        <v>1127</v>
      </c>
      <c r="B499" t="s">
        <v>1128</v>
      </c>
      <c r="C499" t="s">
        <v>431</v>
      </c>
      <c r="D499">
        <v>53</v>
      </c>
      <c r="E499">
        <v>1923</v>
      </c>
      <c r="F499">
        <v>92</v>
      </c>
      <c r="G499">
        <v>51</v>
      </c>
      <c r="H499">
        <v>1</v>
      </c>
      <c r="I499">
        <v>5.4082163286531398E-2</v>
      </c>
      <c r="J499">
        <v>0.24089068825910931</v>
      </c>
      <c r="K499" t="s">
        <v>432</v>
      </c>
      <c r="L499">
        <v>0.7753036437246964</v>
      </c>
      <c r="M499">
        <v>1</v>
      </c>
      <c r="N499">
        <v>2.0887728459529999E-2</v>
      </c>
      <c r="O499" t="s">
        <v>433</v>
      </c>
      <c r="P499">
        <v>1500</v>
      </c>
      <c r="Q499">
        <v>0.86933333333333329</v>
      </c>
      <c r="R499">
        <v>0</v>
      </c>
      <c r="T499">
        <v>0</v>
      </c>
      <c r="U499" t="b">
        <v>0</v>
      </c>
      <c r="V499">
        <v>0</v>
      </c>
      <c r="Y499">
        <v>0</v>
      </c>
      <c r="Z499">
        <v>122</v>
      </c>
      <c r="AA499">
        <v>-1.6161616161615999E-3</v>
      </c>
      <c r="AB499">
        <v>-0.1573770491803278</v>
      </c>
      <c r="AC499">
        <v>-9.2861288450377007E-3</v>
      </c>
      <c r="AD499">
        <v>0</v>
      </c>
      <c r="AE499">
        <v>0</v>
      </c>
      <c r="AF499" t="b">
        <v>0</v>
      </c>
    </row>
    <row r="500" spans="1:35" x14ac:dyDescent="0.3">
      <c r="A500" t="s">
        <v>1129</v>
      </c>
      <c r="B500" t="s">
        <v>1130</v>
      </c>
      <c r="C500" t="s">
        <v>938</v>
      </c>
      <c r="D500">
        <v>102</v>
      </c>
      <c r="E500">
        <v>20062</v>
      </c>
      <c r="F500">
        <v>138</v>
      </c>
      <c r="G500">
        <v>29</v>
      </c>
      <c r="H500">
        <v>1</v>
      </c>
      <c r="I500">
        <v>3.7882564051440002E-3</v>
      </c>
      <c r="J500">
        <v>2.0674268715914702E-2</v>
      </c>
      <c r="K500" t="s">
        <v>86</v>
      </c>
      <c r="P500">
        <v>0</v>
      </c>
      <c r="R500">
        <v>0</v>
      </c>
      <c r="T500">
        <v>0</v>
      </c>
      <c r="U500" t="b">
        <v>0</v>
      </c>
      <c r="Y500">
        <v>0</v>
      </c>
      <c r="Z500">
        <v>0</v>
      </c>
      <c r="AE500">
        <v>0</v>
      </c>
      <c r="AF500" t="b">
        <v>0</v>
      </c>
    </row>
    <row r="501" spans="1:35" x14ac:dyDescent="0.3">
      <c r="A501" t="s">
        <v>1131</v>
      </c>
      <c r="B501" t="s">
        <v>1132</v>
      </c>
      <c r="C501" t="s">
        <v>431</v>
      </c>
      <c r="D501">
        <v>431</v>
      </c>
      <c r="E501">
        <v>24975</v>
      </c>
      <c r="F501">
        <v>28</v>
      </c>
      <c r="G501">
        <v>60</v>
      </c>
      <c r="H501">
        <v>1</v>
      </c>
      <c r="I501">
        <v>0.65077077077077072</v>
      </c>
      <c r="J501">
        <v>0.82449027788711327</v>
      </c>
      <c r="K501" t="s">
        <v>432</v>
      </c>
      <c r="L501">
        <v>0.87853263008738092</v>
      </c>
      <c r="M501">
        <v>1</v>
      </c>
      <c r="N501">
        <v>0.80022401433691759</v>
      </c>
      <c r="O501" t="s">
        <v>433</v>
      </c>
      <c r="P501">
        <v>4459</v>
      </c>
      <c r="Q501">
        <v>2.3996411751513701E-2</v>
      </c>
      <c r="R501">
        <v>0</v>
      </c>
      <c r="T501">
        <v>0</v>
      </c>
      <c r="U501" t="b">
        <v>0</v>
      </c>
      <c r="Y501">
        <v>0</v>
      </c>
      <c r="Z501">
        <v>812</v>
      </c>
      <c r="AA501">
        <v>3.12837056842949E-2</v>
      </c>
      <c r="AB501">
        <v>2.1093940337166939</v>
      </c>
      <c r="AC501">
        <v>-4.0220458191030997E-2</v>
      </c>
      <c r="AD501">
        <v>9.8651982229659693E-2</v>
      </c>
      <c r="AE501">
        <v>0</v>
      </c>
      <c r="AF501" t="b">
        <v>0</v>
      </c>
    </row>
    <row r="502" spans="1:35" x14ac:dyDescent="0.3">
      <c r="A502" t="s">
        <v>1133</v>
      </c>
      <c r="B502" t="s">
        <v>1134</v>
      </c>
      <c r="C502" t="s">
        <v>431</v>
      </c>
      <c r="D502">
        <v>271</v>
      </c>
      <c r="E502">
        <v>5046</v>
      </c>
      <c r="F502">
        <v>222</v>
      </c>
      <c r="G502">
        <v>82</v>
      </c>
      <c r="H502">
        <v>1</v>
      </c>
      <c r="I502">
        <v>1.2485136741973799E-2</v>
      </c>
      <c r="J502">
        <v>0.16848439262880779</v>
      </c>
      <c r="K502" t="s">
        <v>432</v>
      </c>
      <c r="L502">
        <v>0.83151560737119212</v>
      </c>
      <c r="M502">
        <v>1</v>
      </c>
      <c r="N502">
        <v>0</v>
      </c>
      <c r="O502" t="s">
        <v>518</v>
      </c>
      <c r="P502">
        <v>4422</v>
      </c>
      <c r="Q502">
        <v>3.0076888285843501E-2</v>
      </c>
      <c r="R502">
        <v>0</v>
      </c>
      <c r="T502">
        <v>0</v>
      </c>
      <c r="U502" t="b">
        <v>0</v>
      </c>
      <c r="V502">
        <v>6.1728395061728001E-3</v>
      </c>
      <c r="Y502">
        <v>0</v>
      </c>
      <c r="Z502">
        <v>198</v>
      </c>
      <c r="AA502">
        <v>0</v>
      </c>
      <c r="AB502">
        <v>0</v>
      </c>
      <c r="AC502">
        <v>0</v>
      </c>
      <c r="AD502">
        <v>0</v>
      </c>
      <c r="AE502">
        <v>0</v>
      </c>
      <c r="AF502" t="b">
        <v>0</v>
      </c>
    </row>
    <row r="503" spans="1:35" x14ac:dyDescent="0.3">
      <c r="A503" t="s">
        <v>1135</v>
      </c>
      <c r="B503" t="s">
        <v>1136</v>
      </c>
      <c r="C503" t="s">
        <v>431</v>
      </c>
      <c r="D503">
        <v>69</v>
      </c>
      <c r="E503">
        <v>762</v>
      </c>
      <c r="F503">
        <v>10</v>
      </c>
      <c r="G503">
        <v>120</v>
      </c>
      <c r="H503">
        <v>60</v>
      </c>
      <c r="I503">
        <v>1</v>
      </c>
      <c r="J503">
        <v>1</v>
      </c>
      <c r="K503" t="s">
        <v>432</v>
      </c>
      <c r="L503">
        <v>0.49166666666666659</v>
      </c>
      <c r="M503">
        <v>1</v>
      </c>
      <c r="N503">
        <v>1</v>
      </c>
      <c r="O503" t="s">
        <v>518</v>
      </c>
      <c r="P503">
        <v>0</v>
      </c>
      <c r="R503">
        <v>0</v>
      </c>
      <c r="T503">
        <v>0</v>
      </c>
      <c r="U503" t="b">
        <v>0</v>
      </c>
      <c r="V503">
        <v>8.5714285714285712</v>
      </c>
      <c r="Y503">
        <v>0</v>
      </c>
      <c r="Z503">
        <v>20</v>
      </c>
      <c r="AA503">
        <v>1.3465204957102E-2</v>
      </c>
      <c r="AB503">
        <v>2.4214285714285722</v>
      </c>
      <c r="AC503">
        <v>-4.0650406504065002E-3</v>
      </c>
      <c r="AD503">
        <v>1.7635843660629098E-2</v>
      </c>
      <c r="AE503">
        <v>0</v>
      </c>
      <c r="AF503" t="b">
        <v>0</v>
      </c>
    </row>
    <row r="504" spans="1:35" x14ac:dyDescent="0.3">
      <c r="A504" t="s">
        <v>1137</v>
      </c>
      <c r="B504" t="s">
        <v>1138</v>
      </c>
      <c r="C504" t="s">
        <v>431</v>
      </c>
      <c r="D504">
        <v>749</v>
      </c>
      <c r="E504">
        <v>23926</v>
      </c>
      <c r="F504">
        <v>182</v>
      </c>
      <c r="G504">
        <v>40</v>
      </c>
      <c r="H504">
        <v>1</v>
      </c>
      <c r="I504">
        <v>1.45030510741452E-2</v>
      </c>
      <c r="J504">
        <v>0.17588652482269501</v>
      </c>
      <c r="K504" t="s">
        <v>432</v>
      </c>
      <c r="L504">
        <v>0.83343465045592702</v>
      </c>
      <c r="M504">
        <v>1</v>
      </c>
      <c r="N504">
        <v>1.11840505713591E-2</v>
      </c>
      <c r="O504" t="s">
        <v>433</v>
      </c>
      <c r="P504">
        <v>20335</v>
      </c>
      <c r="Q504">
        <v>0.97570690926973203</v>
      </c>
      <c r="R504">
        <v>0</v>
      </c>
      <c r="T504">
        <v>0</v>
      </c>
      <c r="U504" t="b">
        <v>0</v>
      </c>
      <c r="V504">
        <v>5.0292764533667898E-2</v>
      </c>
      <c r="Y504">
        <v>0</v>
      </c>
      <c r="Z504">
        <v>1045</v>
      </c>
      <c r="AA504">
        <v>5.2365174432519998E-4</v>
      </c>
      <c r="AB504">
        <v>3.1835269993164703E-2</v>
      </c>
      <c r="AC504">
        <v>0</v>
      </c>
      <c r="AD504">
        <v>9.0105278932969997E-4</v>
      </c>
      <c r="AE504">
        <v>0</v>
      </c>
      <c r="AF504" t="b">
        <v>0</v>
      </c>
    </row>
    <row r="505" spans="1:35" x14ac:dyDescent="0.3">
      <c r="A505" t="s">
        <v>1139</v>
      </c>
      <c r="B505" t="s">
        <v>1140</v>
      </c>
      <c r="C505" t="s">
        <v>431</v>
      </c>
      <c r="D505">
        <v>3288</v>
      </c>
      <c r="E505">
        <v>59704</v>
      </c>
      <c r="F505">
        <v>19</v>
      </c>
      <c r="G505">
        <v>60</v>
      </c>
      <c r="H505">
        <v>60</v>
      </c>
      <c r="I505">
        <v>1</v>
      </c>
      <c r="J505">
        <v>1</v>
      </c>
      <c r="K505" t="s">
        <v>86</v>
      </c>
      <c r="P505">
        <v>0</v>
      </c>
      <c r="R505">
        <v>0</v>
      </c>
      <c r="T505">
        <v>0</v>
      </c>
      <c r="U505" t="b">
        <v>0</v>
      </c>
      <c r="V505">
        <v>3.6769078295341919</v>
      </c>
      <c r="Y505">
        <v>0</v>
      </c>
      <c r="Z505">
        <v>1221</v>
      </c>
      <c r="AA505">
        <v>3.8889030840380998E-3</v>
      </c>
      <c r="AB505">
        <v>0.31162981162981163</v>
      </c>
      <c r="AC505">
        <v>-4.7620456091572996E-3</v>
      </c>
      <c r="AD505">
        <v>1.24782899131596E-2</v>
      </c>
      <c r="AE505">
        <v>0</v>
      </c>
      <c r="AF505" t="b">
        <v>0</v>
      </c>
    </row>
    <row r="506" spans="1:35" x14ac:dyDescent="0.3">
      <c r="A506" t="s">
        <v>1141</v>
      </c>
      <c r="B506" t="s">
        <v>1142</v>
      </c>
      <c r="C506" t="s">
        <v>573</v>
      </c>
      <c r="D506">
        <v>3365</v>
      </c>
      <c r="E506">
        <v>95597</v>
      </c>
      <c r="F506">
        <v>331</v>
      </c>
      <c r="G506">
        <v>84</v>
      </c>
      <c r="H506">
        <v>1</v>
      </c>
      <c r="I506">
        <v>2.9331464376497099E-2</v>
      </c>
      <c r="J506">
        <v>0.23395848911703479</v>
      </c>
      <c r="K506" t="s">
        <v>86</v>
      </c>
      <c r="P506">
        <v>0</v>
      </c>
      <c r="R506">
        <v>0</v>
      </c>
      <c r="T506">
        <v>0</v>
      </c>
      <c r="U506" t="b">
        <v>0</v>
      </c>
      <c r="V506">
        <v>7.2987972112229542</v>
      </c>
      <c r="Y506">
        <v>0</v>
      </c>
      <c r="Z506">
        <v>1779</v>
      </c>
      <c r="AA506">
        <v>-4.4693674737101299E-2</v>
      </c>
      <c r="AB506">
        <v>-4.3797801831218548</v>
      </c>
      <c r="AC506">
        <v>-3.8334673911440499E-2</v>
      </c>
      <c r="AD506">
        <v>-5.7465647399065699E-2</v>
      </c>
      <c r="AE506">
        <v>0</v>
      </c>
      <c r="AF506" t="b">
        <v>0</v>
      </c>
    </row>
    <row r="507" spans="1:35" x14ac:dyDescent="0.3">
      <c r="A507" t="s">
        <v>1143</v>
      </c>
      <c r="B507" t="s">
        <v>1144</v>
      </c>
      <c r="C507" t="s">
        <v>431</v>
      </c>
      <c r="D507">
        <v>133</v>
      </c>
      <c r="E507">
        <v>2728</v>
      </c>
      <c r="F507">
        <v>9</v>
      </c>
      <c r="G507">
        <v>60</v>
      </c>
      <c r="H507">
        <v>30</v>
      </c>
      <c r="I507">
        <v>0.8460410557184751</v>
      </c>
      <c r="J507">
        <v>0.92659909122684381</v>
      </c>
      <c r="K507" t="s">
        <v>432</v>
      </c>
      <c r="L507">
        <v>0.84061516952114645</v>
      </c>
      <c r="M507">
        <v>1</v>
      </c>
      <c r="N507">
        <v>0.91268191268191279</v>
      </c>
      <c r="O507" t="s">
        <v>433</v>
      </c>
      <c r="P507">
        <v>80</v>
      </c>
      <c r="Q507">
        <v>0</v>
      </c>
      <c r="R507">
        <v>0</v>
      </c>
      <c r="T507">
        <v>0</v>
      </c>
      <c r="U507" t="b">
        <v>0</v>
      </c>
      <c r="V507">
        <v>9.5408163265306118</v>
      </c>
      <c r="Y507">
        <v>0</v>
      </c>
      <c r="Z507">
        <v>42</v>
      </c>
      <c r="AA507">
        <v>-1.8856837606837599E-2</v>
      </c>
      <c r="AB507">
        <v>-2.1011904761904772</v>
      </c>
      <c r="AC507">
        <v>-3.7774725274725203E-2</v>
      </c>
      <c r="AD507">
        <v>-7.5912685444455171E-18</v>
      </c>
      <c r="AE507">
        <v>0</v>
      </c>
      <c r="AF507" t="b">
        <v>0</v>
      </c>
    </row>
    <row r="508" spans="1:35" x14ac:dyDescent="0.3">
      <c r="A508" t="s">
        <v>1145</v>
      </c>
      <c r="B508" t="s">
        <v>1146</v>
      </c>
      <c r="C508" t="s">
        <v>512</v>
      </c>
      <c r="D508">
        <v>8840</v>
      </c>
      <c r="E508">
        <v>105883</v>
      </c>
      <c r="F508">
        <v>21</v>
      </c>
      <c r="G508">
        <v>60</v>
      </c>
      <c r="H508">
        <v>60</v>
      </c>
      <c r="I508">
        <v>0.99881000727217784</v>
      </c>
      <c r="J508">
        <v>0.99945681694731126</v>
      </c>
      <c r="K508" t="s">
        <v>86</v>
      </c>
      <c r="P508">
        <v>0</v>
      </c>
      <c r="R508">
        <v>0</v>
      </c>
      <c r="T508">
        <v>2</v>
      </c>
      <c r="U508" t="b">
        <v>1</v>
      </c>
      <c r="V508">
        <v>0.62087874873610926</v>
      </c>
      <c r="W508">
        <v>2.2593238822246451</v>
      </c>
      <c r="X508" t="b">
        <v>0</v>
      </c>
      <c r="Y508">
        <v>0</v>
      </c>
      <c r="Z508">
        <v>3310</v>
      </c>
      <c r="AA508">
        <v>6.671061511466E-4</v>
      </c>
      <c r="AB508">
        <v>7.1894329174499297E-2</v>
      </c>
      <c r="AC508">
        <v>1.044170392181E-3</v>
      </c>
      <c r="AD508">
        <v>7.6380814033609999E-4</v>
      </c>
      <c r="AE508">
        <v>2</v>
      </c>
      <c r="AF508" t="b">
        <v>1</v>
      </c>
      <c r="AG508">
        <v>1.9141860599833E-3</v>
      </c>
      <c r="AH508">
        <v>0.19199700507620321</v>
      </c>
      <c r="AI508" t="b">
        <v>0</v>
      </c>
    </row>
    <row r="509" spans="1:35" x14ac:dyDescent="0.3">
      <c r="A509" t="s">
        <v>1147</v>
      </c>
      <c r="B509" t="s">
        <v>1148</v>
      </c>
      <c r="C509" t="s">
        <v>431</v>
      </c>
      <c r="D509">
        <v>308</v>
      </c>
      <c r="E509">
        <v>5777</v>
      </c>
      <c r="F509">
        <v>159</v>
      </c>
      <c r="G509">
        <v>56</v>
      </c>
      <c r="H509">
        <v>1</v>
      </c>
      <c r="I509">
        <v>3.5658646356240199E-2</v>
      </c>
      <c r="J509">
        <v>0.30802033787108413</v>
      </c>
      <c r="K509" t="s">
        <v>432</v>
      </c>
      <c r="L509">
        <v>0.72051828768246684</v>
      </c>
      <c r="M509">
        <v>1</v>
      </c>
      <c r="N509">
        <v>3.9608468017300197E-2</v>
      </c>
      <c r="O509" t="s">
        <v>433</v>
      </c>
      <c r="P509">
        <v>4135</v>
      </c>
      <c r="Q509">
        <v>0.76686819830713426</v>
      </c>
      <c r="R509">
        <v>0</v>
      </c>
      <c r="T509">
        <v>0</v>
      </c>
      <c r="U509" t="b">
        <v>0</v>
      </c>
      <c r="Y509">
        <v>0</v>
      </c>
      <c r="Z509">
        <v>407</v>
      </c>
      <c r="AA509">
        <v>0</v>
      </c>
      <c r="AB509">
        <v>0</v>
      </c>
      <c r="AD509">
        <v>0</v>
      </c>
      <c r="AE509">
        <v>0</v>
      </c>
      <c r="AF509" t="b">
        <v>0</v>
      </c>
    </row>
    <row r="510" spans="1:35" x14ac:dyDescent="0.3">
      <c r="A510" t="s">
        <v>1149</v>
      </c>
      <c r="B510" t="s">
        <v>1150</v>
      </c>
      <c r="C510" t="s">
        <v>431</v>
      </c>
      <c r="D510">
        <v>378</v>
      </c>
      <c r="E510">
        <v>7324</v>
      </c>
      <c r="F510">
        <v>15</v>
      </c>
      <c r="G510">
        <v>60</v>
      </c>
      <c r="H510">
        <v>60</v>
      </c>
      <c r="I510">
        <v>1</v>
      </c>
      <c r="J510">
        <v>1</v>
      </c>
      <c r="K510" t="s">
        <v>432</v>
      </c>
      <c r="L510">
        <v>0.82401382675884505</v>
      </c>
      <c r="M510">
        <v>1</v>
      </c>
      <c r="N510">
        <v>1</v>
      </c>
      <c r="O510" t="s">
        <v>433</v>
      </c>
      <c r="P510">
        <v>0</v>
      </c>
      <c r="R510">
        <v>0</v>
      </c>
      <c r="T510">
        <v>0</v>
      </c>
      <c r="U510" t="b">
        <v>0</v>
      </c>
      <c r="Y510">
        <v>0</v>
      </c>
      <c r="Z510">
        <v>391</v>
      </c>
      <c r="AA510">
        <v>-7.7911959485779995E-4</v>
      </c>
      <c r="AB510">
        <v>-7.6726342710997403E-2</v>
      </c>
      <c r="AE510">
        <v>0</v>
      </c>
      <c r="AF510" t="b">
        <v>0</v>
      </c>
    </row>
    <row r="511" spans="1:35" x14ac:dyDescent="0.3">
      <c r="A511" t="s">
        <v>1151</v>
      </c>
      <c r="B511" t="s">
        <v>1152</v>
      </c>
      <c r="C511" t="s">
        <v>431</v>
      </c>
      <c r="D511">
        <v>422</v>
      </c>
      <c r="E511">
        <v>27319</v>
      </c>
      <c r="F511">
        <v>159</v>
      </c>
      <c r="G511">
        <v>42</v>
      </c>
      <c r="H511">
        <v>1</v>
      </c>
      <c r="I511">
        <v>8.162817087009E-3</v>
      </c>
      <c r="J511">
        <v>8.1684149814354207E-2</v>
      </c>
      <c r="K511" t="s">
        <v>432</v>
      </c>
      <c r="L511">
        <v>0.9407735842255146</v>
      </c>
      <c r="M511">
        <v>1</v>
      </c>
      <c r="N511">
        <v>2.3871561039160001E-2</v>
      </c>
      <c r="O511" t="s">
        <v>433</v>
      </c>
      <c r="P511">
        <v>25475</v>
      </c>
      <c r="Q511">
        <v>0.10720314033366039</v>
      </c>
      <c r="R511">
        <v>0</v>
      </c>
      <c r="T511">
        <v>0</v>
      </c>
      <c r="U511" t="b">
        <v>0</v>
      </c>
      <c r="Y511">
        <v>0</v>
      </c>
      <c r="Z511">
        <v>1095</v>
      </c>
      <c r="AA511">
        <v>1.89905083443269E-2</v>
      </c>
      <c r="AB511">
        <v>1.0860369184341789</v>
      </c>
      <c r="AC511">
        <v>1.6015507291656801E-2</v>
      </c>
      <c r="AD511">
        <v>3.3547661293196203E-2</v>
      </c>
      <c r="AE511">
        <v>0</v>
      </c>
      <c r="AF511" t="b">
        <v>0</v>
      </c>
    </row>
    <row r="512" spans="1:35" x14ac:dyDescent="0.3">
      <c r="A512" t="s">
        <v>1153</v>
      </c>
      <c r="B512" t="s">
        <v>1154</v>
      </c>
      <c r="C512" t="s">
        <v>431</v>
      </c>
      <c r="D512">
        <v>531</v>
      </c>
      <c r="E512">
        <v>13147</v>
      </c>
      <c r="F512">
        <v>166</v>
      </c>
      <c r="G512">
        <v>54</v>
      </c>
      <c r="H512">
        <v>1</v>
      </c>
      <c r="I512">
        <v>5.1494637559899498E-2</v>
      </c>
      <c r="J512">
        <v>0.32044158502705072</v>
      </c>
      <c r="K512" t="s">
        <v>432</v>
      </c>
      <c r="L512">
        <v>0.68781985670419654</v>
      </c>
      <c r="M512">
        <v>1</v>
      </c>
      <c r="N512">
        <v>1.20110544217687E-2</v>
      </c>
      <c r="O512" t="s">
        <v>433</v>
      </c>
      <c r="P512">
        <v>9295</v>
      </c>
      <c r="Q512">
        <v>0.2776761699838623</v>
      </c>
      <c r="R512">
        <v>0</v>
      </c>
      <c r="T512">
        <v>0</v>
      </c>
      <c r="U512" t="b">
        <v>0</v>
      </c>
      <c r="V512">
        <v>0</v>
      </c>
      <c r="Y512">
        <v>0</v>
      </c>
      <c r="Z512">
        <v>328</v>
      </c>
      <c r="AA512">
        <v>0</v>
      </c>
      <c r="AB512">
        <v>0</v>
      </c>
      <c r="AC512">
        <v>0</v>
      </c>
      <c r="AD512">
        <v>0</v>
      </c>
      <c r="AE512">
        <v>0</v>
      </c>
      <c r="AF512" t="b">
        <v>0</v>
      </c>
    </row>
    <row r="513" spans="1:35" x14ac:dyDescent="0.3">
      <c r="A513" t="s">
        <v>1155</v>
      </c>
      <c r="B513" t="s">
        <v>1156</v>
      </c>
      <c r="C513" t="s">
        <v>431</v>
      </c>
      <c r="D513">
        <v>89</v>
      </c>
      <c r="E513">
        <v>131</v>
      </c>
      <c r="F513">
        <v>5</v>
      </c>
      <c r="G513">
        <v>240</v>
      </c>
      <c r="H513">
        <v>60</v>
      </c>
      <c r="I513">
        <v>1</v>
      </c>
      <c r="J513">
        <v>1</v>
      </c>
      <c r="K513" t="s">
        <v>432</v>
      </c>
      <c r="L513">
        <v>0.684060042887777</v>
      </c>
      <c r="M513">
        <v>1</v>
      </c>
      <c r="O513" t="s">
        <v>433</v>
      </c>
      <c r="P513">
        <v>0</v>
      </c>
      <c r="R513">
        <v>0</v>
      </c>
      <c r="T513">
        <v>0</v>
      </c>
      <c r="U513" t="b">
        <v>0</v>
      </c>
      <c r="Y513">
        <v>0.684060042887777</v>
      </c>
      <c r="Z513">
        <v>5</v>
      </c>
      <c r="AA513">
        <v>1.1904761904761901E-2</v>
      </c>
      <c r="AB513">
        <v>3</v>
      </c>
      <c r="AC513">
        <v>0</v>
      </c>
      <c r="AD513">
        <v>0</v>
      </c>
      <c r="AE513">
        <v>0</v>
      </c>
      <c r="AF513" t="b">
        <v>0</v>
      </c>
    </row>
    <row r="514" spans="1:35" x14ac:dyDescent="0.3">
      <c r="A514" t="s">
        <v>1157</v>
      </c>
      <c r="B514" t="s">
        <v>1158</v>
      </c>
      <c r="C514" t="s">
        <v>431</v>
      </c>
      <c r="D514">
        <v>210</v>
      </c>
      <c r="E514">
        <v>3082</v>
      </c>
      <c r="F514">
        <v>17</v>
      </c>
      <c r="G514">
        <v>60</v>
      </c>
      <c r="H514">
        <v>60</v>
      </c>
      <c r="I514">
        <v>1</v>
      </c>
      <c r="J514">
        <v>1</v>
      </c>
      <c r="K514" t="s">
        <v>86</v>
      </c>
      <c r="P514">
        <v>0</v>
      </c>
      <c r="R514">
        <v>0</v>
      </c>
      <c r="T514">
        <v>0</v>
      </c>
      <c r="U514" t="b">
        <v>0</v>
      </c>
      <c r="Y514">
        <v>0</v>
      </c>
      <c r="Z514">
        <v>206</v>
      </c>
      <c r="AA514">
        <v>-4.3290043290043004E-3</v>
      </c>
      <c r="AB514">
        <v>-0.46116504854368928</v>
      </c>
      <c r="AE514">
        <v>0</v>
      </c>
      <c r="AF514" t="b">
        <v>0</v>
      </c>
    </row>
    <row r="515" spans="1:35" x14ac:dyDescent="0.3">
      <c r="A515" t="s">
        <v>1159</v>
      </c>
      <c r="B515" t="s">
        <v>1160</v>
      </c>
      <c r="C515" t="s">
        <v>431</v>
      </c>
      <c r="D515">
        <v>331</v>
      </c>
      <c r="E515">
        <v>17325</v>
      </c>
      <c r="F515">
        <v>206</v>
      </c>
      <c r="G515">
        <v>31</v>
      </c>
      <c r="H515">
        <v>1</v>
      </c>
      <c r="I515">
        <v>6.1183261183261001E-3</v>
      </c>
      <c r="J515">
        <v>0.1335523334843679</v>
      </c>
      <c r="K515" t="s">
        <v>432</v>
      </c>
      <c r="L515">
        <v>0.8664476665156321</v>
      </c>
      <c r="M515">
        <v>1</v>
      </c>
      <c r="N515">
        <v>0</v>
      </c>
      <c r="O515" t="s">
        <v>518</v>
      </c>
      <c r="P515">
        <v>15298</v>
      </c>
      <c r="Q515">
        <v>6.7982742842201599E-2</v>
      </c>
      <c r="R515">
        <v>0</v>
      </c>
      <c r="T515">
        <v>0</v>
      </c>
      <c r="U515" t="b">
        <v>0</v>
      </c>
      <c r="V515">
        <v>3.40664079344545E-2</v>
      </c>
      <c r="Y515">
        <v>0</v>
      </c>
      <c r="Z515">
        <v>819</v>
      </c>
      <c r="AA515">
        <v>-3.5281388562270001E-4</v>
      </c>
      <c r="AB515">
        <v>-1.4210128495842699E-2</v>
      </c>
      <c r="AC515">
        <v>-8.1742347177599995E-4</v>
      </c>
      <c r="AD515">
        <v>-5.6838576108020373E-5</v>
      </c>
      <c r="AE515">
        <v>0</v>
      </c>
      <c r="AF515" t="b">
        <v>0</v>
      </c>
    </row>
    <row r="516" spans="1:35" x14ac:dyDescent="0.3">
      <c r="A516" t="s">
        <v>1161</v>
      </c>
      <c r="B516" t="s">
        <v>1162</v>
      </c>
      <c r="C516" t="s">
        <v>431</v>
      </c>
      <c r="D516">
        <v>847</v>
      </c>
      <c r="E516">
        <v>33495</v>
      </c>
      <c r="F516">
        <v>213</v>
      </c>
      <c r="G516">
        <v>45</v>
      </c>
      <c r="H516">
        <v>1</v>
      </c>
      <c r="I516">
        <v>2.6123301985370901E-2</v>
      </c>
      <c r="J516">
        <v>0.1857492283501252</v>
      </c>
      <c r="K516" t="s">
        <v>432</v>
      </c>
      <c r="L516">
        <v>0.82470444353852423</v>
      </c>
      <c r="M516">
        <v>1</v>
      </c>
      <c r="N516">
        <v>1.2675658498693501E-2</v>
      </c>
      <c r="O516" t="s">
        <v>518</v>
      </c>
      <c r="P516">
        <v>27963</v>
      </c>
      <c r="Q516">
        <v>1</v>
      </c>
      <c r="R516">
        <v>0</v>
      </c>
      <c r="T516">
        <v>0</v>
      </c>
      <c r="U516" t="b">
        <v>0</v>
      </c>
      <c r="V516">
        <v>7.7806376386170912</v>
      </c>
      <c r="Y516">
        <v>0</v>
      </c>
      <c r="Z516">
        <v>895</v>
      </c>
      <c r="AA516">
        <v>1.69054689698185E-2</v>
      </c>
      <c r="AB516">
        <v>0.93835540158165842</v>
      </c>
      <c r="AC516">
        <v>-5.3634003924412102E-2</v>
      </c>
      <c r="AD516">
        <v>8.1987269274683902E-2</v>
      </c>
      <c r="AE516">
        <v>0</v>
      </c>
      <c r="AF516" t="b">
        <v>0</v>
      </c>
    </row>
    <row r="517" spans="1:35" x14ac:dyDescent="0.3">
      <c r="A517" t="s">
        <v>1163</v>
      </c>
      <c r="B517" t="s">
        <v>1164</v>
      </c>
      <c r="C517" t="s">
        <v>431</v>
      </c>
      <c r="D517">
        <v>544</v>
      </c>
      <c r="E517">
        <v>6282</v>
      </c>
      <c r="F517">
        <v>15</v>
      </c>
      <c r="G517">
        <v>60</v>
      </c>
      <c r="H517">
        <v>60</v>
      </c>
      <c r="I517">
        <v>1</v>
      </c>
      <c r="J517">
        <v>1</v>
      </c>
      <c r="K517" t="s">
        <v>432</v>
      </c>
      <c r="L517">
        <v>0.74063022201002626</v>
      </c>
      <c r="M517">
        <v>1</v>
      </c>
      <c r="N517">
        <v>1</v>
      </c>
      <c r="O517" t="s">
        <v>433</v>
      </c>
      <c r="P517">
        <v>0</v>
      </c>
      <c r="R517">
        <v>0</v>
      </c>
      <c r="T517">
        <v>0</v>
      </c>
      <c r="U517" t="b">
        <v>0</v>
      </c>
      <c r="V517">
        <v>0</v>
      </c>
      <c r="Y517">
        <v>0</v>
      </c>
      <c r="Z517">
        <v>167</v>
      </c>
      <c r="AA517">
        <v>0</v>
      </c>
      <c r="AB517">
        <v>0</v>
      </c>
      <c r="AC517">
        <v>0</v>
      </c>
      <c r="AD517">
        <v>0</v>
      </c>
      <c r="AE517">
        <v>0</v>
      </c>
      <c r="AF517" t="b">
        <v>0</v>
      </c>
    </row>
    <row r="518" spans="1:35" x14ac:dyDescent="0.3">
      <c r="A518" t="s">
        <v>1165</v>
      </c>
      <c r="B518" t="s">
        <v>1166</v>
      </c>
      <c r="C518" t="s">
        <v>431</v>
      </c>
      <c r="D518">
        <v>193</v>
      </c>
      <c r="E518">
        <v>7183</v>
      </c>
      <c r="F518">
        <v>164</v>
      </c>
      <c r="G518">
        <v>51</v>
      </c>
      <c r="H518">
        <v>1</v>
      </c>
      <c r="I518">
        <v>3.3969093693442802E-2</v>
      </c>
      <c r="J518">
        <v>0.17407809110629061</v>
      </c>
      <c r="K518" t="s">
        <v>432</v>
      </c>
      <c r="L518">
        <v>0.83148047722342733</v>
      </c>
      <c r="M518">
        <v>1</v>
      </c>
      <c r="N518">
        <v>6.6851459318441001E-3</v>
      </c>
      <c r="O518" t="s">
        <v>433</v>
      </c>
      <c r="P518">
        <v>6092</v>
      </c>
      <c r="Q518">
        <v>1</v>
      </c>
      <c r="R518">
        <v>0</v>
      </c>
      <c r="T518">
        <v>0</v>
      </c>
      <c r="U518" t="b">
        <v>0</v>
      </c>
      <c r="Y518">
        <v>0</v>
      </c>
      <c r="Z518">
        <v>418</v>
      </c>
      <c r="AA518">
        <v>-1.857749469214E-4</v>
      </c>
      <c r="AB518">
        <v>-1.2559808612440101E-2</v>
      </c>
      <c r="AE518">
        <v>0</v>
      </c>
      <c r="AF518" t="b">
        <v>0</v>
      </c>
    </row>
    <row r="519" spans="1:35" x14ac:dyDescent="0.3">
      <c r="A519" t="s">
        <v>1167</v>
      </c>
      <c r="B519" t="s">
        <v>1168</v>
      </c>
      <c r="C519" t="s">
        <v>431</v>
      </c>
      <c r="D519">
        <v>1784</v>
      </c>
      <c r="E519">
        <v>29660</v>
      </c>
      <c r="F519">
        <v>19</v>
      </c>
      <c r="G519">
        <v>60</v>
      </c>
      <c r="H519">
        <v>60</v>
      </c>
      <c r="I519">
        <v>1</v>
      </c>
      <c r="J519">
        <v>1</v>
      </c>
      <c r="K519" t="s">
        <v>86</v>
      </c>
      <c r="P519">
        <v>0</v>
      </c>
      <c r="R519">
        <v>0</v>
      </c>
      <c r="T519">
        <v>0</v>
      </c>
      <c r="U519" t="b">
        <v>0</v>
      </c>
      <c r="V519">
        <v>0.93378547071002316</v>
      </c>
      <c r="Y519">
        <v>0</v>
      </c>
      <c r="Z519">
        <v>301</v>
      </c>
      <c r="AA519">
        <v>-2.5546637917808999E-2</v>
      </c>
      <c r="AB519">
        <v>-2.3985357413051029</v>
      </c>
      <c r="AC519">
        <v>-2.9271423727171401E-2</v>
      </c>
      <c r="AD519">
        <v>-2.4057497126762299E-2</v>
      </c>
      <c r="AE519">
        <v>0</v>
      </c>
      <c r="AF519" t="b">
        <v>0</v>
      </c>
    </row>
    <row r="520" spans="1:35" x14ac:dyDescent="0.3">
      <c r="A520" t="s">
        <v>1169</v>
      </c>
      <c r="B520" t="s">
        <v>1170</v>
      </c>
      <c r="C520" t="s">
        <v>431</v>
      </c>
      <c r="D520">
        <v>597</v>
      </c>
      <c r="E520">
        <v>21262</v>
      </c>
      <c r="F520">
        <v>190</v>
      </c>
      <c r="G520">
        <v>41</v>
      </c>
      <c r="H520">
        <v>1</v>
      </c>
      <c r="I520">
        <v>1.5238453579155299E-2</v>
      </c>
      <c r="J520">
        <v>0.12548606981106181</v>
      </c>
      <c r="K520" t="s">
        <v>432</v>
      </c>
      <c r="L520">
        <v>0.91225582140079597</v>
      </c>
      <c r="M520">
        <v>1</v>
      </c>
      <c r="N520">
        <v>4.1372047540243699E-2</v>
      </c>
      <c r="O520" t="s">
        <v>433</v>
      </c>
      <c r="P520">
        <v>19116</v>
      </c>
      <c r="Q520">
        <v>9.9602427286043099E-2</v>
      </c>
      <c r="R520">
        <v>0</v>
      </c>
      <c r="T520">
        <v>0</v>
      </c>
      <c r="U520" t="b">
        <v>0</v>
      </c>
      <c r="V520">
        <v>0.52040293040293051</v>
      </c>
      <c r="Y520">
        <v>0</v>
      </c>
      <c r="Z520">
        <v>968</v>
      </c>
      <c r="AA520">
        <v>4.1705607433129999E-3</v>
      </c>
      <c r="AB520">
        <v>0.22922789159875931</v>
      </c>
      <c r="AC520">
        <v>-2.9091121573340999E-3</v>
      </c>
      <c r="AD520">
        <v>6.6880684858212002E-3</v>
      </c>
      <c r="AE520">
        <v>0</v>
      </c>
      <c r="AF520" t="b">
        <v>0</v>
      </c>
    </row>
    <row r="521" spans="1:35" x14ac:dyDescent="0.3">
      <c r="A521" t="s">
        <v>1171</v>
      </c>
      <c r="B521" t="s">
        <v>1172</v>
      </c>
      <c r="C521" t="s">
        <v>431</v>
      </c>
      <c r="D521">
        <v>281</v>
      </c>
      <c r="E521">
        <v>7474</v>
      </c>
      <c r="F521">
        <v>348</v>
      </c>
      <c r="G521">
        <v>75</v>
      </c>
      <c r="H521">
        <v>1</v>
      </c>
      <c r="I521">
        <v>1.2710730532512701E-2</v>
      </c>
      <c r="J521">
        <v>0.17537072856221789</v>
      </c>
      <c r="K521" t="s">
        <v>432</v>
      </c>
      <c r="L521">
        <v>0.83430045132172792</v>
      </c>
      <c r="M521">
        <v>1</v>
      </c>
      <c r="N521">
        <v>1.15919629057187E-2</v>
      </c>
      <c r="O521" t="s">
        <v>433</v>
      </c>
      <c r="P521">
        <v>6395</v>
      </c>
      <c r="Q521">
        <v>1</v>
      </c>
      <c r="R521">
        <v>0</v>
      </c>
      <c r="T521">
        <v>0</v>
      </c>
      <c r="U521" t="b">
        <v>0</v>
      </c>
      <c r="Y521">
        <v>0</v>
      </c>
      <c r="Z521">
        <v>325</v>
      </c>
      <c r="AA521">
        <v>-2.3487492537077801E-2</v>
      </c>
      <c r="AB521">
        <v>-1.831846153846153</v>
      </c>
      <c r="AC521">
        <v>-8.9431912680104197E-2</v>
      </c>
      <c r="AD521">
        <v>5.2978314575898897E-2</v>
      </c>
      <c r="AE521">
        <v>0</v>
      </c>
      <c r="AF521" t="b">
        <v>0</v>
      </c>
    </row>
    <row r="522" spans="1:35" x14ac:dyDescent="0.3">
      <c r="A522" t="s">
        <v>1173</v>
      </c>
      <c r="B522" t="s">
        <v>1174</v>
      </c>
      <c r="C522" t="s">
        <v>431</v>
      </c>
      <c r="D522">
        <v>131</v>
      </c>
      <c r="E522">
        <v>1569</v>
      </c>
      <c r="F522">
        <v>5</v>
      </c>
      <c r="G522">
        <v>120</v>
      </c>
      <c r="H522">
        <v>60</v>
      </c>
      <c r="I522">
        <v>1</v>
      </c>
      <c r="J522">
        <v>1</v>
      </c>
      <c r="K522" t="s">
        <v>86</v>
      </c>
      <c r="P522">
        <v>0</v>
      </c>
      <c r="R522">
        <v>0</v>
      </c>
      <c r="T522">
        <v>0</v>
      </c>
      <c r="U522" t="b">
        <v>0</v>
      </c>
      <c r="V522">
        <v>0</v>
      </c>
      <c r="Y522">
        <v>0</v>
      </c>
      <c r="Z522">
        <v>52</v>
      </c>
      <c r="AA522">
        <v>0</v>
      </c>
      <c r="AB522">
        <v>0</v>
      </c>
      <c r="AC522">
        <v>0</v>
      </c>
      <c r="AD522">
        <v>0</v>
      </c>
      <c r="AE522">
        <v>0</v>
      </c>
      <c r="AF522" t="b">
        <v>0</v>
      </c>
    </row>
    <row r="523" spans="1:35" x14ac:dyDescent="0.3">
      <c r="A523" t="s">
        <v>1175</v>
      </c>
      <c r="B523" t="s">
        <v>1176</v>
      </c>
      <c r="C523" t="s">
        <v>431</v>
      </c>
      <c r="D523">
        <v>1341</v>
      </c>
      <c r="E523">
        <v>68772</v>
      </c>
      <c r="F523">
        <v>218</v>
      </c>
      <c r="G523">
        <v>32</v>
      </c>
      <c r="H523">
        <v>1</v>
      </c>
      <c r="I523">
        <v>1.71726865584831E-2</v>
      </c>
      <c r="J523">
        <v>0.16374994651491159</v>
      </c>
      <c r="K523" t="s">
        <v>432</v>
      </c>
      <c r="L523">
        <v>0.85031306605051848</v>
      </c>
      <c r="M523">
        <v>0.99990471653168178</v>
      </c>
      <c r="N523">
        <v>1.6555402730718899E-2</v>
      </c>
      <c r="O523" t="s">
        <v>433</v>
      </c>
      <c r="P523">
        <v>58631</v>
      </c>
      <c r="Q523">
        <v>0.94958298511026595</v>
      </c>
      <c r="R523">
        <v>0</v>
      </c>
      <c r="T523">
        <v>0</v>
      </c>
      <c r="U523" t="b">
        <v>0</v>
      </c>
      <c r="V523">
        <v>0.30092927830074823</v>
      </c>
      <c r="Y523">
        <v>0</v>
      </c>
      <c r="Z523">
        <v>2042</v>
      </c>
      <c r="AA523">
        <v>2.4053492775777999E-3</v>
      </c>
      <c r="AB523">
        <v>9.9250302471625196E-2</v>
      </c>
      <c r="AC523">
        <v>0</v>
      </c>
      <c r="AD523">
        <v>7.8340375647333992E-3</v>
      </c>
      <c r="AE523">
        <v>0</v>
      </c>
      <c r="AF523" t="b">
        <v>0</v>
      </c>
    </row>
    <row r="524" spans="1:35" x14ac:dyDescent="0.3">
      <c r="A524" t="s">
        <v>1177</v>
      </c>
      <c r="B524" t="s">
        <v>1178</v>
      </c>
      <c r="C524" t="s">
        <v>431</v>
      </c>
      <c r="D524">
        <v>123</v>
      </c>
      <c r="E524">
        <v>4194</v>
      </c>
      <c r="F524">
        <v>140</v>
      </c>
      <c r="G524">
        <v>63</v>
      </c>
      <c r="H524">
        <v>1</v>
      </c>
      <c r="I524">
        <v>5.1263710061993303E-2</v>
      </c>
      <c r="J524">
        <v>0.31225388000926568</v>
      </c>
      <c r="K524" t="s">
        <v>432</v>
      </c>
      <c r="L524">
        <v>0.69979152189020155</v>
      </c>
      <c r="M524">
        <v>1</v>
      </c>
      <c r="N524">
        <v>1.7212843429327999E-2</v>
      </c>
      <c r="O524" t="s">
        <v>433</v>
      </c>
      <c r="P524">
        <v>2969</v>
      </c>
      <c r="Q524">
        <v>0.97069720444594143</v>
      </c>
      <c r="R524">
        <v>0</v>
      </c>
      <c r="T524">
        <v>0</v>
      </c>
      <c r="U524" t="b">
        <v>0</v>
      </c>
      <c r="Y524">
        <v>0</v>
      </c>
      <c r="Z524">
        <v>255</v>
      </c>
      <c r="AA524">
        <v>-1.2683274944855299E-2</v>
      </c>
      <c r="AB524">
        <v>-1.1499999999999999</v>
      </c>
      <c r="AC524">
        <v>0</v>
      </c>
      <c r="AE524">
        <v>0</v>
      </c>
      <c r="AF524" t="b">
        <v>0</v>
      </c>
    </row>
    <row r="525" spans="1:35" x14ac:dyDescent="0.3">
      <c r="A525" t="s">
        <v>1179</v>
      </c>
      <c r="B525" t="s">
        <v>1180</v>
      </c>
      <c r="C525" t="s">
        <v>431</v>
      </c>
      <c r="D525">
        <v>1147</v>
      </c>
      <c r="E525">
        <v>42384</v>
      </c>
      <c r="F525">
        <v>408</v>
      </c>
      <c r="G525">
        <v>43</v>
      </c>
      <c r="H525">
        <v>1</v>
      </c>
      <c r="I525">
        <v>1.42978482446206E-2</v>
      </c>
      <c r="J525">
        <v>0.1287358434219292</v>
      </c>
      <c r="K525" t="s">
        <v>432</v>
      </c>
      <c r="L525">
        <v>0.88984861363166479</v>
      </c>
      <c r="M525">
        <v>1</v>
      </c>
      <c r="N525">
        <v>2.0884964890541001E-2</v>
      </c>
      <c r="O525" t="s">
        <v>433</v>
      </c>
      <c r="P525">
        <v>37927</v>
      </c>
      <c r="Q525">
        <v>0.9760856381996994</v>
      </c>
      <c r="R525">
        <v>0</v>
      </c>
      <c r="T525">
        <v>0</v>
      </c>
      <c r="U525" t="b">
        <v>0</v>
      </c>
      <c r="V525">
        <v>1.303001706120708</v>
      </c>
      <c r="Y525">
        <v>0</v>
      </c>
      <c r="Z525">
        <v>1289</v>
      </c>
      <c r="AA525">
        <v>2.1752621960541799E-2</v>
      </c>
      <c r="AB525">
        <v>1.437962591240326</v>
      </c>
      <c r="AC525">
        <v>1.8627892719032299E-2</v>
      </c>
      <c r="AD525">
        <v>1.73482216073064E-2</v>
      </c>
      <c r="AE525">
        <v>0</v>
      </c>
      <c r="AF525" t="b">
        <v>0</v>
      </c>
    </row>
    <row r="526" spans="1:35" x14ac:dyDescent="0.3">
      <c r="A526" t="s">
        <v>1181</v>
      </c>
      <c r="B526" t="s">
        <v>1182</v>
      </c>
      <c r="C526" t="s">
        <v>431</v>
      </c>
      <c r="D526">
        <v>707</v>
      </c>
      <c r="E526">
        <v>30691</v>
      </c>
      <c r="F526">
        <v>172</v>
      </c>
      <c r="G526">
        <v>34</v>
      </c>
      <c r="H526">
        <v>1</v>
      </c>
      <c r="I526">
        <v>9.9703496138933007E-3</v>
      </c>
      <c r="J526">
        <v>0.11532581693101469</v>
      </c>
      <c r="K526" t="s">
        <v>432</v>
      </c>
      <c r="L526">
        <v>0.89591693738454681</v>
      </c>
      <c r="M526">
        <v>1</v>
      </c>
      <c r="N526">
        <v>1.25488801990757E-2</v>
      </c>
      <c r="O526" t="s">
        <v>433</v>
      </c>
      <c r="P526">
        <v>27777</v>
      </c>
      <c r="Q526">
        <v>0.95802282463909005</v>
      </c>
      <c r="R526">
        <v>0</v>
      </c>
      <c r="T526">
        <v>0</v>
      </c>
      <c r="U526" t="b">
        <v>0</v>
      </c>
      <c r="V526">
        <v>2.139517029592406</v>
      </c>
      <c r="Y526">
        <v>0</v>
      </c>
      <c r="Z526">
        <v>1347</v>
      </c>
      <c r="AA526">
        <v>-1.1703922017983E-3</v>
      </c>
      <c r="AB526">
        <v>-5.0254533884823302E-2</v>
      </c>
      <c r="AC526">
        <v>-1.1753372149344E-2</v>
      </c>
      <c r="AD526">
        <v>7.2321746403323003E-3</v>
      </c>
      <c r="AE526">
        <v>0</v>
      </c>
      <c r="AF526" t="b">
        <v>0</v>
      </c>
    </row>
    <row r="527" spans="1:35" x14ac:dyDescent="0.3">
      <c r="A527" t="s">
        <v>1183</v>
      </c>
      <c r="B527" t="s">
        <v>1184</v>
      </c>
      <c r="C527" t="s">
        <v>431</v>
      </c>
      <c r="D527">
        <v>2956</v>
      </c>
      <c r="E527">
        <v>73130</v>
      </c>
      <c r="F527">
        <v>36</v>
      </c>
      <c r="G527">
        <v>60</v>
      </c>
      <c r="H527">
        <v>60</v>
      </c>
      <c r="I527">
        <v>1</v>
      </c>
      <c r="J527">
        <v>1</v>
      </c>
      <c r="K527" t="s">
        <v>432</v>
      </c>
      <c r="L527">
        <v>0.87841682607809057</v>
      </c>
      <c r="M527">
        <v>1</v>
      </c>
      <c r="N527">
        <v>1</v>
      </c>
      <c r="O527" t="s">
        <v>518</v>
      </c>
      <c r="P527">
        <v>0</v>
      </c>
      <c r="R527">
        <v>0</v>
      </c>
      <c r="T527">
        <v>1</v>
      </c>
      <c r="U527" t="b">
        <v>1</v>
      </c>
      <c r="V527">
        <v>9.6463094427696205</v>
      </c>
      <c r="W527">
        <v>0</v>
      </c>
      <c r="X527" t="b">
        <v>1</v>
      </c>
      <c r="Y527">
        <v>0</v>
      </c>
      <c r="Z527">
        <v>2187</v>
      </c>
      <c r="AA527">
        <v>4.6779158500183299E-2</v>
      </c>
      <c r="AB527">
        <v>3.5561117722153028</v>
      </c>
      <c r="AC527">
        <v>1.1622897554475001E-3</v>
      </c>
      <c r="AD527">
        <v>7.4280664610389902E-2</v>
      </c>
      <c r="AE527">
        <v>1</v>
      </c>
      <c r="AF527" t="b">
        <v>1</v>
      </c>
      <c r="AG527">
        <v>0</v>
      </c>
      <c r="AH527">
        <v>0</v>
      </c>
      <c r="AI527" t="b">
        <v>1</v>
      </c>
    </row>
    <row r="528" spans="1:35" x14ac:dyDescent="0.3">
      <c r="A528" t="s">
        <v>1185</v>
      </c>
      <c r="B528" t="s">
        <v>1186</v>
      </c>
      <c r="C528" t="s">
        <v>431</v>
      </c>
      <c r="D528">
        <v>612</v>
      </c>
      <c r="E528">
        <v>10358</v>
      </c>
      <c r="F528">
        <v>11</v>
      </c>
      <c r="G528">
        <v>60</v>
      </c>
      <c r="H528">
        <v>60</v>
      </c>
      <c r="I528">
        <v>1</v>
      </c>
      <c r="J528">
        <v>1</v>
      </c>
      <c r="K528" t="s">
        <v>432</v>
      </c>
      <c r="L528">
        <v>0.84991119005328597</v>
      </c>
      <c r="M528">
        <v>1</v>
      </c>
      <c r="N528">
        <v>1</v>
      </c>
      <c r="O528" t="s">
        <v>433</v>
      </c>
      <c r="P528">
        <v>0</v>
      </c>
      <c r="R528">
        <v>0</v>
      </c>
      <c r="T528">
        <v>0</v>
      </c>
      <c r="U528" t="b">
        <v>0</v>
      </c>
      <c r="Y528">
        <v>0</v>
      </c>
      <c r="Z528">
        <v>539</v>
      </c>
      <c r="AA528">
        <v>-3.7290242386570001E-4</v>
      </c>
      <c r="AB528">
        <v>-3.3395176252319102E-2</v>
      </c>
      <c r="AC528">
        <v>0</v>
      </c>
      <c r="AD528">
        <v>-1.2970168612191E-3</v>
      </c>
      <c r="AE528">
        <v>0</v>
      </c>
      <c r="AF528" t="b">
        <v>0</v>
      </c>
    </row>
    <row r="529" spans="1:32" x14ac:dyDescent="0.3">
      <c r="A529" t="s">
        <v>1187</v>
      </c>
      <c r="B529" t="s">
        <v>1188</v>
      </c>
      <c r="C529" t="s">
        <v>431</v>
      </c>
      <c r="D529">
        <v>724</v>
      </c>
      <c r="E529">
        <v>10414</v>
      </c>
      <c r="F529">
        <v>10</v>
      </c>
      <c r="G529">
        <v>60</v>
      </c>
      <c r="H529">
        <v>60</v>
      </c>
      <c r="I529">
        <v>1</v>
      </c>
      <c r="J529">
        <v>1</v>
      </c>
      <c r="K529" t="s">
        <v>432</v>
      </c>
      <c r="L529">
        <v>0.8117585615160785</v>
      </c>
      <c r="M529">
        <v>1</v>
      </c>
      <c r="N529">
        <v>1</v>
      </c>
      <c r="O529" t="s">
        <v>433</v>
      </c>
      <c r="P529">
        <v>0</v>
      </c>
      <c r="R529">
        <v>0</v>
      </c>
      <c r="T529">
        <v>0</v>
      </c>
      <c r="U529" t="b">
        <v>0</v>
      </c>
      <c r="V529">
        <v>0</v>
      </c>
      <c r="Y529">
        <v>0</v>
      </c>
      <c r="Z529">
        <v>430</v>
      </c>
      <c r="AA529">
        <v>0</v>
      </c>
      <c r="AB529">
        <v>0</v>
      </c>
      <c r="AC529">
        <v>0</v>
      </c>
      <c r="AD529">
        <v>0</v>
      </c>
      <c r="AE529">
        <v>0</v>
      </c>
      <c r="AF529" t="b">
        <v>0</v>
      </c>
    </row>
    <row r="530" spans="1:32" x14ac:dyDescent="0.3">
      <c r="A530" t="s">
        <v>1189</v>
      </c>
      <c r="B530" t="s">
        <v>1190</v>
      </c>
      <c r="C530" t="s">
        <v>431</v>
      </c>
      <c r="D530">
        <v>197</v>
      </c>
      <c r="E530">
        <v>2438</v>
      </c>
      <c r="F530">
        <v>16</v>
      </c>
      <c r="G530">
        <v>240</v>
      </c>
      <c r="H530">
        <v>60</v>
      </c>
      <c r="I530">
        <v>0.99917965545529119</v>
      </c>
      <c r="J530">
        <v>0.9992412746585736</v>
      </c>
      <c r="K530" t="s">
        <v>86</v>
      </c>
      <c r="P530">
        <v>0</v>
      </c>
      <c r="R530">
        <v>0</v>
      </c>
      <c r="T530">
        <v>0</v>
      </c>
      <c r="U530" t="b">
        <v>0</v>
      </c>
      <c r="Y530">
        <v>0</v>
      </c>
      <c r="Z530">
        <v>97</v>
      </c>
      <c r="AA530">
        <v>-6.9193639688872998E-3</v>
      </c>
      <c r="AB530">
        <v>-1.839224349533628</v>
      </c>
      <c r="AC530">
        <v>-9.6796682933988007E-3</v>
      </c>
      <c r="AD530">
        <v>2.3031922244220001E-4</v>
      </c>
      <c r="AE530">
        <v>0</v>
      </c>
      <c r="AF530" t="b">
        <v>0</v>
      </c>
    </row>
    <row r="531" spans="1:32" x14ac:dyDescent="0.3">
      <c r="A531" t="s">
        <v>1191</v>
      </c>
      <c r="B531" t="s">
        <v>1192</v>
      </c>
      <c r="C531" t="s">
        <v>431</v>
      </c>
      <c r="D531">
        <v>844</v>
      </c>
      <c r="E531">
        <v>24872</v>
      </c>
      <c r="F531">
        <v>166</v>
      </c>
      <c r="G531">
        <v>45</v>
      </c>
      <c r="H531">
        <v>1</v>
      </c>
      <c r="I531">
        <v>1.6524605982630999E-2</v>
      </c>
      <c r="J531">
        <v>0.141740550629958</v>
      </c>
      <c r="K531" t="s">
        <v>432</v>
      </c>
      <c r="L531">
        <v>0.85825944937004195</v>
      </c>
      <c r="M531">
        <v>1</v>
      </c>
      <c r="N531">
        <v>0</v>
      </c>
      <c r="O531" t="s">
        <v>518</v>
      </c>
      <c r="P531">
        <v>22071</v>
      </c>
      <c r="Q531">
        <v>3.37547007385256E-2</v>
      </c>
      <c r="R531">
        <v>0</v>
      </c>
      <c r="T531">
        <v>0</v>
      </c>
      <c r="U531" t="b">
        <v>0</v>
      </c>
      <c r="V531">
        <v>7.2380952380952296E-2</v>
      </c>
      <c r="Y531">
        <v>0</v>
      </c>
      <c r="Z531">
        <v>1001</v>
      </c>
      <c r="AA531">
        <v>-1.1898361342682999E-3</v>
      </c>
      <c r="AB531">
        <v>-6.2785815583018295E-2</v>
      </c>
      <c r="AC531">
        <v>3.2169524490749998E-4</v>
      </c>
      <c r="AD531">
        <v>-1.3279451847811E-3</v>
      </c>
      <c r="AE531">
        <v>0</v>
      </c>
      <c r="AF531" t="b">
        <v>0</v>
      </c>
    </row>
    <row r="532" spans="1:32" x14ac:dyDescent="0.3">
      <c r="A532" t="s">
        <v>1193</v>
      </c>
      <c r="B532" t="s">
        <v>1194</v>
      </c>
      <c r="C532" t="s">
        <v>431</v>
      </c>
      <c r="D532">
        <v>313</v>
      </c>
      <c r="E532">
        <v>16648</v>
      </c>
      <c r="F532">
        <v>185</v>
      </c>
      <c r="G532">
        <v>60</v>
      </c>
      <c r="H532">
        <v>1</v>
      </c>
      <c r="I532">
        <v>5.4961556943777003E-2</v>
      </c>
      <c r="J532">
        <v>0.176876363421968</v>
      </c>
      <c r="K532" t="s">
        <v>432</v>
      </c>
      <c r="L532">
        <v>0.84069335534461409</v>
      </c>
      <c r="M532">
        <v>0.99962990377498162</v>
      </c>
      <c r="N532">
        <v>2.0969212427238901E-2</v>
      </c>
      <c r="O532" t="s">
        <v>433</v>
      </c>
      <c r="P532">
        <v>13960</v>
      </c>
      <c r="Q532">
        <v>0.142621776504298</v>
      </c>
      <c r="R532">
        <v>1</v>
      </c>
      <c r="S532">
        <v>0</v>
      </c>
      <c r="T532">
        <v>0</v>
      </c>
      <c r="U532" t="b">
        <v>0</v>
      </c>
      <c r="V532">
        <v>5.996726190476191</v>
      </c>
      <c r="Y532">
        <v>0</v>
      </c>
      <c r="Z532">
        <v>412</v>
      </c>
      <c r="AA532">
        <v>5.0883074660948999E-3</v>
      </c>
      <c r="AB532">
        <v>0.34881620933162899</v>
      </c>
      <c r="AC532">
        <v>-1.98610386520356E-2</v>
      </c>
      <c r="AD532">
        <v>2.6275758050020599E-2</v>
      </c>
      <c r="AE532">
        <v>0</v>
      </c>
      <c r="AF532" t="b">
        <v>0</v>
      </c>
    </row>
    <row r="533" spans="1:32" x14ac:dyDescent="0.3">
      <c r="A533" t="s">
        <v>1195</v>
      </c>
      <c r="B533" t="s">
        <v>1196</v>
      </c>
      <c r="C533" t="s">
        <v>431</v>
      </c>
      <c r="D533">
        <v>294</v>
      </c>
      <c r="E533">
        <v>6525</v>
      </c>
      <c r="F533">
        <v>151</v>
      </c>
      <c r="G533">
        <v>60</v>
      </c>
      <c r="H533">
        <v>1</v>
      </c>
      <c r="I533">
        <v>0.40659003831417623</v>
      </c>
      <c r="J533">
        <v>0.55418683091362375</v>
      </c>
      <c r="K533" t="s">
        <v>432</v>
      </c>
      <c r="L533">
        <v>0.68925062325854236</v>
      </c>
      <c r="M533">
        <v>0.91411042944785281</v>
      </c>
      <c r="N533">
        <v>0.3919148936170212</v>
      </c>
      <c r="O533" t="s">
        <v>433</v>
      </c>
      <c r="P533">
        <v>2858</v>
      </c>
      <c r="Q533">
        <v>1.39958012596221E-2</v>
      </c>
      <c r="R533">
        <v>142</v>
      </c>
      <c r="S533">
        <v>0</v>
      </c>
      <c r="T533">
        <v>0</v>
      </c>
      <c r="U533" t="b">
        <v>0</v>
      </c>
      <c r="Y533">
        <v>0</v>
      </c>
      <c r="Z533">
        <v>381</v>
      </c>
      <c r="AA533">
        <v>-5.3284281730254998E-3</v>
      </c>
      <c r="AB533">
        <v>-0.58923884514435698</v>
      </c>
      <c r="AC533">
        <v>-2.4719841793012499E-2</v>
      </c>
      <c r="AD533">
        <v>-2.8097780275357998E-3</v>
      </c>
      <c r="AE533">
        <v>0</v>
      </c>
      <c r="AF533" t="b">
        <v>0</v>
      </c>
    </row>
    <row r="534" spans="1:32" x14ac:dyDescent="0.3">
      <c r="A534" t="s">
        <v>1197</v>
      </c>
      <c r="B534" t="s">
        <v>1198</v>
      </c>
      <c r="C534" t="s">
        <v>431</v>
      </c>
      <c r="D534">
        <v>1046</v>
      </c>
      <c r="E534">
        <v>30027</v>
      </c>
      <c r="F534">
        <v>303</v>
      </c>
      <c r="G534">
        <v>60</v>
      </c>
      <c r="H534">
        <v>1</v>
      </c>
      <c r="I534">
        <v>2.6476171445698801E-2</v>
      </c>
      <c r="J534">
        <v>0.1951156729624505</v>
      </c>
      <c r="K534" t="s">
        <v>432</v>
      </c>
      <c r="L534">
        <v>0.82554136233469544</v>
      </c>
      <c r="M534">
        <v>1</v>
      </c>
      <c r="N534">
        <v>2.5022411037923301E-2</v>
      </c>
      <c r="O534" t="s">
        <v>433</v>
      </c>
      <c r="P534">
        <v>25015</v>
      </c>
      <c r="Q534">
        <v>0.99280431740955422</v>
      </c>
      <c r="R534">
        <v>0</v>
      </c>
      <c r="T534">
        <v>0</v>
      </c>
      <c r="U534" t="b">
        <v>0</v>
      </c>
      <c r="V534">
        <v>1.0313634351482961</v>
      </c>
      <c r="Y534">
        <v>0</v>
      </c>
      <c r="Z534">
        <v>1187</v>
      </c>
      <c r="AA534">
        <v>4.8688641278979003E-3</v>
      </c>
      <c r="AB534">
        <v>0.45118579585723639</v>
      </c>
      <c r="AC534">
        <v>-8.3552028998160001E-4</v>
      </c>
      <c r="AD534">
        <v>1.354652257926E-3</v>
      </c>
      <c r="AE534">
        <v>0</v>
      </c>
      <c r="AF534" t="b">
        <v>0</v>
      </c>
    </row>
    <row r="535" spans="1:32" x14ac:dyDescent="0.3">
      <c r="A535" t="s">
        <v>1199</v>
      </c>
      <c r="B535" t="s">
        <v>1200</v>
      </c>
      <c r="C535" t="s">
        <v>431</v>
      </c>
      <c r="D535">
        <v>531</v>
      </c>
      <c r="E535">
        <v>11305</v>
      </c>
      <c r="F535">
        <v>22</v>
      </c>
      <c r="G535">
        <v>60</v>
      </c>
      <c r="H535">
        <v>60</v>
      </c>
      <c r="I535">
        <v>1</v>
      </c>
      <c r="J535">
        <v>1</v>
      </c>
      <c r="K535" t="s">
        <v>432</v>
      </c>
      <c r="L535">
        <v>0.88171045117075952</v>
      </c>
      <c r="M535">
        <v>1</v>
      </c>
      <c r="N535">
        <v>1</v>
      </c>
      <c r="O535" t="s">
        <v>433</v>
      </c>
      <c r="P535">
        <v>0</v>
      </c>
      <c r="R535">
        <v>0</v>
      </c>
      <c r="T535">
        <v>0</v>
      </c>
      <c r="U535" t="b">
        <v>0</v>
      </c>
      <c r="V535">
        <v>11.88311688311688</v>
      </c>
      <c r="Y535">
        <v>0</v>
      </c>
      <c r="Z535">
        <v>695</v>
      </c>
      <c r="AA535">
        <v>1.9199734756086999E-3</v>
      </c>
      <c r="AB535">
        <v>0.17946082694284129</v>
      </c>
      <c r="AC535">
        <v>-9.0296289059774004E-3</v>
      </c>
      <c r="AD535">
        <v>-4.3311613645074701E-2</v>
      </c>
      <c r="AE535">
        <v>0</v>
      </c>
      <c r="AF535" t="b">
        <v>0</v>
      </c>
    </row>
    <row r="536" spans="1:32" x14ac:dyDescent="0.3">
      <c r="A536" t="s">
        <v>1201</v>
      </c>
      <c r="B536" t="s">
        <v>1202</v>
      </c>
      <c r="C536" t="s">
        <v>549</v>
      </c>
      <c r="D536">
        <v>125</v>
      </c>
      <c r="E536">
        <v>4046</v>
      </c>
      <c r="F536">
        <v>6</v>
      </c>
      <c r="G536">
        <v>60</v>
      </c>
      <c r="H536">
        <v>30</v>
      </c>
      <c r="I536">
        <v>0.53015323776569456</v>
      </c>
      <c r="J536">
        <v>0.76816111244305918</v>
      </c>
      <c r="K536" t="s">
        <v>432</v>
      </c>
      <c r="L536">
        <v>0.97003116758571084</v>
      </c>
      <c r="M536">
        <v>1</v>
      </c>
      <c r="N536">
        <v>0.76099851705388033</v>
      </c>
      <c r="O536" t="s">
        <v>518</v>
      </c>
      <c r="P536">
        <v>0</v>
      </c>
      <c r="R536">
        <v>0</v>
      </c>
      <c r="T536">
        <v>0</v>
      </c>
      <c r="U536" t="b">
        <v>0</v>
      </c>
      <c r="V536">
        <v>0</v>
      </c>
      <c r="Y536">
        <v>0</v>
      </c>
      <c r="Z536">
        <v>97</v>
      </c>
      <c r="AA536">
        <v>0</v>
      </c>
      <c r="AB536">
        <v>0</v>
      </c>
      <c r="AC536">
        <v>0</v>
      </c>
      <c r="AD536">
        <v>0</v>
      </c>
      <c r="AE536">
        <v>0</v>
      </c>
      <c r="AF536" t="b">
        <v>0</v>
      </c>
    </row>
    <row r="537" spans="1:32" x14ac:dyDescent="0.3">
      <c r="A537" t="s">
        <v>1203</v>
      </c>
      <c r="B537" t="s">
        <v>1204</v>
      </c>
      <c r="C537" t="s">
        <v>431</v>
      </c>
      <c r="D537">
        <v>546</v>
      </c>
      <c r="E537">
        <v>9920</v>
      </c>
      <c r="F537">
        <v>123</v>
      </c>
      <c r="G537">
        <v>60</v>
      </c>
      <c r="H537">
        <v>1</v>
      </c>
      <c r="I537">
        <v>2.3689516129032199E-2</v>
      </c>
      <c r="J537">
        <v>0.2456525893369004</v>
      </c>
      <c r="K537" t="s">
        <v>432</v>
      </c>
      <c r="L537">
        <v>0.76552646665392698</v>
      </c>
      <c r="M537">
        <v>1</v>
      </c>
      <c r="N537">
        <v>1.46030953569645E-2</v>
      </c>
      <c r="O537" t="s">
        <v>433</v>
      </c>
      <c r="P537">
        <v>7895</v>
      </c>
      <c r="Q537">
        <v>0.82469917669411019</v>
      </c>
      <c r="R537">
        <v>0</v>
      </c>
      <c r="T537">
        <v>0</v>
      </c>
      <c r="U537" t="b">
        <v>0</v>
      </c>
      <c r="V537">
        <v>0</v>
      </c>
      <c r="Y537">
        <v>0</v>
      </c>
      <c r="Z537">
        <v>344</v>
      </c>
      <c r="AA537">
        <v>0</v>
      </c>
      <c r="AB537">
        <v>0</v>
      </c>
      <c r="AC537">
        <v>0</v>
      </c>
      <c r="AD537">
        <v>0</v>
      </c>
      <c r="AE537">
        <v>0</v>
      </c>
      <c r="AF537" t="b">
        <v>0</v>
      </c>
    </row>
    <row r="538" spans="1:32" x14ac:dyDescent="0.3">
      <c r="A538" t="s">
        <v>1205</v>
      </c>
      <c r="B538" t="s">
        <v>1206</v>
      </c>
      <c r="C538" t="s">
        <v>431</v>
      </c>
      <c r="D538">
        <v>83</v>
      </c>
      <c r="E538">
        <v>2385</v>
      </c>
      <c r="F538">
        <v>9</v>
      </c>
      <c r="G538">
        <v>60</v>
      </c>
      <c r="H538">
        <v>60</v>
      </c>
      <c r="I538">
        <v>1</v>
      </c>
      <c r="J538">
        <v>1</v>
      </c>
      <c r="K538" t="s">
        <v>432</v>
      </c>
      <c r="L538">
        <v>8.4824182603331202E-2</v>
      </c>
      <c r="M538">
        <v>1</v>
      </c>
      <c r="O538" t="s">
        <v>518</v>
      </c>
      <c r="P538">
        <v>0</v>
      </c>
      <c r="R538">
        <v>0</v>
      </c>
      <c r="T538">
        <v>0</v>
      </c>
      <c r="U538" t="b">
        <v>0</v>
      </c>
      <c r="Y538">
        <v>8.4824182603331202E-2</v>
      </c>
      <c r="Z538">
        <v>83</v>
      </c>
      <c r="AA538">
        <v>5.2412911473314E-3</v>
      </c>
      <c r="AB538">
        <v>0.56454388984509507</v>
      </c>
      <c r="AC538">
        <v>-7.1684587813620002E-3</v>
      </c>
      <c r="AD538">
        <v>1.5015015015014999E-2</v>
      </c>
      <c r="AE538">
        <v>0</v>
      </c>
      <c r="AF538" t="b">
        <v>0</v>
      </c>
    </row>
    <row r="539" spans="1:32" x14ac:dyDescent="0.3">
      <c r="A539" t="s">
        <v>1207</v>
      </c>
      <c r="B539" t="s">
        <v>1208</v>
      </c>
      <c r="C539" t="s">
        <v>431</v>
      </c>
      <c r="D539">
        <v>179</v>
      </c>
      <c r="E539">
        <v>7061</v>
      </c>
      <c r="F539">
        <v>87</v>
      </c>
      <c r="G539">
        <v>41</v>
      </c>
      <c r="H539">
        <v>1</v>
      </c>
      <c r="I539">
        <v>1.0621724968134801E-2</v>
      </c>
      <c r="J539">
        <v>0.17499999999999999</v>
      </c>
      <c r="K539" t="s">
        <v>432</v>
      </c>
      <c r="L539">
        <v>0.82499999999999996</v>
      </c>
      <c r="M539">
        <v>1</v>
      </c>
      <c r="N539">
        <v>0</v>
      </c>
      <c r="O539" t="s">
        <v>518</v>
      </c>
      <c r="P539">
        <v>5973</v>
      </c>
      <c r="Q539">
        <v>7.7180646241419695E-2</v>
      </c>
      <c r="R539">
        <v>0</v>
      </c>
      <c r="T539">
        <v>0</v>
      </c>
      <c r="U539" t="b">
        <v>0</v>
      </c>
      <c r="V539">
        <v>0</v>
      </c>
      <c r="Y539">
        <v>0</v>
      </c>
      <c r="Z539">
        <v>342</v>
      </c>
      <c r="AA539">
        <v>0</v>
      </c>
      <c r="AB539">
        <v>0</v>
      </c>
      <c r="AC539">
        <v>0</v>
      </c>
      <c r="AD539">
        <v>0</v>
      </c>
      <c r="AE539">
        <v>0</v>
      </c>
      <c r="AF539" t="b">
        <v>0</v>
      </c>
    </row>
    <row r="540" spans="1:32" x14ac:dyDescent="0.3">
      <c r="A540" t="s">
        <v>1209</v>
      </c>
      <c r="B540" t="s">
        <v>1210</v>
      </c>
      <c r="C540" t="s">
        <v>431</v>
      </c>
      <c r="D540">
        <v>210</v>
      </c>
      <c r="E540">
        <v>5073</v>
      </c>
      <c r="F540">
        <v>120</v>
      </c>
      <c r="G540">
        <v>52</v>
      </c>
      <c r="H540">
        <v>1</v>
      </c>
      <c r="I540">
        <v>4.7309284447072698E-2</v>
      </c>
      <c r="J540">
        <v>0.29926178307779672</v>
      </c>
      <c r="K540" t="s">
        <v>432</v>
      </c>
      <c r="L540">
        <v>0.70812038614423622</v>
      </c>
      <c r="M540">
        <v>1</v>
      </c>
      <c r="N540">
        <v>1.0425020048115401E-2</v>
      </c>
      <c r="O540" t="s">
        <v>433</v>
      </c>
      <c r="P540">
        <v>3702</v>
      </c>
      <c r="Q540">
        <v>1</v>
      </c>
      <c r="R540">
        <v>0</v>
      </c>
      <c r="T540">
        <v>0</v>
      </c>
      <c r="U540" t="b">
        <v>0</v>
      </c>
      <c r="V540">
        <v>0</v>
      </c>
      <c r="Y540">
        <v>0</v>
      </c>
      <c r="Z540">
        <v>188</v>
      </c>
      <c r="AA540">
        <v>0</v>
      </c>
      <c r="AB540">
        <v>0</v>
      </c>
      <c r="AC540">
        <v>0</v>
      </c>
      <c r="AD540">
        <v>0</v>
      </c>
      <c r="AE540">
        <v>0</v>
      </c>
      <c r="AF540" t="b">
        <v>0</v>
      </c>
    </row>
    <row r="541" spans="1:32" x14ac:dyDescent="0.3">
      <c r="A541" t="s">
        <v>1211</v>
      </c>
      <c r="B541" t="s">
        <v>1212</v>
      </c>
      <c r="C541" t="s">
        <v>431</v>
      </c>
      <c r="D541">
        <v>117</v>
      </c>
      <c r="E541">
        <v>563</v>
      </c>
      <c r="F541">
        <v>4</v>
      </c>
      <c r="G541">
        <v>600</v>
      </c>
      <c r="H541">
        <v>300</v>
      </c>
      <c r="I541">
        <v>1</v>
      </c>
      <c r="J541">
        <v>1</v>
      </c>
      <c r="K541" t="s">
        <v>86</v>
      </c>
      <c r="P541">
        <v>0</v>
      </c>
      <c r="R541">
        <v>0</v>
      </c>
      <c r="T541">
        <v>0</v>
      </c>
      <c r="U541" t="b">
        <v>0</v>
      </c>
      <c r="Y541">
        <v>0</v>
      </c>
      <c r="Z541">
        <v>43</v>
      </c>
      <c r="AA541">
        <v>0</v>
      </c>
      <c r="AB541">
        <v>0</v>
      </c>
      <c r="AC541">
        <v>0</v>
      </c>
      <c r="AE541">
        <v>0</v>
      </c>
      <c r="AF541" t="b">
        <v>0</v>
      </c>
    </row>
    <row r="542" spans="1:32" x14ac:dyDescent="0.3">
      <c r="A542" t="s">
        <v>1213</v>
      </c>
      <c r="B542" t="s">
        <v>1214</v>
      </c>
      <c r="C542" t="s">
        <v>431</v>
      </c>
      <c r="D542">
        <v>843</v>
      </c>
      <c r="E542">
        <v>32554</v>
      </c>
      <c r="F542">
        <v>167</v>
      </c>
      <c r="G542">
        <v>28</v>
      </c>
      <c r="H542">
        <v>1</v>
      </c>
      <c r="I542">
        <v>1.0137003133255501E-2</v>
      </c>
      <c r="J542">
        <v>5.78759843109075E-2</v>
      </c>
      <c r="K542" t="s">
        <v>432</v>
      </c>
      <c r="L542">
        <v>0.94212401568909243</v>
      </c>
      <c r="M542">
        <v>1</v>
      </c>
      <c r="N542">
        <v>0</v>
      </c>
      <c r="O542" t="s">
        <v>518</v>
      </c>
      <c r="P542">
        <v>31466</v>
      </c>
      <c r="Q542">
        <v>2.4089493421470699E-2</v>
      </c>
      <c r="R542">
        <v>0</v>
      </c>
      <c r="T542">
        <v>0</v>
      </c>
      <c r="U542" t="b">
        <v>0</v>
      </c>
      <c r="V542">
        <v>0.32287549407114619</v>
      </c>
      <c r="Y542">
        <v>0</v>
      </c>
      <c r="Z542">
        <v>1267</v>
      </c>
      <c r="AA542">
        <v>-2.3130505123134001E-3</v>
      </c>
      <c r="AB542">
        <v>-0.1015588003157063</v>
      </c>
      <c r="AC542">
        <v>-2.2664316293124999E-3</v>
      </c>
      <c r="AD542">
        <v>-7.4837740162996998E-3</v>
      </c>
      <c r="AE542">
        <v>0</v>
      </c>
      <c r="AF542" t="b">
        <v>0</v>
      </c>
    </row>
    <row r="543" spans="1:32" x14ac:dyDescent="0.3">
      <c r="A543" t="s">
        <v>1215</v>
      </c>
      <c r="B543" t="s">
        <v>1216</v>
      </c>
      <c r="C543" t="s">
        <v>431</v>
      </c>
      <c r="D543">
        <v>103</v>
      </c>
      <c r="E543">
        <v>207</v>
      </c>
      <c r="F543">
        <v>10</v>
      </c>
      <c r="G543">
        <v>180</v>
      </c>
      <c r="H543">
        <v>60</v>
      </c>
      <c r="I543">
        <v>1</v>
      </c>
      <c r="J543">
        <v>1</v>
      </c>
      <c r="K543" t="s">
        <v>432</v>
      </c>
      <c r="L543">
        <v>0.60961810466760957</v>
      </c>
      <c r="M543">
        <v>1</v>
      </c>
      <c r="N543">
        <v>1</v>
      </c>
      <c r="O543" t="s">
        <v>433</v>
      </c>
      <c r="P543">
        <v>0</v>
      </c>
      <c r="R543">
        <v>0</v>
      </c>
      <c r="T543">
        <v>0</v>
      </c>
      <c r="U543" t="b">
        <v>0</v>
      </c>
      <c r="Y543">
        <v>0.60867515322960863</v>
      </c>
      <c r="Z543">
        <v>16</v>
      </c>
      <c r="AA543">
        <v>0</v>
      </c>
      <c r="AB543">
        <v>0</v>
      </c>
      <c r="AE543">
        <v>0</v>
      </c>
      <c r="AF543" t="b">
        <v>0</v>
      </c>
    </row>
    <row r="544" spans="1:32" x14ac:dyDescent="0.3">
      <c r="A544" t="s">
        <v>1217</v>
      </c>
      <c r="B544" t="s">
        <v>1218</v>
      </c>
      <c r="C544" t="s">
        <v>431</v>
      </c>
      <c r="D544">
        <v>60</v>
      </c>
      <c r="E544">
        <v>965</v>
      </c>
      <c r="F544">
        <v>288</v>
      </c>
      <c r="G544">
        <v>148</v>
      </c>
      <c r="H544">
        <v>1</v>
      </c>
      <c r="I544">
        <v>0.45388601036269433</v>
      </c>
      <c r="J544">
        <v>0.68304431599229287</v>
      </c>
      <c r="K544" t="s">
        <v>432</v>
      </c>
      <c r="L544">
        <v>0.32273603082851637</v>
      </c>
      <c r="M544">
        <v>0.98577524893314361</v>
      </c>
      <c r="N544">
        <v>4.7761194029850698E-2</v>
      </c>
      <c r="O544" t="s">
        <v>433</v>
      </c>
      <c r="P544">
        <v>309</v>
      </c>
      <c r="Q544">
        <v>0.97411003236245963</v>
      </c>
      <c r="R544">
        <v>10</v>
      </c>
      <c r="S544">
        <v>1</v>
      </c>
      <c r="T544">
        <v>0</v>
      </c>
      <c r="U544" t="b">
        <v>0</v>
      </c>
      <c r="Y544">
        <v>0</v>
      </c>
      <c r="Z544">
        <v>10</v>
      </c>
      <c r="AA544">
        <v>-0.10692701069270109</v>
      </c>
      <c r="AB544">
        <v>-15.333333333333339</v>
      </c>
      <c r="AE544">
        <v>0</v>
      </c>
      <c r="AF544" t="b">
        <v>0</v>
      </c>
    </row>
    <row r="545" spans="1:35" x14ac:dyDescent="0.3">
      <c r="A545" t="s">
        <v>1219</v>
      </c>
      <c r="B545" t="s">
        <v>1220</v>
      </c>
      <c r="C545" t="s">
        <v>431</v>
      </c>
      <c r="D545">
        <v>192</v>
      </c>
      <c r="E545">
        <v>784</v>
      </c>
      <c r="F545">
        <v>10</v>
      </c>
      <c r="G545">
        <v>840</v>
      </c>
      <c r="H545">
        <v>120</v>
      </c>
      <c r="I545">
        <v>1</v>
      </c>
      <c r="J545">
        <v>1</v>
      </c>
      <c r="K545" t="s">
        <v>86</v>
      </c>
      <c r="P545">
        <v>0</v>
      </c>
      <c r="R545">
        <v>0</v>
      </c>
      <c r="T545">
        <v>0</v>
      </c>
      <c r="U545" t="b">
        <v>0</v>
      </c>
      <c r="V545">
        <v>0</v>
      </c>
      <c r="Y545">
        <v>0</v>
      </c>
      <c r="Z545">
        <v>20</v>
      </c>
      <c r="AA545">
        <v>0</v>
      </c>
      <c r="AB545">
        <v>0</v>
      </c>
      <c r="AC545">
        <v>0</v>
      </c>
      <c r="AD545">
        <v>0</v>
      </c>
      <c r="AE545">
        <v>0</v>
      </c>
      <c r="AF545" t="b">
        <v>0</v>
      </c>
    </row>
    <row r="546" spans="1:35" x14ac:dyDescent="0.3">
      <c r="A546" t="s">
        <v>1221</v>
      </c>
      <c r="B546" t="s">
        <v>1222</v>
      </c>
      <c r="C546" t="s">
        <v>431</v>
      </c>
      <c r="D546">
        <v>285</v>
      </c>
      <c r="E546">
        <v>8591</v>
      </c>
      <c r="F546">
        <v>168</v>
      </c>
      <c r="G546">
        <v>48</v>
      </c>
      <c r="H546">
        <v>1</v>
      </c>
      <c r="I546">
        <v>1.76929344663019E-2</v>
      </c>
      <c r="J546">
        <v>0.168769716088328</v>
      </c>
      <c r="K546" t="s">
        <v>432</v>
      </c>
      <c r="L546">
        <v>0.84677782785038302</v>
      </c>
      <c r="M546">
        <v>1</v>
      </c>
      <c r="N546">
        <v>1.8360830228845101E-2</v>
      </c>
      <c r="O546" t="s">
        <v>433</v>
      </c>
      <c r="P546">
        <v>7378</v>
      </c>
      <c r="Q546">
        <v>0.9563567362428842</v>
      </c>
      <c r="R546">
        <v>0</v>
      </c>
      <c r="T546">
        <v>0</v>
      </c>
      <c r="U546" t="b">
        <v>0</v>
      </c>
      <c r="V546">
        <v>0.16346153846153841</v>
      </c>
      <c r="Y546">
        <v>0</v>
      </c>
      <c r="Z546">
        <v>618</v>
      </c>
      <c r="AA546">
        <v>9.2041313916827762E-5</v>
      </c>
      <c r="AB546">
        <v>5.8945908460471003E-3</v>
      </c>
      <c r="AC546">
        <v>1.4551057091499999E-3</v>
      </c>
      <c r="AD546">
        <v>0</v>
      </c>
      <c r="AE546">
        <v>0</v>
      </c>
      <c r="AF546" t="b">
        <v>0</v>
      </c>
    </row>
    <row r="547" spans="1:35" x14ac:dyDescent="0.3">
      <c r="A547" t="s">
        <v>1223</v>
      </c>
      <c r="B547" t="s">
        <v>1224</v>
      </c>
      <c r="C547" t="s">
        <v>431</v>
      </c>
      <c r="D547">
        <v>239</v>
      </c>
      <c r="E547">
        <v>3028</v>
      </c>
      <c r="F547">
        <v>37</v>
      </c>
      <c r="G547">
        <v>60</v>
      </c>
      <c r="H547">
        <v>60</v>
      </c>
      <c r="I547">
        <v>0.58784676354029064</v>
      </c>
      <c r="J547">
        <v>0.7711246200607903</v>
      </c>
      <c r="K547" t="s">
        <v>432</v>
      </c>
      <c r="L547">
        <v>0.61246200607902734</v>
      </c>
      <c r="M547">
        <v>1</v>
      </c>
      <c r="N547">
        <v>0.62630272952853594</v>
      </c>
      <c r="O547" t="s">
        <v>433</v>
      </c>
      <c r="P547">
        <v>753</v>
      </c>
      <c r="Q547">
        <v>0.11022576361221779</v>
      </c>
      <c r="R547">
        <v>0</v>
      </c>
      <c r="T547">
        <v>0</v>
      </c>
      <c r="U547" t="b">
        <v>0</v>
      </c>
      <c r="V547">
        <v>0</v>
      </c>
      <c r="Y547">
        <v>0</v>
      </c>
      <c r="Z547">
        <v>192</v>
      </c>
      <c r="AA547">
        <v>0</v>
      </c>
      <c r="AB547">
        <v>0</v>
      </c>
      <c r="AC547">
        <v>0</v>
      </c>
      <c r="AD547">
        <v>0</v>
      </c>
      <c r="AE547">
        <v>0</v>
      </c>
      <c r="AF547" t="b">
        <v>0</v>
      </c>
    </row>
    <row r="548" spans="1:35" x14ac:dyDescent="0.3">
      <c r="A548" t="s">
        <v>1225</v>
      </c>
      <c r="B548" t="s">
        <v>1226</v>
      </c>
      <c r="C548" t="s">
        <v>431</v>
      </c>
      <c r="D548">
        <v>302</v>
      </c>
      <c r="E548">
        <v>2272</v>
      </c>
      <c r="F548">
        <v>35</v>
      </c>
      <c r="G548">
        <v>180</v>
      </c>
      <c r="H548">
        <v>60</v>
      </c>
      <c r="I548">
        <v>1</v>
      </c>
      <c r="J548">
        <v>1</v>
      </c>
      <c r="K548" t="s">
        <v>432</v>
      </c>
      <c r="L548">
        <v>7.7700077700070002E-4</v>
      </c>
      <c r="M548">
        <v>1</v>
      </c>
      <c r="N548">
        <v>1</v>
      </c>
      <c r="O548" t="s">
        <v>433</v>
      </c>
      <c r="P548">
        <v>0</v>
      </c>
      <c r="R548">
        <v>0</v>
      </c>
      <c r="T548">
        <v>0</v>
      </c>
      <c r="U548" t="b">
        <v>0</v>
      </c>
      <c r="V548">
        <v>82.070028011204485</v>
      </c>
      <c r="Y548">
        <v>0</v>
      </c>
      <c r="Z548">
        <v>50</v>
      </c>
      <c r="AA548">
        <v>0.12700878465506121</v>
      </c>
      <c r="AB548">
        <v>38.204242424242423</v>
      </c>
      <c r="AC548">
        <v>6.2234042553191399E-2</v>
      </c>
      <c r="AD548">
        <v>0.18228533434650451</v>
      </c>
      <c r="AE548">
        <v>0</v>
      </c>
      <c r="AF548" t="b">
        <v>0</v>
      </c>
    </row>
    <row r="549" spans="1:35" x14ac:dyDescent="0.3">
      <c r="A549" t="s">
        <v>1227</v>
      </c>
      <c r="B549" t="s">
        <v>1228</v>
      </c>
      <c r="C549" t="s">
        <v>431</v>
      </c>
      <c r="D549">
        <v>404</v>
      </c>
      <c r="E549">
        <v>9558</v>
      </c>
      <c r="F549">
        <v>113</v>
      </c>
      <c r="G549">
        <v>35</v>
      </c>
      <c r="H549">
        <v>1</v>
      </c>
      <c r="I549">
        <v>1.7786147729649999E-3</v>
      </c>
      <c r="J549">
        <v>0.13370809074483031</v>
      </c>
      <c r="K549" t="s">
        <v>432</v>
      </c>
      <c r="L549">
        <v>0.87974302348925915</v>
      </c>
      <c r="M549">
        <v>1</v>
      </c>
      <c r="N549">
        <v>1.52898219990871E-2</v>
      </c>
      <c r="O549" t="s">
        <v>433</v>
      </c>
      <c r="P549">
        <v>8630</v>
      </c>
      <c r="Q549">
        <v>0.9903823870220162</v>
      </c>
      <c r="R549">
        <v>0</v>
      </c>
      <c r="T549">
        <v>0</v>
      </c>
      <c r="U549" t="b">
        <v>0</v>
      </c>
      <c r="V549">
        <v>0</v>
      </c>
      <c r="Y549">
        <v>0</v>
      </c>
      <c r="Z549">
        <v>454</v>
      </c>
      <c r="AA549">
        <v>0</v>
      </c>
      <c r="AB549">
        <v>0</v>
      </c>
      <c r="AC549">
        <v>0</v>
      </c>
      <c r="AD549">
        <v>0</v>
      </c>
      <c r="AE549">
        <v>0</v>
      </c>
      <c r="AF549" t="b">
        <v>0</v>
      </c>
    </row>
    <row r="550" spans="1:35" x14ac:dyDescent="0.3">
      <c r="A550" t="s">
        <v>1229</v>
      </c>
      <c r="B550" t="s">
        <v>1230</v>
      </c>
      <c r="C550" t="s">
        <v>431</v>
      </c>
      <c r="D550">
        <v>54</v>
      </c>
      <c r="E550">
        <v>454</v>
      </c>
      <c r="F550">
        <v>14</v>
      </c>
      <c r="G550">
        <v>180</v>
      </c>
      <c r="H550">
        <v>300</v>
      </c>
      <c r="I550">
        <v>1</v>
      </c>
      <c r="J550">
        <v>1</v>
      </c>
      <c r="K550" t="s">
        <v>432</v>
      </c>
      <c r="L550">
        <v>1.1560693641618399E-2</v>
      </c>
      <c r="M550">
        <v>1</v>
      </c>
      <c r="N550">
        <v>1</v>
      </c>
      <c r="O550" t="s">
        <v>433</v>
      </c>
      <c r="P550">
        <v>0</v>
      </c>
      <c r="R550">
        <v>0</v>
      </c>
      <c r="T550">
        <v>0</v>
      </c>
      <c r="U550" t="b">
        <v>0</v>
      </c>
      <c r="Y550">
        <v>3.8535645472061002E-3</v>
      </c>
      <c r="Z550">
        <v>0</v>
      </c>
      <c r="AE550">
        <v>0</v>
      </c>
      <c r="AF550" t="b">
        <v>0</v>
      </c>
    </row>
    <row r="551" spans="1:35" x14ac:dyDescent="0.3">
      <c r="A551" t="s">
        <v>1231</v>
      </c>
      <c r="B551" t="s">
        <v>1232</v>
      </c>
      <c r="C551" t="s">
        <v>431</v>
      </c>
      <c r="D551">
        <v>181</v>
      </c>
      <c r="E551">
        <v>1824</v>
      </c>
      <c r="F551">
        <v>38</v>
      </c>
      <c r="G551">
        <v>173</v>
      </c>
      <c r="H551">
        <v>3</v>
      </c>
      <c r="I551">
        <v>0.41666666666666669</v>
      </c>
      <c r="J551">
        <v>0.71571072319202</v>
      </c>
      <c r="K551" t="s">
        <v>432</v>
      </c>
      <c r="L551">
        <v>0.30324189526184531</v>
      </c>
      <c r="M551">
        <v>1</v>
      </c>
      <c r="N551">
        <v>6.25E-2</v>
      </c>
      <c r="O551" t="s">
        <v>433</v>
      </c>
      <c r="P551">
        <v>570</v>
      </c>
      <c r="Q551">
        <v>1</v>
      </c>
      <c r="R551">
        <v>0</v>
      </c>
      <c r="T551">
        <v>0</v>
      </c>
      <c r="U551" t="b">
        <v>0</v>
      </c>
      <c r="Y551">
        <v>0</v>
      </c>
      <c r="Z551">
        <v>40</v>
      </c>
      <c r="AA551">
        <v>0</v>
      </c>
      <c r="AB551">
        <v>0</v>
      </c>
      <c r="AD551">
        <v>0</v>
      </c>
      <c r="AE551">
        <v>0</v>
      </c>
      <c r="AF551" t="b">
        <v>0</v>
      </c>
    </row>
    <row r="552" spans="1:35" x14ac:dyDescent="0.3">
      <c r="A552" t="s">
        <v>1233</v>
      </c>
      <c r="B552" t="s">
        <v>1234</v>
      </c>
      <c r="C552" t="s">
        <v>431</v>
      </c>
      <c r="D552">
        <v>268</v>
      </c>
      <c r="E552">
        <v>12777</v>
      </c>
      <c r="F552">
        <v>169</v>
      </c>
      <c r="G552">
        <v>71</v>
      </c>
      <c r="H552">
        <v>1</v>
      </c>
      <c r="I552">
        <v>0.16130547076778581</v>
      </c>
      <c r="J552">
        <v>0.2612296672138486</v>
      </c>
      <c r="K552" t="s">
        <v>432</v>
      </c>
      <c r="L552">
        <v>0.80025369347858533</v>
      </c>
      <c r="M552">
        <v>0.99327605528576757</v>
      </c>
      <c r="N552">
        <v>7.8508158508158496E-2</v>
      </c>
      <c r="O552" t="s">
        <v>433</v>
      </c>
      <c r="P552">
        <v>9883</v>
      </c>
      <c r="Q552">
        <v>6.3745826166142997E-3</v>
      </c>
      <c r="R552">
        <v>18</v>
      </c>
      <c r="S552">
        <v>1</v>
      </c>
      <c r="T552">
        <v>0</v>
      </c>
      <c r="U552" t="b">
        <v>0</v>
      </c>
      <c r="V552">
        <v>12.75435103244838</v>
      </c>
      <c r="Y552">
        <v>0</v>
      </c>
      <c r="Z552">
        <v>247</v>
      </c>
      <c r="AA552">
        <v>3.1931495798336901E-2</v>
      </c>
      <c r="AB552">
        <v>2.8433436446594351</v>
      </c>
      <c r="AC552">
        <v>1.6748622970647501E-2</v>
      </c>
      <c r="AD552">
        <v>4.7609928750189802E-2</v>
      </c>
      <c r="AE552">
        <v>0</v>
      </c>
      <c r="AF552" t="b">
        <v>0</v>
      </c>
    </row>
    <row r="553" spans="1:35" x14ac:dyDescent="0.3">
      <c r="A553" t="s">
        <v>1235</v>
      </c>
      <c r="B553" t="s">
        <v>1236</v>
      </c>
      <c r="C553" t="s">
        <v>431</v>
      </c>
      <c r="D553">
        <v>51</v>
      </c>
      <c r="E553">
        <v>45</v>
      </c>
      <c r="F553">
        <v>2</v>
      </c>
      <c r="G553">
        <v>600</v>
      </c>
      <c r="I553">
        <v>1</v>
      </c>
      <c r="J553">
        <v>1</v>
      </c>
      <c r="K553" t="s">
        <v>432</v>
      </c>
      <c r="L553">
        <v>0.69665513264129186</v>
      </c>
      <c r="M553">
        <v>1</v>
      </c>
      <c r="O553" t="s">
        <v>433</v>
      </c>
      <c r="P553">
        <v>0</v>
      </c>
      <c r="R553">
        <v>0</v>
      </c>
      <c r="T553">
        <v>0</v>
      </c>
      <c r="U553" t="b">
        <v>0</v>
      </c>
      <c r="Y553">
        <v>0.69665513264129186</v>
      </c>
      <c r="Z553">
        <v>4</v>
      </c>
      <c r="AA553">
        <v>0</v>
      </c>
      <c r="AB553">
        <v>0</v>
      </c>
      <c r="AE553">
        <v>0</v>
      </c>
      <c r="AF553" t="b">
        <v>0</v>
      </c>
    </row>
    <row r="554" spans="1:35" x14ac:dyDescent="0.3">
      <c r="A554" t="s">
        <v>1237</v>
      </c>
      <c r="B554" t="s">
        <v>1238</v>
      </c>
      <c r="C554" t="s">
        <v>431</v>
      </c>
      <c r="D554">
        <v>50</v>
      </c>
      <c r="E554">
        <v>154</v>
      </c>
      <c r="F554">
        <v>8</v>
      </c>
      <c r="G554">
        <v>900</v>
      </c>
      <c r="H554">
        <v>300</v>
      </c>
      <c r="I554">
        <v>1</v>
      </c>
      <c r="J554">
        <v>1</v>
      </c>
      <c r="K554" t="s">
        <v>86</v>
      </c>
      <c r="P554">
        <v>0</v>
      </c>
      <c r="R554">
        <v>0</v>
      </c>
      <c r="T554">
        <v>0</v>
      </c>
      <c r="U554" t="b">
        <v>0</v>
      </c>
      <c r="Y554">
        <v>0</v>
      </c>
      <c r="Z554">
        <v>0</v>
      </c>
      <c r="AE554">
        <v>0</v>
      </c>
      <c r="AF554" t="b">
        <v>0</v>
      </c>
    </row>
    <row r="555" spans="1:35" x14ac:dyDescent="0.3">
      <c r="A555" t="s">
        <v>1239</v>
      </c>
      <c r="B555" t="s">
        <v>1240</v>
      </c>
      <c r="C555" t="s">
        <v>431</v>
      </c>
      <c r="D555">
        <v>71</v>
      </c>
      <c r="E555">
        <v>53</v>
      </c>
      <c r="F555">
        <v>3</v>
      </c>
      <c r="G555">
        <v>180</v>
      </c>
      <c r="H555">
        <v>60</v>
      </c>
      <c r="I555">
        <v>1</v>
      </c>
      <c r="J555">
        <v>1</v>
      </c>
      <c r="K555" t="s">
        <v>432</v>
      </c>
      <c r="L555">
        <v>0.65505913272010508</v>
      </c>
      <c r="M555">
        <v>1</v>
      </c>
      <c r="O555" t="s">
        <v>433</v>
      </c>
      <c r="P555">
        <v>0</v>
      </c>
      <c r="R555">
        <v>0</v>
      </c>
      <c r="T555">
        <v>0</v>
      </c>
      <c r="U555" t="b">
        <v>0</v>
      </c>
      <c r="V555">
        <v>0</v>
      </c>
      <c r="Y555">
        <v>0.65505913272010508</v>
      </c>
      <c r="Z555">
        <v>2</v>
      </c>
      <c r="AA555">
        <v>0</v>
      </c>
      <c r="AB555">
        <v>0</v>
      </c>
      <c r="AC555">
        <v>0</v>
      </c>
      <c r="AD555">
        <v>0</v>
      </c>
      <c r="AE555">
        <v>0</v>
      </c>
      <c r="AF555" t="b">
        <v>0</v>
      </c>
    </row>
    <row r="556" spans="1:35" x14ac:dyDescent="0.3">
      <c r="A556" t="s">
        <v>1241</v>
      </c>
      <c r="B556" t="s">
        <v>1242</v>
      </c>
      <c r="C556" t="s">
        <v>457</v>
      </c>
      <c r="D556">
        <v>212</v>
      </c>
      <c r="E556">
        <v>5835</v>
      </c>
      <c r="F556">
        <v>245</v>
      </c>
      <c r="G556">
        <v>78</v>
      </c>
      <c r="H556">
        <v>1</v>
      </c>
      <c r="I556">
        <v>1.73093401885175E-2</v>
      </c>
      <c r="J556">
        <v>0.17793947411939801</v>
      </c>
      <c r="K556" t="s">
        <v>432</v>
      </c>
      <c r="L556">
        <v>0.83992062179593185</v>
      </c>
      <c r="M556">
        <v>1</v>
      </c>
      <c r="N556">
        <v>2.1264028352037799E-2</v>
      </c>
      <c r="O556" t="s">
        <v>433</v>
      </c>
      <c r="P556">
        <v>4971</v>
      </c>
      <c r="Q556">
        <v>0.98571715952524641</v>
      </c>
      <c r="R556">
        <v>0</v>
      </c>
      <c r="T556">
        <v>0</v>
      </c>
      <c r="U556" t="b">
        <v>0</v>
      </c>
      <c r="V556">
        <v>7.2</v>
      </c>
      <c r="Y556">
        <v>0</v>
      </c>
      <c r="Z556">
        <v>226</v>
      </c>
      <c r="AA556">
        <v>2.1905436061882701E-2</v>
      </c>
      <c r="AB556">
        <v>2.0294721871049299</v>
      </c>
      <c r="AC556">
        <v>2.70679821090457E-2</v>
      </c>
      <c r="AD556">
        <v>1.8612016079053401E-2</v>
      </c>
      <c r="AE556">
        <v>0</v>
      </c>
      <c r="AF556" t="b">
        <v>0</v>
      </c>
    </row>
    <row r="557" spans="1:35" x14ac:dyDescent="0.3">
      <c r="A557" t="s">
        <v>1243</v>
      </c>
      <c r="B557" t="s">
        <v>1244</v>
      </c>
      <c r="C557" t="s">
        <v>512</v>
      </c>
      <c r="D557">
        <v>14830</v>
      </c>
      <c r="E557">
        <v>265251</v>
      </c>
      <c r="F557">
        <v>15</v>
      </c>
      <c r="G557">
        <v>90</v>
      </c>
      <c r="H557">
        <v>30</v>
      </c>
      <c r="I557">
        <v>0.55750967951110453</v>
      </c>
      <c r="J557">
        <v>0.51733248595941883</v>
      </c>
      <c r="K557" t="s">
        <v>86</v>
      </c>
      <c r="P557">
        <v>0</v>
      </c>
      <c r="R557">
        <v>0</v>
      </c>
      <c r="T557">
        <v>2</v>
      </c>
      <c r="U557" t="b">
        <v>1</v>
      </c>
      <c r="V557">
        <v>6.1785603954278004E-3</v>
      </c>
      <c r="W557">
        <v>0</v>
      </c>
      <c r="X557" t="b">
        <v>1</v>
      </c>
      <c r="Y557">
        <v>0</v>
      </c>
      <c r="Z557">
        <v>3259</v>
      </c>
      <c r="AA557">
        <v>-3.4328870580157911E-5</v>
      </c>
      <c r="AB557">
        <v>-3.0684258975144998E-3</v>
      </c>
      <c r="AC557">
        <v>-7.0050085811355114E-5</v>
      </c>
      <c r="AD557">
        <v>0</v>
      </c>
      <c r="AE557">
        <v>2</v>
      </c>
      <c r="AF557" t="b">
        <v>1</v>
      </c>
      <c r="AG557">
        <v>0</v>
      </c>
      <c r="AH557">
        <v>0</v>
      </c>
      <c r="AI557" t="b">
        <v>0</v>
      </c>
    </row>
    <row r="558" spans="1:35" x14ac:dyDescent="0.3">
      <c r="A558" t="s">
        <v>1245</v>
      </c>
      <c r="B558" t="s">
        <v>1246</v>
      </c>
      <c r="C558" t="s">
        <v>1247</v>
      </c>
      <c r="D558">
        <v>12525</v>
      </c>
      <c r="E558">
        <v>247047</v>
      </c>
      <c r="F558">
        <v>244</v>
      </c>
      <c r="G558">
        <v>120</v>
      </c>
      <c r="H558">
        <v>1</v>
      </c>
      <c r="I558">
        <v>0.97734843977056995</v>
      </c>
      <c r="J558">
        <v>0.97919950771661801</v>
      </c>
      <c r="K558" t="s">
        <v>432</v>
      </c>
      <c r="L558">
        <v>0.5305303061957054</v>
      </c>
      <c r="M558">
        <v>1</v>
      </c>
      <c r="N558">
        <v>0.96079301777774595</v>
      </c>
      <c r="O558" t="s">
        <v>518</v>
      </c>
      <c r="P558">
        <v>974</v>
      </c>
      <c r="Q558">
        <v>1.02669404517453E-2</v>
      </c>
      <c r="R558">
        <v>0</v>
      </c>
      <c r="T558">
        <v>2</v>
      </c>
      <c r="U558" t="b">
        <v>1</v>
      </c>
      <c r="V558">
        <v>4.8385212050942972</v>
      </c>
      <c r="W558">
        <v>3.2348668280871662</v>
      </c>
      <c r="X558" t="b">
        <v>1</v>
      </c>
      <c r="Y558">
        <v>0</v>
      </c>
      <c r="Z558">
        <v>4778</v>
      </c>
      <c r="AA558">
        <v>3.3111895481882099E-2</v>
      </c>
      <c r="AB558">
        <v>3.6566031014706368</v>
      </c>
      <c r="AC558">
        <v>3.0507515482748299E-2</v>
      </c>
      <c r="AD558">
        <v>4.5432615130337903E-2</v>
      </c>
      <c r="AE558">
        <v>2</v>
      </c>
      <c r="AF558" t="b">
        <v>1</v>
      </c>
      <c r="AG558">
        <v>-9.2024539877299995E-4</v>
      </c>
      <c r="AH558">
        <v>-8.8669950738916203E-2</v>
      </c>
      <c r="AI558" t="b">
        <v>1</v>
      </c>
    </row>
    <row r="559" spans="1:35" x14ac:dyDescent="0.3">
      <c r="A559" t="s">
        <v>1248</v>
      </c>
      <c r="B559" t="s">
        <v>1249</v>
      </c>
      <c r="C559" t="s">
        <v>1250</v>
      </c>
      <c r="D559">
        <v>11138</v>
      </c>
      <c r="E559">
        <v>244590</v>
      </c>
      <c r="F559">
        <v>225</v>
      </c>
      <c r="G559">
        <v>91</v>
      </c>
      <c r="H559">
        <v>1</v>
      </c>
      <c r="I559">
        <v>0.34754487100862669</v>
      </c>
      <c r="J559">
        <v>0.3706330895866734</v>
      </c>
      <c r="K559" t="s">
        <v>86</v>
      </c>
      <c r="P559">
        <v>0</v>
      </c>
      <c r="R559">
        <v>0</v>
      </c>
      <c r="T559">
        <v>0</v>
      </c>
      <c r="U559" t="b">
        <v>0</v>
      </c>
      <c r="V559">
        <v>3.8997888947764778</v>
      </c>
      <c r="Y559">
        <v>0</v>
      </c>
      <c r="Z559">
        <v>2528</v>
      </c>
      <c r="AA559">
        <v>8.2069375647409997E-3</v>
      </c>
      <c r="AB559">
        <v>0.84863078047488605</v>
      </c>
      <c r="AC559">
        <v>3.2014505040672001E-3</v>
      </c>
      <c r="AD559">
        <v>1.3811957828291799E-2</v>
      </c>
      <c r="AE559">
        <v>0</v>
      </c>
      <c r="AF559" t="b">
        <v>0</v>
      </c>
    </row>
    <row r="560" spans="1:35" x14ac:dyDescent="0.3">
      <c r="A560" t="s">
        <v>1251</v>
      </c>
      <c r="B560" t="s">
        <v>1252</v>
      </c>
      <c r="C560" t="s">
        <v>1253</v>
      </c>
      <c r="D560">
        <v>3063</v>
      </c>
      <c r="E560">
        <v>57069</v>
      </c>
      <c r="F560">
        <v>665</v>
      </c>
      <c r="G560">
        <v>142</v>
      </c>
      <c r="H560">
        <v>1</v>
      </c>
      <c r="I560">
        <v>1.8889414568329502E-2</v>
      </c>
      <c r="J560">
        <v>0.1056675314308521</v>
      </c>
      <c r="K560" t="s">
        <v>432</v>
      </c>
      <c r="L560">
        <v>0.89812412692077426</v>
      </c>
      <c r="M560">
        <v>0.92588965066927842</v>
      </c>
      <c r="N560">
        <v>1.2628226493352501E-2</v>
      </c>
      <c r="O560" t="s">
        <v>518</v>
      </c>
      <c r="P560">
        <v>53324</v>
      </c>
      <c r="Q560">
        <v>1.2958517740604599E-2</v>
      </c>
      <c r="R560">
        <v>0</v>
      </c>
      <c r="T560">
        <v>0</v>
      </c>
      <c r="U560" t="b">
        <v>0</v>
      </c>
      <c r="V560">
        <v>25.392709486640381</v>
      </c>
      <c r="Y560">
        <v>0</v>
      </c>
      <c r="Z560">
        <v>886</v>
      </c>
      <c r="AA560">
        <v>-7.9840869875580395E-2</v>
      </c>
      <c r="AB560">
        <v>-13.867291921495189</v>
      </c>
      <c r="AC560">
        <v>-0.13006450471279521</v>
      </c>
      <c r="AD560">
        <v>-8.7594640620588006E-3</v>
      </c>
      <c r="AE560">
        <v>0</v>
      </c>
      <c r="AF560" t="b">
        <v>0</v>
      </c>
    </row>
    <row r="561" spans="1:35" x14ac:dyDescent="0.3">
      <c r="A561" t="s">
        <v>1254</v>
      </c>
      <c r="B561" t="s">
        <v>1255</v>
      </c>
      <c r="C561" t="s">
        <v>431</v>
      </c>
      <c r="D561">
        <v>7005</v>
      </c>
      <c r="E561">
        <v>220121</v>
      </c>
      <c r="F561">
        <v>56</v>
      </c>
      <c r="G561">
        <v>60</v>
      </c>
      <c r="H561">
        <v>60</v>
      </c>
      <c r="I561">
        <v>1</v>
      </c>
      <c r="J561">
        <v>1</v>
      </c>
      <c r="K561" t="s">
        <v>432</v>
      </c>
      <c r="L561">
        <v>0.87553908748998743</v>
      </c>
      <c r="M561">
        <v>1</v>
      </c>
      <c r="N561">
        <v>1</v>
      </c>
      <c r="O561" t="s">
        <v>518</v>
      </c>
      <c r="P561">
        <v>0</v>
      </c>
      <c r="R561">
        <v>0</v>
      </c>
      <c r="T561">
        <v>0</v>
      </c>
      <c r="U561" t="b">
        <v>0</v>
      </c>
      <c r="V561">
        <v>5.8081453207382694</v>
      </c>
      <c r="Y561">
        <v>0</v>
      </c>
      <c r="Z561">
        <v>6443</v>
      </c>
      <c r="AA561">
        <v>2.0291752471665099E-2</v>
      </c>
      <c r="AB561">
        <v>1.507992971053558</v>
      </c>
      <c r="AC561">
        <v>5.5967942626568004E-3</v>
      </c>
      <c r="AD561">
        <v>4.6555722361952399E-2</v>
      </c>
      <c r="AE561">
        <v>0</v>
      </c>
      <c r="AF561" t="b">
        <v>0</v>
      </c>
    </row>
    <row r="562" spans="1:35" x14ac:dyDescent="0.3">
      <c r="A562" t="s">
        <v>1256</v>
      </c>
      <c r="B562" t="s">
        <v>1257</v>
      </c>
      <c r="C562" t="s">
        <v>431</v>
      </c>
      <c r="D562">
        <v>65</v>
      </c>
      <c r="E562">
        <v>963</v>
      </c>
      <c r="F562">
        <v>92</v>
      </c>
      <c r="G562">
        <v>97</v>
      </c>
      <c r="H562">
        <v>1</v>
      </c>
      <c r="I562">
        <v>0.49948078920041539</v>
      </c>
      <c r="J562">
        <v>0.71984435797665369</v>
      </c>
      <c r="K562" t="s">
        <v>432</v>
      </c>
      <c r="L562">
        <v>0.60019455252918286</v>
      </c>
      <c r="M562">
        <v>1</v>
      </c>
      <c r="N562">
        <v>0.53322528363047006</v>
      </c>
      <c r="O562" t="s">
        <v>433</v>
      </c>
      <c r="P562">
        <v>270</v>
      </c>
      <c r="Q562">
        <v>0.99629629629629635</v>
      </c>
      <c r="R562">
        <v>0</v>
      </c>
      <c r="T562">
        <v>0</v>
      </c>
      <c r="U562" t="b">
        <v>0</v>
      </c>
      <c r="Y562">
        <v>0</v>
      </c>
      <c r="Z562">
        <v>35</v>
      </c>
      <c r="AA562">
        <v>-7.7334243147957997E-3</v>
      </c>
      <c r="AB562">
        <v>-0.64761904761904743</v>
      </c>
      <c r="AE562">
        <v>0</v>
      </c>
      <c r="AF562" t="b">
        <v>0</v>
      </c>
    </row>
    <row r="563" spans="1:35" x14ac:dyDescent="0.3">
      <c r="A563" t="s">
        <v>1258</v>
      </c>
      <c r="B563" t="s">
        <v>1259</v>
      </c>
      <c r="C563" t="s">
        <v>431</v>
      </c>
      <c r="D563">
        <v>5073</v>
      </c>
      <c r="E563">
        <v>141790</v>
      </c>
      <c r="F563">
        <v>51</v>
      </c>
      <c r="G563">
        <v>60</v>
      </c>
      <c r="H563">
        <v>60</v>
      </c>
      <c r="I563">
        <v>1</v>
      </c>
      <c r="J563">
        <v>1</v>
      </c>
      <c r="K563" t="s">
        <v>86</v>
      </c>
      <c r="P563">
        <v>0</v>
      </c>
      <c r="R563">
        <v>0</v>
      </c>
      <c r="T563">
        <v>1</v>
      </c>
      <c r="U563" t="b">
        <v>1</v>
      </c>
      <c r="V563">
        <v>12.5045077883891</v>
      </c>
      <c r="W563">
        <v>0</v>
      </c>
      <c r="X563" t="b">
        <v>1</v>
      </c>
      <c r="Y563">
        <v>0</v>
      </c>
      <c r="Z563">
        <v>3892</v>
      </c>
      <c r="AA563">
        <v>2.4458208887312399E-2</v>
      </c>
      <c r="AB563">
        <v>2.1856773906296572</v>
      </c>
      <c r="AC563">
        <v>-3.8101188123290002E-4</v>
      </c>
      <c r="AD563">
        <v>5.1100836691076297E-2</v>
      </c>
      <c r="AE563">
        <v>1</v>
      </c>
      <c r="AF563" t="b">
        <v>1</v>
      </c>
      <c r="AG563">
        <v>0</v>
      </c>
      <c r="AH563">
        <v>0</v>
      </c>
      <c r="AI563" t="b">
        <v>1</v>
      </c>
    </row>
    <row r="564" spans="1:35" x14ac:dyDescent="0.3">
      <c r="A564" t="s">
        <v>1260</v>
      </c>
      <c r="B564" t="s">
        <v>1261</v>
      </c>
      <c r="C564" t="s">
        <v>431</v>
      </c>
      <c r="D564">
        <v>3799</v>
      </c>
      <c r="E564">
        <v>185026</v>
      </c>
      <c r="F564">
        <v>343</v>
      </c>
      <c r="G564">
        <v>71</v>
      </c>
      <c r="H564">
        <v>1</v>
      </c>
      <c r="I564">
        <v>2.51532217093813E-2</v>
      </c>
      <c r="J564">
        <v>0.2000953263603866</v>
      </c>
      <c r="K564" t="s">
        <v>86</v>
      </c>
      <c r="P564">
        <v>0</v>
      </c>
      <c r="R564">
        <v>0</v>
      </c>
      <c r="T564">
        <v>0</v>
      </c>
      <c r="U564" t="b">
        <v>0</v>
      </c>
      <c r="V564">
        <v>7.9739256109993422</v>
      </c>
      <c r="Y564">
        <v>0</v>
      </c>
      <c r="Z564">
        <v>4060</v>
      </c>
      <c r="AA564">
        <v>1.1073313444142099E-2</v>
      </c>
      <c r="AB564">
        <v>0.91624017532316937</v>
      </c>
      <c r="AC564">
        <v>-3.0131235380855801E-2</v>
      </c>
      <c r="AD564">
        <v>5.15641889421216E-2</v>
      </c>
      <c r="AE564">
        <v>0</v>
      </c>
      <c r="AF564" t="b">
        <v>0</v>
      </c>
    </row>
    <row r="565" spans="1:35" x14ac:dyDescent="0.3">
      <c r="A565" t="s">
        <v>1262</v>
      </c>
      <c r="B565" t="s">
        <v>1263</v>
      </c>
      <c r="C565" t="s">
        <v>431</v>
      </c>
      <c r="D565">
        <v>2203</v>
      </c>
      <c r="E565">
        <v>100765</v>
      </c>
      <c r="F565">
        <v>401</v>
      </c>
      <c r="G565">
        <v>54</v>
      </c>
      <c r="H565">
        <v>1</v>
      </c>
      <c r="I565">
        <v>2.69934997270877E-2</v>
      </c>
      <c r="J565">
        <v>0.1820212280412131</v>
      </c>
      <c r="K565" t="s">
        <v>432</v>
      </c>
      <c r="L565">
        <v>0.83147693174203952</v>
      </c>
      <c r="M565">
        <v>0.99913564596058557</v>
      </c>
      <c r="N565">
        <v>1.64091424033262E-2</v>
      </c>
      <c r="O565" t="s">
        <v>433</v>
      </c>
      <c r="P565">
        <v>73244</v>
      </c>
      <c r="Q565">
        <v>0.38644803669925182</v>
      </c>
      <c r="R565">
        <v>10</v>
      </c>
      <c r="S565">
        <v>0</v>
      </c>
      <c r="T565">
        <v>0</v>
      </c>
      <c r="U565" t="b">
        <v>0</v>
      </c>
      <c r="V565">
        <v>8.0655533774501755</v>
      </c>
      <c r="Y565">
        <v>0</v>
      </c>
      <c r="Z565">
        <v>2921</v>
      </c>
      <c r="AA565">
        <v>6.5097223397483597E-2</v>
      </c>
      <c r="AB565">
        <v>4.1757992226085676</v>
      </c>
      <c r="AC565">
        <v>3.0305122649217899E-2</v>
      </c>
      <c r="AD565">
        <v>9.7690561944072996E-2</v>
      </c>
      <c r="AE565">
        <v>0</v>
      </c>
      <c r="AF565" t="b">
        <v>0</v>
      </c>
    </row>
    <row r="566" spans="1:35" x14ac:dyDescent="0.3">
      <c r="A566" t="s">
        <v>1264</v>
      </c>
      <c r="B566" t="s">
        <v>1265</v>
      </c>
      <c r="C566" t="s">
        <v>431</v>
      </c>
      <c r="D566">
        <v>2074</v>
      </c>
      <c r="E566">
        <v>81482</v>
      </c>
      <c r="F566">
        <v>360</v>
      </c>
      <c r="G566">
        <v>61</v>
      </c>
      <c r="H566">
        <v>1</v>
      </c>
      <c r="I566">
        <v>3.0595714390908399E-2</v>
      </c>
      <c r="J566">
        <v>0.15689512799339389</v>
      </c>
      <c r="K566" t="s">
        <v>432</v>
      </c>
      <c r="L566">
        <v>0.85732237101927977</v>
      </c>
      <c r="M566">
        <v>0.9949672873678912</v>
      </c>
      <c r="N566">
        <v>1.7421165040411999E-2</v>
      </c>
      <c r="O566" t="s">
        <v>433</v>
      </c>
      <c r="P566">
        <v>55231</v>
      </c>
      <c r="Q566">
        <v>0.34174648295341381</v>
      </c>
      <c r="R566">
        <v>0</v>
      </c>
      <c r="T566">
        <v>1</v>
      </c>
      <c r="U566" t="b">
        <v>1</v>
      </c>
      <c r="V566">
        <v>3.4142798919965358</v>
      </c>
      <c r="W566">
        <v>6.3737599206349209</v>
      </c>
      <c r="X566" t="b">
        <v>0</v>
      </c>
      <c r="Y566">
        <v>0</v>
      </c>
      <c r="Z566">
        <v>2285</v>
      </c>
      <c r="AA566">
        <v>1.7829286285350798E-2</v>
      </c>
      <c r="AB566">
        <v>1.3038235429492351</v>
      </c>
      <c r="AC566">
        <v>4.23500832998E-4</v>
      </c>
      <c r="AD566">
        <v>4.1301511639894699E-2</v>
      </c>
      <c r="AE566">
        <v>1</v>
      </c>
      <c r="AF566" t="b">
        <v>1</v>
      </c>
      <c r="AG566">
        <v>-7.6861051900906996E-3</v>
      </c>
      <c r="AH566">
        <v>-0.8112103174603178</v>
      </c>
      <c r="AI566" t="b">
        <v>1</v>
      </c>
    </row>
    <row r="567" spans="1:35" x14ac:dyDescent="0.3">
      <c r="A567" t="s">
        <v>1266</v>
      </c>
      <c r="B567" t="s">
        <v>1267</v>
      </c>
      <c r="C567" t="s">
        <v>573</v>
      </c>
      <c r="D567">
        <v>15135</v>
      </c>
      <c r="E567">
        <v>5448</v>
      </c>
      <c r="F567">
        <v>9</v>
      </c>
      <c r="G567">
        <v>180</v>
      </c>
      <c r="H567">
        <v>60</v>
      </c>
      <c r="I567">
        <v>1</v>
      </c>
      <c r="J567">
        <v>1</v>
      </c>
      <c r="K567" t="s">
        <v>86</v>
      </c>
      <c r="P567">
        <v>0</v>
      </c>
      <c r="R567">
        <v>0</v>
      </c>
      <c r="T567">
        <v>1</v>
      </c>
      <c r="U567" t="b">
        <v>1</v>
      </c>
      <c r="V567">
        <v>17.71794950270991</v>
      </c>
      <c r="W567">
        <v>9.0205434545057195E-2</v>
      </c>
      <c r="X567" t="b">
        <v>1</v>
      </c>
      <c r="Y567">
        <v>0.77219141366349298</v>
      </c>
      <c r="Z567">
        <v>70</v>
      </c>
      <c r="AA567">
        <v>-2.2602614399253001E-3</v>
      </c>
      <c r="AB567">
        <v>-0.45342137033633489</v>
      </c>
      <c r="AC567">
        <v>-3.9894939782637202E-2</v>
      </c>
      <c r="AD567">
        <v>1.99952063698801E-2</v>
      </c>
      <c r="AE567">
        <v>1</v>
      </c>
      <c r="AF567" t="b">
        <v>1</v>
      </c>
      <c r="AG567">
        <v>-6.976593318383E-4</v>
      </c>
      <c r="AH567">
        <v>-5.8886396622245603E-2</v>
      </c>
      <c r="AI567" t="b">
        <v>0</v>
      </c>
    </row>
    <row r="568" spans="1:35" x14ac:dyDescent="0.3">
      <c r="A568" t="s">
        <v>1268</v>
      </c>
      <c r="B568" t="s">
        <v>1269</v>
      </c>
      <c r="C568" t="s">
        <v>537</v>
      </c>
      <c r="D568">
        <v>22397</v>
      </c>
      <c r="E568">
        <v>746559</v>
      </c>
      <c r="F568">
        <v>637</v>
      </c>
      <c r="G568">
        <v>61</v>
      </c>
      <c r="H568">
        <v>1</v>
      </c>
      <c r="I568">
        <v>0.36330283339963748</v>
      </c>
      <c r="J568">
        <v>0.43203998683435008</v>
      </c>
      <c r="K568" t="s">
        <v>432</v>
      </c>
      <c r="L568">
        <v>0.3227242689364655</v>
      </c>
      <c r="M568">
        <v>0.47475927125872119</v>
      </c>
      <c r="N568">
        <v>0.34238842550500059</v>
      </c>
      <c r="O568" t="s">
        <v>518</v>
      </c>
      <c r="P568">
        <v>166356</v>
      </c>
      <c r="Q568">
        <v>7.5524778186539701E-2</v>
      </c>
      <c r="R568">
        <v>270046</v>
      </c>
      <c r="S568">
        <v>0.1260525984461906</v>
      </c>
      <c r="T568">
        <v>2</v>
      </c>
      <c r="U568" t="b">
        <v>1</v>
      </c>
      <c r="V568">
        <v>17.880233475323958</v>
      </c>
      <c r="W568">
        <v>12.4319403714565</v>
      </c>
      <c r="X568" t="b">
        <v>1</v>
      </c>
      <c r="Y568">
        <v>0</v>
      </c>
      <c r="Z568">
        <v>15045</v>
      </c>
      <c r="AA568">
        <v>5.44540512342103E-2</v>
      </c>
      <c r="AB568">
        <v>5.8859506482224004</v>
      </c>
      <c r="AC568">
        <v>6.7387526881309999E-3</v>
      </c>
      <c r="AD568">
        <v>0.11347992082282481</v>
      </c>
      <c r="AE568">
        <v>2</v>
      </c>
      <c r="AF568" t="b">
        <v>1</v>
      </c>
      <c r="AG568">
        <v>1.7721330571522399E-2</v>
      </c>
      <c r="AH568">
        <v>6.3305381522116324</v>
      </c>
      <c r="AI568" t="b">
        <v>1</v>
      </c>
    </row>
    <row r="569" spans="1:35" x14ac:dyDescent="0.3">
      <c r="A569" t="s">
        <v>1270</v>
      </c>
      <c r="B569" t="s">
        <v>1271</v>
      </c>
      <c r="C569" t="s">
        <v>786</v>
      </c>
      <c r="D569">
        <v>505</v>
      </c>
      <c r="E569">
        <v>24729</v>
      </c>
      <c r="F569">
        <v>427</v>
      </c>
      <c r="G569">
        <v>65</v>
      </c>
      <c r="H569">
        <v>1</v>
      </c>
      <c r="I569">
        <v>2.1674956528771799E-2</v>
      </c>
      <c r="J569">
        <v>4.0115634405195597E-2</v>
      </c>
      <c r="K569" t="s">
        <v>86</v>
      </c>
      <c r="P569">
        <v>0</v>
      </c>
      <c r="R569">
        <v>0</v>
      </c>
      <c r="T569">
        <v>0</v>
      </c>
      <c r="U569" t="b">
        <v>0</v>
      </c>
      <c r="Y569">
        <v>0</v>
      </c>
      <c r="Z569">
        <v>0</v>
      </c>
      <c r="AE569">
        <v>0</v>
      </c>
      <c r="AF569" t="b">
        <v>0</v>
      </c>
    </row>
    <row r="570" spans="1:35" x14ac:dyDescent="0.3">
      <c r="A570" t="s">
        <v>1272</v>
      </c>
      <c r="B570" t="s">
        <v>1273</v>
      </c>
      <c r="C570" t="s">
        <v>431</v>
      </c>
      <c r="D570">
        <v>438</v>
      </c>
      <c r="E570">
        <v>4650</v>
      </c>
      <c r="F570">
        <v>7</v>
      </c>
      <c r="G570">
        <v>60</v>
      </c>
      <c r="H570">
        <v>30</v>
      </c>
      <c r="I570">
        <v>0.98623655913978481</v>
      </c>
      <c r="J570">
        <v>0.99447227500431856</v>
      </c>
      <c r="K570" t="s">
        <v>86</v>
      </c>
      <c r="P570">
        <v>0</v>
      </c>
      <c r="R570">
        <v>0</v>
      </c>
      <c r="T570">
        <v>0</v>
      </c>
      <c r="U570" t="b">
        <v>0</v>
      </c>
      <c r="V570">
        <v>0.64988290398126458</v>
      </c>
      <c r="Y570">
        <v>0</v>
      </c>
      <c r="Z570">
        <v>94</v>
      </c>
      <c r="AA570">
        <v>-2.1974885844748002E-3</v>
      </c>
      <c r="AB570">
        <v>-0.2047872340425532</v>
      </c>
      <c r="AC570">
        <v>0</v>
      </c>
      <c r="AD570">
        <v>-5.3283410138248001E-3</v>
      </c>
      <c r="AE570">
        <v>0</v>
      </c>
      <c r="AF570" t="b">
        <v>0</v>
      </c>
    </row>
    <row r="571" spans="1:35" x14ac:dyDescent="0.3">
      <c r="A571" t="s">
        <v>1274</v>
      </c>
      <c r="B571" t="s">
        <v>1275</v>
      </c>
      <c r="C571" t="s">
        <v>474</v>
      </c>
      <c r="D571">
        <v>5987</v>
      </c>
      <c r="E571">
        <v>148207</v>
      </c>
      <c r="F571">
        <v>399</v>
      </c>
      <c r="G571">
        <v>55</v>
      </c>
      <c r="H571">
        <v>1</v>
      </c>
      <c r="I571">
        <v>1.79141336104232E-2</v>
      </c>
      <c r="J571">
        <v>0.1233251618091495</v>
      </c>
      <c r="K571" t="s">
        <v>432</v>
      </c>
      <c r="L571">
        <v>0.88767396915573893</v>
      </c>
      <c r="M571">
        <v>1</v>
      </c>
      <c r="N571">
        <v>1.23909581074564E-2</v>
      </c>
      <c r="O571" t="s">
        <v>518</v>
      </c>
      <c r="P571">
        <v>135178</v>
      </c>
      <c r="Q571">
        <v>2.3672491085827502E-2</v>
      </c>
      <c r="R571">
        <v>0</v>
      </c>
      <c r="T571">
        <v>1</v>
      </c>
      <c r="U571" t="b">
        <v>1</v>
      </c>
      <c r="V571">
        <v>4.8365262739991586</v>
      </c>
      <c r="W571">
        <v>0</v>
      </c>
      <c r="X571" t="b">
        <v>1</v>
      </c>
      <c r="Y571">
        <v>0</v>
      </c>
      <c r="Z571">
        <v>2848</v>
      </c>
      <c r="AA571">
        <v>-1.45773718882649E-2</v>
      </c>
      <c r="AB571">
        <v>-1.0591743494535339</v>
      </c>
      <c r="AC571">
        <v>-2.2444862704901199E-2</v>
      </c>
      <c r="AD571">
        <v>-5.0857731178436004E-3</v>
      </c>
      <c r="AE571">
        <v>1</v>
      </c>
      <c r="AF571" t="b">
        <v>1</v>
      </c>
      <c r="AG571">
        <v>-4.5216785966358999E-3</v>
      </c>
      <c r="AH571">
        <v>-0.4417903733693207</v>
      </c>
      <c r="AI571" t="b">
        <v>0</v>
      </c>
    </row>
    <row r="572" spans="1:35" x14ac:dyDescent="0.3">
      <c r="A572" t="s">
        <v>1276</v>
      </c>
      <c r="B572" t="s">
        <v>1277</v>
      </c>
      <c r="C572" t="s">
        <v>1278</v>
      </c>
      <c r="D572">
        <v>6993</v>
      </c>
      <c r="E572">
        <v>198757</v>
      </c>
      <c r="F572">
        <v>14</v>
      </c>
      <c r="G572">
        <v>120</v>
      </c>
      <c r="H572">
        <v>60</v>
      </c>
      <c r="I572">
        <v>1</v>
      </c>
      <c r="J572">
        <v>1</v>
      </c>
      <c r="K572" t="s">
        <v>86</v>
      </c>
      <c r="P572">
        <v>0</v>
      </c>
      <c r="R572">
        <v>0</v>
      </c>
      <c r="T572">
        <v>1</v>
      </c>
      <c r="U572" t="b">
        <v>1</v>
      </c>
      <c r="V572">
        <v>1.6372537833332681</v>
      </c>
      <c r="W572">
        <v>0.4870034337247453</v>
      </c>
      <c r="X572" t="b">
        <v>1</v>
      </c>
      <c r="Y572">
        <v>0</v>
      </c>
      <c r="Z572">
        <v>2993</v>
      </c>
      <c r="AA572">
        <v>2.9673388294905998E-3</v>
      </c>
      <c r="AB572">
        <v>0.3632332692940099</v>
      </c>
      <c r="AC572">
        <v>3.4532360977125001E-3</v>
      </c>
      <c r="AD572">
        <v>3.4782258984905E-3</v>
      </c>
      <c r="AE572">
        <v>1</v>
      </c>
      <c r="AF572" t="b">
        <v>1</v>
      </c>
      <c r="AG572">
        <v>1.9839854157701699E-2</v>
      </c>
      <c r="AH572">
        <v>2.776562064984196</v>
      </c>
      <c r="AI572" t="b">
        <v>0</v>
      </c>
    </row>
    <row r="573" spans="1:35" x14ac:dyDescent="0.3">
      <c r="A573" t="s">
        <v>1279</v>
      </c>
      <c r="B573" t="s">
        <v>1280</v>
      </c>
      <c r="C573" t="s">
        <v>549</v>
      </c>
      <c r="D573">
        <v>136</v>
      </c>
      <c r="E573">
        <v>2358</v>
      </c>
      <c r="F573">
        <v>18</v>
      </c>
      <c r="G573">
        <v>60</v>
      </c>
      <c r="H573">
        <v>60</v>
      </c>
      <c r="I573">
        <v>1</v>
      </c>
      <c r="J573">
        <v>1</v>
      </c>
      <c r="K573" t="s">
        <v>86</v>
      </c>
      <c r="P573">
        <v>0</v>
      </c>
      <c r="R573">
        <v>0</v>
      </c>
      <c r="T573">
        <v>0</v>
      </c>
      <c r="U573" t="b">
        <v>0</v>
      </c>
      <c r="V573">
        <v>1.5625</v>
      </c>
      <c r="Y573">
        <v>0</v>
      </c>
      <c r="Z573">
        <v>67</v>
      </c>
      <c r="AA573">
        <v>-1.2507817385865999E-3</v>
      </c>
      <c r="AB573">
        <v>-0.2238805970149253</v>
      </c>
      <c r="AC573">
        <v>-6.3463281958295002E-3</v>
      </c>
      <c r="AD573">
        <v>3.9608088388576003E-3</v>
      </c>
      <c r="AE573">
        <v>0</v>
      </c>
      <c r="AF573" t="b">
        <v>0</v>
      </c>
    </row>
    <row r="574" spans="1:35" x14ac:dyDescent="0.3">
      <c r="A574" t="s">
        <v>1281</v>
      </c>
      <c r="B574" t="s">
        <v>1282</v>
      </c>
      <c r="C574" t="s">
        <v>431</v>
      </c>
      <c r="D574">
        <v>60</v>
      </c>
      <c r="E574">
        <v>98</v>
      </c>
      <c r="F574">
        <v>5</v>
      </c>
      <c r="G574">
        <v>450</v>
      </c>
      <c r="H574">
        <v>120</v>
      </c>
      <c r="I574">
        <v>1</v>
      </c>
      <c r="J574">
        <v>1</v>
      </c>
      <c r="K574" t="s">
        <v>432</v>
      </c>
      <c r="L574">
        <v>0.32934131736526939</v>
      </c>
      <c r="M574">
        <v>1</v>
      </c>
      <c r="O574" t="s">
        <v>433</v>
      </c>
      <c r="P574">
        <v>0</v>
      </c>
      <c r="R574">
        <v>0</v>
      </c>
      <c r="T574">
        <v>0</v>
      </c>
      <c r="U574" t="b">
        <v>0</v>
      </c>
      <c r="Y574">
        <v>0.32934131736526939</v>
      </c>
      <c r="Z574">
        <v>4</v>
      </c>
      <c r="AA574">
        <v>-3.3333333333333298E-2</v>
      </c>
      <c r="AB574">
        <v>-15</v>
      </c>
      <c r="AE574">
        <v>0</v>
      </c>
      <c r="AF574" t="b">
        <v>0</v>
      </c>
    </row>
    <row r="575" spans="1:35" x14ac:dyDescent="0.3">
      <c r="A575" t="s">
        <v>1283</v>
      </c>
      <c r="B575" t="s">
        <v>1284</v>
      </c>
      <c r="C575" t="s">
        <v>465</v>
      </c>
      <c r="D575">
        <v>327</v>
      </c>
      <c r="E575">
        <v>4153</v>
      </c>
      <c r="F575">
        <v>18</v>
      </c>
      <c r="G575">
        <v>120</v>
      </c>
      <c r="H575">
        <v>60</v>
      </c>
      <c r="I575">
        <v>1</v>
      </c>
      <c r="J575">
        <v>1</v>
      </c>
      <c r="K575" t="s">
        <v>86</v>
      </c>
      <c r="P575">
        <v>0</v>
      </c>
      <c r="R575">
        <v>0</v>
      </c>
      <c r="T575">
        <v>0</v>
      </c>
      <c r="U575" t="b">
        <v>0</v>
      </c>
      <c r="Y575">
        <v>0</v>
      </c>
      <c r="Z575">
        <v>60</v>
      </c>
      <c r="AA575">
        <v>-5.6083404987102299E-2</v>
      </c>
      <c r="AB575">
        <v>-6.211904761904762</v>
      </c>
      <c r="AC575">
        <v>-0.2</v>
      </c>
      <c r="AD575">
        <v>-1.23762376237623E-2</v>
      </c>
      <c r="AE575">
        <v>0</v>
      </c>
      <c r="AF575" t="b">
        <v>0</v>
      </c>
    </row>
    <row r="576" spans="1:35" x14ac:dyDescent="0.3">
      <c r="A576" t="s">
        <v>1285</v>
      </c>
      <c r="B576" t="s">
        <v>1286</v>
      </c>
      <c r="C576" t="s">
        <v>479</v>
      </c>
      <c r="D576">
        <v>22207</v>
      </c>
      <c r="E576">
        <v>501040</v>
      </c>
      <c r="F576">
        <v>436</v>
      </c>
      <c r="G576">
        <v>60</v>
      </c>
      <c r="H576">
        <v>1</v>
      </c>
      <c r="I576">
        <v>0.58401325243493529</v>
      </c>
      <c r="J576">
        <v>0.71342472699614268</v>
      </c>
      <c r="K576" t="s">
        <v>86</v>
      </c>
      <c r="P576">
        <v>0</v>
      </c>
      <c r="R576">
        <v>0</v>
      </c>
      <c r="T576">
        <v>1</v>
      </c>
      <c r="U576" t="b">
        <v>1</v>
      </c>
      <c r="V576">
        <v>6.2807986619330389</v>
      </c>
      <c r="W576">
        <v>0.87914546640574043</v>
      </c>
      <c r="X576" t="b">
        <v>1</v>
      </c>
      <c r="Y576">
        <v>0</v>
      </c>
      <c r="Z576">
        <v>14997</v>
      </c>
      <c r="AA576">
        <v>1.1840304113260499E-2</v>
      </c>
      <c r="AB576">
        <v>1.055186454423465</v>
      </c>
      <c r="AC576">
        <v>-1.0655202640132399E-2</v>
      </c>
      <c r="AD576">
        <v>3.5835244451051101E-2</v>
      </c>
      <c r="AE576">
        <v>1</v>
      </c>
      <c r="AF576" t="b">
        <v>1</v>
      </c>
      <c r="AG576">
        <v>-4.077459802231E-4</v>
      </c>
      <c r="AH576">
        <v>-4.4283692045090202E-2</v>
      </c>
      <c r="AI576" t="b">
        <v>1</v>
      </c>
    </row>
    <row r="577" spans="1:35" x14ac:dyDescent="0.3">
      <c r="A577" t="s">
        <v>1287</v>
      </c>
      <c r="B577" t="s">
        <v>1288</v>
      </c>
      <c r="C577" t="s">
        <v>428</v>
      </c>
      <c r="D577">
        <v>2676</v>
      </c>
      <c r="E577">
        <v>70431</v>
      </c>
      <c r="F577">
        <v>11</v>
      </c>
      <c r="G577">
        <v>60</v>
      </c>
      <c r="H577">
        <v>60</v>
      </c>
      <c r="I577">
        <v>1</v>
      </c>
      <c r="J577">
        <v>1</v>
      </c>
      <c r="K577" t="s">
        <v>86</v>
      </c>
      <c r="P577">
        <v>0</v>
      </c>
      <c r="R577">
        <v>0</v>
      </c>
      <c r="T577">
        <v>0</v>
      </c>
      <c r="U577" t="b">
        <v>0</v>
      </c>
      <c r="V577">
        <v>10.52660379555245</v>
      </c>
      <c r="Y577">
        <v>0</v>
      </c>
      <c r="Z577">
        <v>2047</v>
      </c>
      <c r="AA577">
        <v>2.4478686006092099E-2</v>
      </c>
      <c r="AB577">
        <v>2.2192916736797308</v>
      </c>
      <c r="AC577">
        <v>-5.1370160936234002E-3</v>
      </c>
      <c r="AD577">
        <v>5.7107665911537799E-2</v>
      </c>
      <c r="AE577">
        <v>0</v>
      </c>
      <c r="AF577" t="b">
        <v>0</v>
      </c>
    </row>
    <row r="578" spans="1:35" x14ac:dyDescent="0.3">
      <c r="A578" t="s">
        <v>1289</v>
      </c>
      <c r="B578" t="s">
        <v>1290</v>
      </c>
      <c r="C578" t="s">
        <v>512</v>
      </c>
      <c r="D578">
        <v>105222</v>
      </c>
      <c r="E578">
        <v>1563761</v>
      </c>
      <c r="F578">
        <v>113</v>
      </c>
      <c r="G578">
        <v>60</v>
      </c>
      <c r="H578">
        <v>60</v>
      </c>
      <c r="I578">
        <v>0.9773737802643756</v>
      </c>
      <c r="J578">
        <v>0.97883675599455322</v>
      </c>
      <c r="K578" t="s">
        <v>86</v>
      </c>
      <c r="P578">
        <v>0</v>
      </c>
      <c r="R578">
        <v>0</v>
      </c>
      <c r="T578">
        <v>2</v>
      </c>
      <c r="U578" t="b">
        <v>1</v>
      </c>
      <c r="V578">
        <v>1.521435084877202</v>
      </c>
      <c r="W578">
        <v>6.7884012539184964</v>
      </c>
      <c r="X578" t="b">
        <v>0</v>
      </c>
      <c r="Y578">
        <v>0</v>
      </c>
      <c r="Z578">
        <v>49595</v>
      </c>
      <c r="AA578">
        <v>2.0262057090906999E-3</v>
      </c>
      <c r="AB578">
        <v>0.21328205626305219</v>
      </c>
      <c r="AC578">
        <v>4.9977790611685996E-3</v>
      </c>
      <c r="AD578">
        <v>2.4118290047640001E-4</v>
      </c>
      <c r="AE578">
        <v>2</v>
      </c>
      <c r="AF578" t="b">
        <v>1</v>
      </c>
      <c r="AG578">
        <v>2.0927465830856001E-3</v>
      </c>
      <c r="AH578">
        <v>0.53399442934326657</v>
      </c>
      <c r="AI578" t="b">
        <v>0</v>
      </c>
    </row>
    <row r="579" spans="1:35" x14ac:dyDescent="0.3">
      <c r="A579" t="s">
        <v>1291</v>
      </c>
      <c r="B579" t="s">
        <v>1292</v>
      </c>
      <c r="C579" t="s">
        <v>431</v>
      </c>
      <c r="D579">
        <v>154</v>
      </c>
      <c r="E579">
        <v>235</v>
      </c>
      <c r="F579">
        <v>45</v>
      </c>
      <c r="G579">
        <v>120</v>
      </c>
      <c r="H579">
        <v>2</v>
      </c>
      <c r="I579">
        <v>0.55319148936170215</v>
      </c>
      <c r="J579">
        <v>0.93029045643153518</v>
      </c>
      <c r="K579" t="s">
        <v>432</v>
      </c>
      <c r="L579">
        <v>0.72780664106618476</v>
      </c>
      <c r="M579">
        <v>0.93029045643153518</v>
      </c>
      <c r="O579" t="s">
        <v>433</v>
      </c>
      <c r="P579">
        <v>0</v>
      </c>
      <c r="R579">
        <v>81</v>
      </c>
      <c r="S579">
        <v>0.51851851851851849</v>
      </c>
      <c r="T579">
        <v>0</v>
      </c>
      <c r="U579" t="b">
        <v>0</v>
      </c>
      <c r="Y579">
        <v>0.72780664106618476</v>
      </c>
      <c r="Z579">
        <v>0</v>
      </c>
      <c r="AE579">
        <v>0</v>
      </c>
      <c r="AF579" t="b">
        <v>0</v>
      </c>
    </row>
    <row r="580" spans="1:35" x14ac:dyDescent="0.3">
      <c r="A580" t="s">
        <v>1293</v>
      </c>
      <c r="B580" t="s">
        <v>1294</v>
      </c>
      <c r="C580" t="s">
        <v>431</v>
      </c>
      <c r="D580">
        <v>307</v>
      </c>
      <c r="E580">
        <v>209</v>
      </c>
      <c r="F580">
        <v>4</v>
      </c>
      <c r="G580">
        <v>120</v>
      </c>
      <c r="H580">
        <v>60</v>
      </c>
      <c r="I580">
        <v>1</v>
      </c>
      <c r="J580">
        <v>1</v>
      </c>
      <c r="K580" t="s">
        <v>86</v>
      </c>
      <c r="P580">
        <v>0</v>
      </c>
      <c r="R580">
        <v>0</v>
      </c>
      <c r="T580">
        <v>0</v>
      </c>
      <c r="U580" t="b">
        <v>0</v>
      </c>
      <c r="V580">
        <v>0</v>
      </c>
      <c r="Y580">
        <v>0.75242504409171074</v>
      </c>
      <c r="Z580">
        <v>10</v>
      </c>
      <c r="AA580">
        <v>0</v>
      </c>
      <c r="AB580">
        <v>0</v>
      </c>
      <c r="AC580">
        <v>0</v>
      </c>
      <c r="AD580">
        <v>0</v>
      </c>
      <c r="AE580">
        <v>0</v>
      </c>
      <c r="AF580" t="b">
        <v>0</v>
      </c>
    </row>
    <row r="581" spans="1:35" x14ac:dyDescent="0.3">
      <c r="A581" t="s">
        <v>1295</v>
      </c>
      <c r="B581" t="s">
        <v>1296</v>
      </c>
      <c r="C581" t="s">
        <v>573</v>
      </c>
      <c r="D581">
        <v>795</v>
      </c>
      <c r="E581">
        <v>23547</v>
      </c>
      <c r="F581">
        <v>10</v>
      </c>
      <c r="G581">
        <v>60</v>
      </c>
      <c r="H581">
        <v>60</v>
      </c>
      <c r="I581">
        <v>1</v>
      </c>
      <c r="J581">
        <v>1</v>
      </c>
      <c r="K581" t="s">
        <v>86</v>
      </c>
      <c r="P581">
        <v>0</v>
      </c>
      <c r="R581">
        <v>0</v>
      </c>
      <c r="T581">
        <v>0</v>
      </c>
      <c r="U581" t="b">
        <v>0</v>
      </c>
      <c r="V581">
        <v>9.0686266618800762</v>
      </c>
      <c r="Y581">
        <v>0</v>
      </c>
      <c r="Z581">
        <v>233</v>
      </c>
      <c r="AA581">
        <v>2.5451454550692999E-3</v>
      </c>
      <c r="AB581">
        <v>0.25731169139829629</v>
      </c>
      <c r="AC581">
        <v>7.4650226523760004E-3</v>
      </c>
      <c r="AD581">
        <v>-8.2848013569269995E-4</v>
      </c>
      <c r="AE581">
        <v>0</v>
      </c>
      <c r="AF581" t="b">
        <v>0</v>
      </c>
    </row>
    <row r="582" spans="1:35" x14ac:dyDescent="0.3">
      <c r="A582" t="s">
        <v>1297</v>
      </c>
      <c r="B582" t="s">
        <v>1298</v>
      </c>
      <c r="C582" t="s">
        <v>1299</v>
      </c>
      <c r="D582">
        <v>132</v>
      </c>
      <c r="E582">
        <v>5082</v>
      </c>
      <c r="F582">
        <v>69</v>
      </c>
      <c r="G582">
        <v>18.5</v>
      </c>
      <c r="H582">
        <v>1</v>
      </c>
      <c r="I582">
        <v>6.4935064935064003E-3</v>
      </c>
      <c r="J582">
        <v>7.5949367088607597E-2</v>
      </c>
      <c r="K582" t="s">
        <v>86</v>
      </c>
      <c r="P582">
        <v>0</v>
      </c>
      <c r="R582">
        <v>0</v>
      </c>
      <c r="T582">
        <v>0</v>
      </c>
      <c r="U582" t="b">
        <v>0</v>
      </c>
      <c r="V582">
        <v>0</v>
      </c>
      <c r="Y582">
        <v>0</v>
      </c>
      <c r="Z582">
        <v>154</v>
      </c>
      <c r="AA582">
        <v>0</v>
      </c>
      <c r="AB582">
        <v>0</v>
      </c>
      <c r="AC582">
        <v>0</v>
      </c>
      <c r="AD582">
        <v>0</v>
      </c>
      <c r="AE582">
        <v>0</v>
      </c>
      <c r="AF582" t="b">
        <v>0</v>
      </c>
    </row>
    <row r="583" spans="1:35" x14ac:dyDescent="0.3">
      <c r="A583" t="s">
        <v>1300</v>
      </c>
      <c r="B583" t="s">
        <v>1301</v>
      </c>
      <c r="C583" t="s">
        <v>431</v>
      </c>
      <c r="D583">
        <v>122</v>
      </c>
      <c r="E583">
        <v>1252</v>
      </c>
      <c r="F583">
        <v>51</v>
      </c>
      <c r="G583">
        <v>141</v>
      </c>
      <c r="H583">
        <v>1</v>
      </c>
      <c r="I583">
        <v>9.9840255591054305E-2</v>
      </c>
      <c r="J583">
        <v>0.55967976710334788</v>
      </c>
      <c r="K583" t="s">
        <v>432</v>
      </c>
      <c r="L583">
        <v>0.44032023289665212</v>
      </c>
      <c r="M583">
        <v>1</v>
      </c>
      <c r="N583">
        <v>0</v>
      </c>
      <c r="O583" t="s">
        <v>433</v>
      </c>
      <c r="P583">
        <v>605</v>
      </c>
      <c r="Q583">
        <v>1</v>
      </c>
      <c r="R583">
        <v>0</v>
      </c>
      <c r="T583">
        <v>0</v>
      </c>
      <c r="U583" t="b">
        <v>0</v>
      </c>
      <c r="V583">
        <v>10.5568356374808</v>
      </c>
      <c r="Y583">
        <v>0</v>
      </c>
      <c r="Z583">
        <v>31</v>
      </c>
      <c r="AA583">
        <v>-2.7744517712445502E-2</v>
      </c>
      <c r="AB583">
        <v>-4.8387480114235322</v>
      </c>
      <c r="AC583">
        <v>-2.5602641899606201E-2</v>
      </c>
      <c r="AD583">
        <v>-2.45104854103677E-2</v>
      </c>
      <c r="AE583">
        <v>0</v>
      </c>
      <c r="AF583" t="b">
        <v>0</v>
      </c>
    </row>
    <row r="584" spans="1:35" x14ac:dyDescent="0.3">
      <c r="A584" t="s">
        <v>1302</v>
      </c>
      <c r="B584" t="s">
        <v>1303</v>
      </c>
      <c r="C584" t="s">
        <v>431</v>
      </c>
      <c r="D584">
        <v>218</v>
      </c>
      <c r="E584">
        <v>3404</v>
      </c>
      <c r="F584">
        <v>9</v>
      </c>
      <c r="G584">
        <v>120</v>
      </c>
      <c r="H584">
        <v>60</v>
      </c>
      <c r="I584">
        <v>1</v>
      </c>
      <c r="J584">
        <v>1</v>
      </c>
      <c r="K584" t="s">
        <v>432</v>
      </c>
      <c r="L584">
        <v>0.643424317617866</v>
      </c>
      <c r="M584">
        <v>1</v>
      </c>
      <c r="N584">
        <v>1</v>
      </c>
      <c r="O584" t="s">
        <v>433</v>
      </c>
      <c r="P584">
        <v>0</v>
      </c>
      <c r="R584">
        <v>0</v>
      </c>
      <c r="T584">
        <v>0</v>
      </c>
      <c r="U584" t="b">
        <v>0</v>
      </c>
      <c r="Y584">
        <v>2.5310173697270399E-2</v>
      </c>
      <c r="Z584">
        <v>283</v>
      </c>
      <c r="AA584">
        <v>3.4364261168379998E-4</v>
      </c>
      <c r="AB584">
        <v>4.2402826855123602E-2</v>
      </c>
      <c r="AC584">
        <v>2.77777777777777E-2</v>
      </c>
      <c r="AE584">
        <v>0</v>
      </c>
      <c r="AF584" t="b">
        <v>0</v>
      </c>
    </row>
    <row r="585" spans="1:35" x14ac:dyDescent="0.3">
      <c r="A585" t="s">
        <v>1304</v>
      </c>
      <c r="B585" t="s">
        <v>1305</v>
      </c>
      <c r="C585" t="s">
        <v>431</v>
      </c>
      <c r="D585">
        <v>215</v>
      </c>
      <c r="E585">
        <v>4451</v>
      </c>
      <c r="F585">
        <v>129</v>
      </c>
      <c r="G585">
        <v>66</v>
      </c>
      <c r="H585">
        <v>1</v>
      </c>
      <c r="I585">
        <v>8.9867445517861008E-3</v>
      </c>
      <c r="J585">
        <v>0.15923703386198029</v>
      </c>
      <c r="K585" t="s">
        <v>432</v>
      </c>
      <c r="L585">
        <v>0.84654950707243892</v>
      </c>
      <c r="M585">
        <v>1</v>
      </c>
      <c r="N585">
        <v>6.8354430379746001E-3</v>
      </c>
      <c r="O585" t="s">
        <v>433</v>
      </c>
      <c r="P585">
        <v>3923</v>
      </c>
      <c r="Q585">
        <v>0.91791995921488656</v>
      </c>
      <c r="R585">
        <v>0</v>
      </c>
      <c r="T585">
        <v>0</v>
      </c>
      <c r="U585" t="b">
        <v>0</v>
      </c>
      <c r="V585">
        <v>0</v>
      </c>
      <c r="Y585">
        <v>0</v>
      </c>
      <c r="Z585">
        <v>193</v>
      </c>
      <c r="AA585">
        <v>-7.4014868308343774E-19</v>
      </c>
      <c r="AB585">
        <v>-7.3631371581357523E-17</v>
      </c>
      <c r="AC585">
        <v>-1.691768418476429E-18</v>
      </c>
      <c r="AD585">
        <v>-1.691768418476429E-18</v>
      </c>
      <c r="AE585">
        <v>0</v>
      </c>
      <c r="AF585" t="b">
        <v>0</v>
      </c>
    </row>
    <row r="586" spans="1:35" x14ac:dyDescent="0.3">
      <c r="A586" t="s">
        <v>1306</v>
      </c>
      <c r="B586" t="s">
        <v>1307</v>
      </c>
      <c r="C586" t="s">
        <v>431</v>
      </c>
      <c r="D586">
        <v>1962</v>
      </c>
      <c r="E586">
        <v>58188</v>
      </c>
      <c r="F586">
        <v>388</v>
      </c>
      <c r="G586">
        <v>44</v>
      </c>
      <c r="H586">
        <v>1</v>
      </c>
      <c r="I586">
        <v>2.00900529318759E-2</v>
      </c>
      <c r="J586">
        <v>0.14103075644222771</v>
      </c>
      <c r="K586" t="s">
        <v>432</v>
      </c>
      <c r="L586">
        <v>0.87512884455527851</v>
      </c>
      <c r="M586">
        <v>1</v>
      </c>
      <c r="N586">
        <v>1.8465396379110498E-2</v>
      </c>
      <c r="O586" t="s">
        <v>433</v>
      </c>
      <c r="P586">
        <v>51618</v>
      </c>
      <c r="Q586">
        <v>0.97467937541167815</v>
      </c>
      <c r="R586">
        <v>0</v>
      </c>
      <c r="T586">
        <v>0</v>
      </c>
      <c r="U586" t="b">
        <v>0</v>
      </c>
      <c r="V586">
        <v>4.8677536686316314</v>
      </c>
      <c r="Y586">
        <v>0</v>
      </c>
      <c r="Z586">
        <v>2020</v>
      </c>
      <c r="AA586">
        <v>-1.7642178016293902E-2</v>
      </c>
      <c r="AB586">
        <v>-1.217434156634797</v>
      </c>
      <c r="AC586">
        <v>-5.992050889008E-2</v>
      </c>
      <c r="AD586">
        <v>9.7672134158200002E-3</v>
      </c>
      <c r="AE586">
        <v>0</v>
      </c>
      <c r="AF586" t="b">
        <v>0</v>
      </c>
    </row>
    <row r="587" spans="1:35" x14ac:dyDescent="0.3">
      <c r="A587" t="s">
        <v>1308</v>
      </c>
      <c r="B587" t="s">
        <v>1309</v>
      </c>
      <c r="C587" t="s">
        <v>431</v>
      </c>
      <c r="D587">
        <v>896</v>
      </c>
      <c r="E587">
        <v>22342</v>
      </c>
      <c r="F587">
        <v>271</v>
      </c>
      <c r="G587">
        <v>59</v>
      </c>
      <c r="H587">
        <v>1</v>
      </c>
      <c r="I587">
        <v>1.9693850147703799E-2</v>
      </c>
      <c r="J587">
        <v>0.19059299423358289</v>
      </c>
      <c r="K587" t="s">
        <v>432</v>
      </c>
      <c r="L587">
        <v>0.82033737843187882</v>
      </c>
      <c r="M587">
        <v>1</v>
      </c>
      <c r="N587">
        <v>1.33242406756544E-2</v>
      </c>
      <c r="O587" t="s">
        <v>518</v>
      </c>
      <c r="P587">
        <v>18809</v>
      </c>
      <c r="Q587">
        <v>3.4292094210218498E-2</v>
      </c>
      <c r="R587">
        <v>0</v>
      </c>
      <c r="T587">
        <v>0</v>
      </c>
      <c r="U587" t="b">
        <v>0</v>
      </c>
      <c r="V587">
        <v>7.6599811676082856</v>
      </c>
      <c r="Y587">
        <v>0</v>
      </c>
      <c r="Z587">
        <v>974</v>
      </c>
      <c r="AA587">
        <v>1.6698747013086601E-2</v>
      </c>
      <c r="AB587">
        <v>1.2006533809227371</v>
      </c>
      <c r="AC587">
        <v>1.5362029908077E-3</v>
      </c>
      <c r="AD587">
        <v>2.6644303052928701E-2</v>
      </c>
      <c r="AE587">
        <v>0</v>
      </c>
      <c r="AF587" t="b">
        <v>0</v>
      </c>
    </row>
    <row r="588" spans="1:35" x14ac:dyDescent="0.3">
      <c r="A588" t="s">
        <v>1310</v>
      </c>
      <c r="B588" t="s">
        <v>1311</v>
      </c>
      <c r="C588" t="s">
        <v>431</v>
      </c>
      <c r="D588">
        <v>806</v>
      </c>
      <c r="E588">
        <v>26364</v>
      </c>
      <c r="F588">
        <v>376</v>
      </c>
      <c r="G588">
        <v>61</v>
      </c>
      <c r="H588">
        <v>1</v>
      </c>
      <c r="I588">
        <v>1.2251555150963401E-2</v>
      </c>
      <c r="J588">
        <v>0.1594405594405594</v>
      </c>
      <c r="K588" t="s">
        <v>432</v>
      </c>
      <c r="L588">
        <v>0.85756348914243652</v>
      </c>
      <c r="M588">
        <v>1</v>
      </c>
      <c r="N588">
        <v>1.98283261802575E-2</v>
      </c>
      <c r="O588" t="s">
        <v>433</v>
      </c>
      <c r="P588">
        <v>22838</v>
      </c>
      <c r="Q588">
        <v>0.1241789999124266</v>
      </c>
      <c r="R588">
        <v>0</v>
      </c>
      <c r="T588">
        <v>0</v>
      </c>
      <c r="U588" t="b">
        <v>0</v>
      </c>
      <c r="V588">
        <v>16.565595238095241</v>
      </c>
      <c r="Y588">
        <v>0</v>
      </c>
      <c r="Z588">
        <v>964</v>
      </c>
      <c r="AA588">
        <v>5.1790107554096996E-3</v>
      </c>
      <c r="AB588">
        <v>0.40904733233571411</v>
      </c>
      <c r="AC588">
        <v>-5.1702460681141899E-2</v>
      </c>
      <c r="AD588">
        <v>5.6609752095057898E-2</v>
      </c>
      <c r="AE588">
        <v>0</v>
      </c>
      <c r="AF588" t="b">
        <v>0</v>
      </c>
    </row>
    <row r="589" spans="1:35" x14ac:dyDescent="0.3">
      <c r="A589" t="s">
        <v>1312</v>
      </c>
      <c r="B589" t="s">
        <v>1313</v>
      </c>
      <c r="C589" t="s">
        <v>431</v>
      </c>
      <c r="D589">
        <v>197</v>
      </c>
      <c r="E589">
        <v>2479</v>
      </c>
      <c r="F589">
        <v>474</v>
      </c>
      <c r="G589">
        <v>117</v>
      </c>
      <c r="H589">
        <v>1</v>
      </c>
      <c r="I589">
        <v>9.6409842678499294E-2</v>
      </c>
      <c r="J589">
        <v>0.36539895600298278</v>
      </c>
      <c r="K589" t="s">
        <v>432</v>
      </c>
      <c r="L589">
        <v>0.64876957494407161</v>
      </c>
      <c r="M589">
        <v>1</v>
      </c>
      <c r="N589">
        <v>2.1839080459770101E-2</v>
      </c>
      <c r="O589" t="s">
        <v>433</v>
      </c>
      <c r="P589">
        <v>1588</v>
      </c>
      <c r="Q589">
        <v>0.15617128463476071</v>
      </c>
      <c r="R589">
        <v>0</v>
      </c>
      <c r="T589">
        <v>0</v>
      </c>
      <c r="U589" t="b">
        <v>0</v>
      </c>
      <c r="Y589">
        <v>0</v>
      </c>
      <c r="Z589">
        <v>0</v>
      </c>
      <c r="AE589">
        <v>0</v>
      </c>
      <c r="AF589" t="b">
        <v>0</v>
      </c>
    </row>
    <row r="590" spans="1:35" x14ac:dyDescent="0.3">
      <c r="A590" t="s">
        <v>1314</v>
      </c>
      <c r="B590" t="s">
        <v>1315</v>
      </c>
      <c r="C590" t="s">
        <v>431</v>
      </c>
      <c r="D590">
        <v>292</v>
      </c>
      <c r="E590">
        <v>3847</v>
      </c>
      <c r="F590">
        <v>196</v>
      </c>
      <c r="G590">
        <v>79</v>
      </c>
      <c r="H590">
        <v>1</v>
      </c>
      <c r="I590">
        <v>8.2401871588250505E-2</v>
      </c>
      <c r="J590">
        <v>0.24498671176612699</v>
      </c>
      <c r="K590" t="s">
        <v>86</v>
      </c>
      <c r="P590">
        <v>0</v>
      </c>
      <c r="R590">
        <v>0</v>
      </c>
      <c r="T590">
        <v>0</v>
      </c>
      <c r="U590" t="b">
        <v>0</v>
      </c>
      <c r="Y590">
        <v>0</v>
      </c>
      <c r="Z590">
        <v>180</v>
      </c>
      <c r="AA590">
        <v>0</v>
      </c>
      <c r="AB590">
        <v>0</v>
      </c>
      <c r="AE590">
        <v>0</v>
      </c>
      <c r="AF590" t="b">
        <v>0</v>
      </c>
    </row>
    <row r="591" spans="1:35" x14ac:dyDescent="0.3">
      <c r="A591" t="s">
        <v>1316</v>
      </c>
      <c r="B591" t="s">
        <v>1317</v>
      </c>
      <c r="C591" t="s">
        <v>431</v>
      </c>
      <c r="D591">
        <v>447</v>
      </c>
      <c r="E591">
        <v>2176</v>
      </c>
      <c r="F591">
        <v>18</v>
      </c>
      <c r="G591">
        <v>120</v>
      </c>
      <c r="H591">
        <v>60</v>
      </c>
      <c r="I591">
        <v>1</v>
      </c>
      <c r="J591">
        <v>0.98517053880375682</v>
      </c>
      <c r="K591" t="s">
        <v>432</v>
      </c>
      <c r="L591">
        <v>0.72311356229631485</v>
      </c>
      <c r="M591">
        <v>0.97283838841104575</v>
      </c>
      <c r="N591">
        <v>1</v>
      </c>
      <c r="O591" t="s">
        <v>433</v>
      </c>
      <c r="P591">
        <v>0</v>
      </c>
      <c r="R591">
        <v>60</v>
      </c>
      <c r="S591">
        <v>0</v>
      </c>
      <c r="T591">
        <v>0</v>
      </c>
      <c r="U591" t="b">
        <v>0</v>
      </c>
      <c r="Y591">
        <v>0.49285535221860111</v>
      </c>
      <c r="Z591">
        <v>95</v>
      </c>
      <c r="AA591">
        <v>6.7596566523605101E-2</v>
      </c>
      <c r="AB591">
        <v>9.9473684210526319</v>
      </c>
      <c r="AE591">
        <v>0</v>
      </c>
      <c r="AF591" t="b">
        <v>0</v>
      </c>
    </row>
    <row r="592" spans="1:35" x14ac:dyDescent="0.3">
      <c r="A592" t="s">
        <v>1318</v>
      </c>
      <c r="B592" t="s">
        <v>1319</v>
      </c>
      <c r="C592" t="s">
        <v>431</v>
      </c>
      <c r="D592">
        <v>155</v>
      </c>
      <c r="E592">
        <v>1147</v>
      </c>
      <c r="F592">
        <v>18</v>
      </c>
      <c r="G592">
        <v>120</v>
      </c>
      <c r="H592">
        <v>5</v>
      </c>
      <c r="I592">
        <v>0.62336530078465557</v>
      </c>
      <c r="J592">
        <v>0.81029185867895548</v>
      </c>
      <c r="K592" t="s">
        <v>86</v>
      </c>
      <c r="P592">
        <v>0</v>
      </c>
      <c r="R592">
        <v>0</v>
      </c>
      <c r="T592">
        <v>0</v>
      </c>
      <c r="U592" t="b">
        <v>0</v>
      </c>
      <c r="V592">
        <v>0</v>
      </c>
      <c r="Y592">
        <v>0</v>
      </c>
      <c r="Z592">
        <v>36</v>
      </c>
      <c r="AA592">
        <v>0</v>
      </c>
      <c r="AB592">
        <v>0</v>
      </c>
      <c r="AC592">
        <v>0</v>
      </c>
      <c r="AD592">
        <v>0</v>
      </c>
      <c r="AE592">
        <v>0</v>
      </c>
      <c r="AF592" t="b">
        <v>0</v>
      </c>
    </row>
    <row r="593" spans="1:35" x14ac:dyDescent="0.3">
      <c r="A593" t="s">
        <v>1320</v>
      </c>
      <c r="B593" t="s">
        <v>1321</v>
      </c>
      <c r="C593" t="s">
        <v>431</v>
      </c>
      <c r="D593">
        <v>74</v>
      </c>
      <c r="E593">
        <v>33</v>
      </c>
      <c r="F593">
        <v>1</v>
      </c>
      <c r="G593">
        <v>60</v>
      </c>
      <c r="I593">
        <v>1</v>
      </c>
      <c r="J593">
        <v>1</v>
      </c>
      <c r="K593" t="s">
        <v>432</v>
      </c>
      <c r="L593">
        <v>0.88458702064896755</v>
      </c>
      <c r="M593">
        <v>1</v>
      </c>
      <c r="N593">
        <v>1</v>
      </c>
      <c r="O593" t="s">
        <v>433</v>
      </c>
      <c r="P593">
        <v>0</v>
      </c>
      <c r="R593">
        <v>0</v>
      </c>
      <c r="T593">
        <v>0</v>
      </c>
      <c r="U593" t="b">
        <v>0</v>
      </c>
      <c r="Y593">
        <v>0.84365781710914456</v>
      </c>
      <c r="Z593">
        <v>2</v>
      </c>
      <c r="AA593">
        <v>0</v>
      </c>
      <c r="AB593">
        <v>0</v>
      </c>
      <c r="AE593">
        <v>0</v>
      </c>
      <c r="AF593" t="b">
        <v>0</v>
      </c>
    </row>
    <row r="594" spans="1:35" x14ac:dyDescent="0.3">
      <c r="A594" t="s">
        <v>1322</v>
      </c>
      <c r="B594" t="s">
        <v>1323</v>
      </c>
      <c r="C594" t="s">
        <v>431</v>
      </c>
      <c r="D594">
        <v>93</v>
      </c>
      <c r="E594">
        <v>4056</v>
      </c>
      <c r="F594">
        <v>152</v>
      </c>
      <c r="G594">
        <v>30</v>
      </c>
      <c r="H594">
        <v>1</v>
      </c>
      <c r="I594">
        <v>1.65187376725838E-2</v>
      </c>
      <c r="J594">
        <v>0.13521330441070131</v>
      </c>
      <c r="K594" t="s">
        <v>432</v>
      </c>
      <c r="L594">
        <v>0.87713392642462129</v>
      </c>
      <c r="M594">
        <v>1</v>
      </c>
      <c r="N594">
        <v>1.3743815283122501E-2</v>
      </c>
      <c r="O594" t="s">
        <v>433</v>
      </c>
      <c r="P594">
        <v>3588</v>
      </c>
      <c r="Q594">
        <v>0.9581939799331104</v>
      </c>
      <c r="R594">
        <v>0</v>
      </c>
      <c r="T594">
        <v>0</v>
      </c>
      <c r="U594" t="b">
        <v>0</v>
      </c>
      <c r="Y594">
        <v>2.4044241404182999E-3</v>
      </c>
      <c r="Z594">
        <v>270</v>
      </c>
      <c r="AA594">
        <v>-1.9730010384215999E-3</v>
      </c>
      <c r="AB594">
        <v>-8.2098765432098805E-2</v>
      </c>
      <c r="AE594">
        <v>0</v>
      </c>
      <c r="AF594" t="b">
        <v>0</v>
      </c>
    </row>
    <row r="595" spans="1:35" x14ac:dyDescent="0.3">
      <c r="A595" t="s">
        <v>1324</v>
      </c>
      <c r="B595" t="s">
        <v>1325</v>
      </c>
      <c r="C595" t="s">
        <v>431</v>
      </c>
      <c r="D595">
        <v>67</v>
      </c>
      <c r="E595">
        <v>1065</v>
      </c>
      <c r="F595">
        <v>80</v>
      </c>
      <c r="G595">
        <v>126</v>
      </c>
      <c r="H595">
        <v>1</v>
      </c>
      <c r="I595">
        <v>5.0704225352112602E-2</v>
      </c>
      <c r="J595">
        <v>0.18111587982832619</v>
      </c>
      <c r="K595" t="s">
        <v>432</v>
      </c>
      <c r="L595">
        <v>0.95420482930890915</v>
      </c>
      <c r="M595">
        <v>1</v>
      </c>
      <c r="N595">
        <v>0.14054054054054049</v>
      </c>
      <c r="O595" t="s">
        <v>433</v>
      </c>
      <c r="P595">
        <v>0</v>
      </c>
      <c r="R595">
        <v>0</v>
      </c>
      <c r="T595">
        <v>0</v>
      </c>
      <c r="U595" t="b">
        <v>0</v>
      </c>
      <c r="Y595">
        <v>2.9975020815986599E-2</v>
      </c>
      <c r="Z595">
        <v>89</v>
      </c>
      <c r="AA595">
        <v>0</v>
      </c>
      <c r="AB595">
        <v>0</v>
      </c>
      <c r="AE595">
        <v>0</v>
      </c>
      <c r="AF595" t="b">
        <v>0</v>
      </c>
    </row>
    <row r="596" spans="1:35" x14ac:dyDescent="0.3">
      <c r="A596" t="s">
        <v>1326</v>
      </c>
      <c r="B596" t="s">
        <v>1327</v>
      </c>
      <c r="C596" t="s">
        <v>431</v>
      </c>
      <c r="D596">
        <v>77</v>
      </c>
      <c r="E596">
        <v>213</v>
      </c>
      <c r="F596">
        <v>70</v>
      </c>
      <c r="G596">
        <v>122</v>
      </c>
      <c r="H596">
        <v>1</v>
      </c>
      <c r="I596">
        <v>9.38967136150234E-2</v>
      </c>
      <c r="J596">
        <v>0.25932300631095812</v>
      </c>
      <c r="K596" t="s">
        <v>432</v>
      </c>
      <c r="L596">
        <v>0.86633354153653963</v>
      </c>
      <c r="M596">
        <v>1</v>
      </c>
      <c r="N596">
        <v>1.8250950570342199E-2</v>
      </c>
      <c r="O596" t="s">
        <v>433</v>
      </c>
      <c r="P596">
        <v>1274</v>
      </c>
      <c r="Q596">
        <v>0.97174254317111464</v>
      </c>
      <c r="R596">
        <v>0</v>
      </c>
      <c r="T596">
        <v>0</v>
      </c>
      <c r="U596" t="b">
        <v>0</v>
      </c>
      <c r="Y596">
        <v>0.45565271705184252</v>
      </c>
      <c r="Z596">
        <v>0</v>
      </c>
      <c r="AE596">
        <v>0</v>
      </c>
      <c r="AF596" t="b">
        <v>0</v>
      </c>
    </row>
    <row r="597" spans="1:35" x14ac:dyDescent="0.3">
      <c r="A597" t="s">
        <v>1328</v>
      </c>
      <c r="B597" t="s">
        <v>1329</v>
      </c>
      <c r="C597" t="s">
        <v>431</v>
      </c>
      <c r="D597">
        <v>159</v>
      </c>
      <c r="E597">
        <v>599</v>
      </c>
      <c r="F597">
        <v>20</v>
      </c>
      <c r="G597">
        <v>300</v>
      </c>
      <c r="H597">
        <v>60</v>
      </c>
      <c r="I597">
        <v>0.96327212020033404</v>
      </c>
      <c r="J597">
        <v>0.80851063829787229</v>
      </c>
      <c r="K597" t="s">
        <v>432</v>
      </c>
      <c r="L597">
        <v>0.5156897572528123</v>
      </c>
      <c r="M597">
        <v>1</v>
      </c>
      <c r="N597">
        <v>8.3333333333333301E-2</v>
      </c>
      <c r="O597" t="s">
        <v>433</v>
      </c>
      <c r="P597">
        <v>382</v>
      </c>
      <c r="Q597">
        <v>0.95811518324607325</v>
      </c>
      <c r="R597">
        <v>0</v>
      </c>
      <c r="T597">
        <v>0</v>
      </c>
      <c r="U597" t="b">
        <v>0</v>
      </c>
      <c r="Y597">
        <v>0.38780343398460621</v>
      </c>
      <c r="Z597">
        <v>22</v>
      </c>
      <c r="AA597">
        <v>-4.6192259675405703E-2</v>
      </c>
      <c r="AB597">
        <v>-10.09090909090909</v>
      </c>
      <c r="AD597">
        <v>-4.7619047619047603E-2</v>
      </c>
      <c r="AE597">
        <v>0</v>
      </c>
      <c r="AF597" t="b">
        <v>0</v>
      </c>
    </row>
    <row r="598" spans="1:35" x14ac:dyDescent="0.3">
      <c r="A598" t="s">
        <v>1330</v>
      </c>
      <c r="B598" t="s">
        <v>1331</v>
      </c>
      <c r="C598" t="s">
        <v>431</v>
      </c>
      <c r="D598">
        <v>86</v>
      </c>
      <c r="E598">
        <v>51</v>
      </c>
      <c r="F598">
        <v>3</v>
      </c>
      <c r="G598">
        <v>600</v>
      </c>
      <c r="H598">
        <v>300</v>
      </c>
      <c r="I598">
        <v>1</v>
      </c>
      <c r="J598">
        <v>1</v>
      </c>
      <c r="K598" t="s">
        <v>432</v>
      </c>
      <c r="L598">
        <v>0.89403973509933776</v>
      </c>
      <c r="M598">
        <v>1</v>
      </c>
      <c r="N598">
        <v>1</v>
      </c>
      <c r="O598" t="s">
        <v>433</v>
      </c>
      <c r="P598">
        <v>0</v>
      </c>
      <c r="R598">
        <v>0</v>
      </c>
      <c r="T598">
        <v>0</v>
      </c>
      <c r="U598" t="b">
        <v>0</v>
      </c>
      <c r="Y598">
        <v>0.46073793755912962</v>
      </c>
      <c r="Z598">
        <v>0</v>
      </c>
      <c r="AE598">
        <v>0</v>
      </c>
      <c r="AF598" t="b">
        <v>0</v>
      </c>
    </row>
    <row r="599" spans="1:35" x14ac:dyDescent="0.3">
      <c r="A599" t="s">
        <v>1332</v>
      </c>
      <c r="B599" t="s">
        <v>1333</v>
      </c>
      <c r="C599" t="s">
        <v>431</v>
      </c>
      <c r="D599">
        <v>99</v>
      </c>
      <c r="E599">
        <v>163</v>
      </c>
      <c r="F599">
        <v>29</v>
      </c>
      <c r="G599">
        <v>600</v>
      </c>
      <c r="H599">
        <v>3</v>
      </c>
      <c r="I599">
        <v>0.90184049079754602</v>
      </c>
      <c r="J599">
        <v>0.98951048951048959</v>
      </c>
      <c r="K599" t="s">
        <v>432</v>
      </c>
      <c r="L599">
        <v>0.44340551181102361</v>
      </c>
      <c r="M599">
        <v>1</v>
      </c>
      <c r="N599">
        <v>7.69230769230769E-2</v>
      </c>
      <c r="O599" t="s">
        <v>433</v>
      </c>
      <c r="P599">
        <v>12</v>
      </c>
      <c r="Q599">
        <v>1</v>
      </c>
      <c r="R599">
        <v>0</v>
      </c>
      <c r="T599">
        <v>0</v>
      </c>
      <c r="U599" t="b">
        <v>0</v>
      </c>
      <c r="Y599">
        <v>0.43700787401574798</v>
      </c>
      <c r="Z599">
        <v>0</v>
      </c>
      <c r="AE599">
        <v>0</v>
      </c>
      <c r="AF599" t="b">
        <v>0</v>
      </c>
    </row>
    <row r="600" spans="1:35" x14ac:dyDescent="0.3">
      <c r="A600" t="s">
        <v>1334</v>
      </c>
      <c r="B600" t="s">
        <v>1335</v>
      </c>
      <c r="C600" t="s">
        <v>517</v>
      </c>
      <c r="D600">
        <v>53678</v>
      </c>
      <c r="E600">
        <v>1483956</v>
      </c>
      <c r="F600">
        <v>1199</v>
      </c>
      <c r="G600">
        <v>60</v>
      </c>
      <c r="H600">
        <v>1</v>
      </c>
      <c r="I600">
        <v>0.85635894864807316</v>
      </c>
      <c r="J600">
        <v>0.90132001169531317</v>
      </c>
      <c r="K600" t="s">
        <v>432</v>
      </c>
      <c r="L600">
        <v>0.76154271430641196</v>
      </c>
      <c r="M600">
        <v>0.95932450246873757</v>
      </c>
      <c r="N600">
        <v>0.88315741468265962</v>
      </c>
      <c r="O600" t="s">
        <v>433</v>
      </c>
      <c r="P600">
        <v>169769</v>
      </c>
      <c r="Q600">
        <v>0.63346076138753249</v>
      </c>
      <c r="R600">
        <v>16947</v>
      </c>
      <c r="S600">
        <v>9.0281465746149703E-2</v>
      </c>
      <c r="T600">
        <v>3</v>
      </c>
      <c r="U600" t="b">
        <v>1</v>
      </c>
      <c r="V600">
        <v>9.5166225352322407</v>
      </c>
      <c r="W600">
        <v>6.4486205966579462</v>
      </c>
      <c r="X600" t="b">
        <v>1</v>
      </c>
      <c r="Y600">
        <v>0</v>
      </c>
      <c r="Z600">
        <v>31381</v>
      </c>
      <c r="AA600">
        <v>6.5026215285111294E-2</v>
      </c>
      <c r="AB600">
        <v>5.0223144105512798</v>
      </c>
      <c r="AC600">
        <v>7.2052926273392506E-2</v>
      </c>
      <c r="AD600">
        <v>7.7945962206169603E-2</v>
      </c>
      <c r="AE600">
        <v>3</v>
      </c>
      <c r="AF600" t="b">
        <v>1</v>
      </c>
      <c r="AG600">
        <v>2.3290180154809999E-4</v>
      </c>
      <c r="AH600">
        <v>2.6554085683555301E-2</v>
      </c>
      <c r="AI600" t="b">
        <v>1</v>
      </c>
    </row>
    <row r="601" spans="1:35" x14ac:dyDescent="0.3">
      <c r="A601" t="s">
        <v>1336</v>
      </c>
      <c r="B601" t="s">
        <v>1337</v>
      </c>
      <c r="C601" t="s">
        <v>431</v>
      </c>
      <c r="D601">
        <v>4990</v>
      </c>
      <c r="E601">
        <v>224654</v>
      </c>
      <c r="F601">
        <v>462</v>
      </c>
      <c r="G601">
        <v>53</v>
      </c>
      <c r="H601">
        <v>1</v>
      </c>
      <c r="I601">
        <v>1.8063332947554901E-2</v>
      </c>
      <c r="J601">
        <v>0.14175419344724879</v>
      </c>
      <c r="K601" t="s">
        <v>432</v>
      </c>
      <c r="L601">
        <v>0.87811569211475149</v>
      </c>
      <c r="M601">
        <v>1</v>
      </c>
      <c r="N601">
        <v>2.2627867535481499E-2</v>
      </c>
      <c r="O601" t="s">
        <v>433</v>
      </c>
      <c r="P601">
        <v>195456</v>
      </c>
      <c r="Q601">
        <v>0.1111912655533726</v>
      </c>
      <c r="R601">
        <v>0</v>
      </c>
      <c r="T601">
        <v>0</v>
      </c>
      <c r="U601" t="b">
        <v>0</v>
      </c>
      <c r="V601">
        <v>9.3865592897389938</v>
      </c>
      <c r="Y601">
        <v>0</v>
      </c>
      <c r="Z601">
        <v>5244</v>
      </c>
      <c r="AA601">
        <v>1.9112670883064599E-2</v>
      </c>
      <c r="AB601">
        <v>1.2777817318325879</v>
      </c>
      <c r="AC601">
        <v>-3.5609524411924297E-2</v>
      </c>
      <c r="AD601">
        <v>7.1166934224792297E-2</v>
      </c>
      <c r="AE601">
        <v>0</v>
      </c>
      <c r="AF601" t="b">
        <v>0</v>
      </c>
    </row>
    <row r="602" spans="1:35" x14ac:dyDescent="0.3">
      <c r="A602" t="s">
        <v>1338</v>
      </c>
      <c r="B602" t="s">
        <v>1339</v>
      </c>
      <c r="C602" t="s">
        <v>431</v>
      </c>
      <c r="D602">
        <v>147</v>
      </c>
      <c r="E602">
        <v>1708</v>
      </c>
      <c r="F602">
        <v>6</v>
      </c>
      <c r="G602">
        <v>120</v>
      </c>
      <c r="H602">
        <v>60</v>
      </c>
      <c r="I602">
        <v>1</v>
      </c>
      <c r="J602">
        <v>1</v>
      </c>
      <c r="K602" t="s">
        <v>432</v>
      </c>
      <c r="L602">
        <v>0.64390706495969652</v>
      </c>
      <c r="M602">
        <v>1</v>
      </c>
      <c r="N602">
        <v>1</v>
      </c>
      <c r="O602" t="s">
        <v>433</v>
      </c>
      <c r="P602">
        <v>0</v>
      </c>
      <c r="R602">
        <v>0</v>
      </c>
      <c r="T602">
        <v>0</v>
      </c>
      <c r="U602" t="b">
        <v>0</v>
      </c>
      <c r="Y602">
        <v>1.7069701280227501E-2</v>
      </c>
      <c r="Z602">
        <v>138</v>
      </c>
      <c r="AA602">
        <v>0</v>
      </c>
      <c r="AB602">
        <v>0</v>
      </c>
      <c r="AE602">
        <v>0</v>
      </c>
      <c r="AF602" t="b">
        <v>0</v>
      </c>
    </row>
    <row r="603" spans="1:35" x14ac:dyDescent="0.3">
      <c r="A603" t="s">
        <v>1340</v>
      </c>
      <c r="B603" t="s">
        <v>1341</v>
      </c>
      <c r="C603" t="s">
        <v>431</v>
      </c>
      <c r="D603">
        <v>58</v>
      </c>
      <c r="E603">
        <v>784</v>
      </c>
      <c r="F603">
        <v>59</v>
      </c>
      <c r="G603">
        <v>112</v>
      </c>
      <c r="H603">
        <v>2</v>
      </c>
      <c r="I603">
        <v>0.4107142857142857</v>
      </c>
      <c r="J603">
        <v>0.63182897862232779</v>
      </c>
      <c r="K603" t="s">
        <v>432</v>
      </c>
      <c r="L603">
        <v>0.38717339667458428</v>
      </c>
      <c r="M603">
        <v>1</v>
      </c>
      <c r="N603">
        <v>4.9079754601226898E-2</v>
      </c>
      <c r="O603" t="s">
        <v>433</v>
      </c>
      <c r="P603">
        <v>310</v>
      </c>
      <c r="Q603">
        <v>1</v>
      </c>
      <c r="R603">
        <v>0</v>
      </c>
      <c r="T603">
        <v>0</v>
      </c>
      <c r="U603" t="b">
        <v>0</v>
      </c>
      <c r="Y603">
        <v>0</v>
      </c>
      <c r="Z603">
        <v>36</v>
      </c>
      <c r="AA603">
        <v>0</v>
      </c>
      <c r="AB603">
        <v>0</v>
      </c>
      <c r="AE603">
        <v>0</v>
      </c>
      <c r="AF603" t="b">
        <v>0</v>
      </c>
    </row>
    <row r="604" spans="1:35" x14ac:dyDescent="0.3">
      <c r="A604" t="s">
        <v>1342</v>
      </c>
      <c r="B604" t="s">
        <v>1343</v>
      </c>
      <c r="C604" t="s">
        <v>549</v>
      </c>
      <c r="D604">
        <v>336</v>
      </c>
      <c r="E604">
        <v>9447</v>
      </c>
      <c r="F604">
        <v>7</v>
      </c>
      <c r="G604">
        <v>60</v>
      </c>
      <c r="H604">
        <v>60</v>
      </c>
      <c r="I604">
        <v>1</v>
      </c>
      <c r="J604">
        <v>1</v>
      </c>
      <c r="K604" t="s">
        <v>432</v>
      </c>
      <c r="L604">
        <v>0.76129308499250692</v>
      </c>
      <c r="M604">
        <v>1</v>
      </c>
      <c r="N604">
        <v>1</v>
      </c>
      <c r="O604" t="s">
        <v>433</v>
      </c>
      <c r="P604">
        <v>0</v>
      </c>
      <c r="R604">
        <v>0</v>
      </c>
      <c r="T604">
        <v>0</v>
      </c>
      <c r="U604" t="b">
        <v>0</v>
      </c>
      <c r="V604">
        <v>0.35754189944134079</v>
      </c>
      <c r="Y604">
        <v>0</v>
      </c>
      <c r="Z604">
        <v>351</v>
      </c>
      <c r="AA604">
        <v>1.7267376817937999E-3</v>
      </c>
      <c r="AB604">
        <v>0.14448514448514449</v>
      </c>
      <c r="AC604">
        <v>3.6923076923075998E-3</v>
      </c>
      <c r="AD604">
        <v>-6.8657741160309997E-4</v>
      </c>
      <c r="AE604">
        <v>0</v>
      </c>
      <c r="AF604" t="b">
        <v>0</v>
      </c>
    </row>
    <row r="605" spans="1:35" x14ac:dyDescent="0.3">
      <c r="A605" t="s">
        <v>1344</v>
      </c>
      <c r="B605" t="s">
        <v>1345</v>
      </c>
      <c r="C605" t="s">
        <v>428</v>
      </c>
      <c r="D605">
        <v>101</v>
      </c>
      <c r="E605">
        <v>3810</v>
      </c>
      <c r="F605">
        <v>7</v>
      </c>
      <c r="G605">
        <v>120</v>
      </c>
      <c r="H605">
        <v>60</v>
      </c>
      <c r="I605">
        <v>1</v>
      </c>
      <c r="J605">
        <v>1</v>
      </c>
      <c r="K605" t="s">
        <v>86</v>
      </c>
      <c r="P605">
        <v>0</v>
      </c>
      <c r="R605">
        <v>0</v>
      </c>
      <c r="T605">
        <v>0</v>
      </c>
      <c r="U605" t="b">
        <v>0</v>
      </c>
      <c r="Y605">
        <v>0</v>
      </c>
      <c r="Z605">
        <v>0</v>
      </c>
      <c r="AE605">
        <v>0</v>
      </c>
      <c r="AF605" t="b">
        <v>0</v>
      </c>
    </row>
    <row r="606" spans="1:35" x14ac:dyDescent="0.3">
      <c r="A606" t="s">
        <v>1346</v>
      </c>
      <c r="B606" t="s">
        <v>1347</v>
      </c>
      <c r="C606" t="s">
        <v>549</v>
      </c>
      <c r="D606">
        <v>173</v>
      </c>
      <c r="E606">
        <v>2493</v>
      </c>
      <c r="F606">
        <v>24</v>
      </c>
      <c r="G606">
        <v>60</v>
      </c>
      <c r="H606">
        <v>60</v>
      </c>
      <c r="I606">
        <v>1</v>
      </c>
      <c r="J606">
        <v>1</v>
      </c>
      <c r="K606" t="s">
        <v>432</v>
      </c>
      <c r="L606">
        <v>0.7719135084863985</v>
      </c>
      <c r="M606">
        <v>1</v>
      </c>
      <c r="N606">
        <v>1</v>
      </c>
      <c r="O606" t="s">
        <v>433</v>
      </c>
      <c r="P606">
        <v>0</v>
      </c>
      <c r="R606">
        <v>0</v>
      </c>
      <c r="T606">
        <v>0</v>
      </c>
      <c r="U606" t="b">
        <v>0</v>
      </c>
      <c r="V606">
        <v>0</v>
      </c>
      <c r="Y606">
        <v>0</v>
      </c>
      <c r="Z606">
        <v>119</v>
      </c>
      <c r="AA606">
        <v>-3.4129692832763998E-3</v>
      </c>
      <c r="AB606">
        <v>-0.25210084033613439</v>
      </c>
      <c r="AC606">
        <v>-1.1494252873563199E-2</v>
      </c>
      <c r="AD606">
        <v>0</v>
      </c>
      <c r="AE606">
        <v>0</v>
      </c>
      <c r="AF606" t="b">
        <v>0</v>
      </c>
    </row>
    <row r="607" spans="1:35" x14ac:dyDescent="0.3">
      <c r="A607" t="s">
        <v>1348</v>
      </c>
      <c r="B607" t="s">
        <v>1349</v>
      </c>
      <c r="C607" t="s">
        <v>549</v>
      </c>
      <c r="D607">
        <v>56</v>
      </c>
      <c r="E607">
        <v>994</v>
      </c>
      <c r="F607">
        <v>6</v>
      </c>
      <c r="G607">
        <v>60</v>
      </c>
      <c r="H607">
        <v>60</v>
      </c>
      <c r="I607">
        <v>1</v>
      </c>
      <c r="J607">
        <v>1</v>
      </c>
      <c r="K607" t="s">
        <v>432</v>
      </c>
      <c r="L607">
        <v>0.75312705727452267</v>
      </c>
      <c r="M607">
        <v>1</v>
      </c>
      <c r="N607">
        <v>1</v>
      </c>
      <c r="O607" t="s">
        <v>433</v>
      </c>
      <c r="P607">
        <v>0</v>
      </c>
      <c r="R607">
        <v>0</v>
      </c>
      <c r="T607">
        <v>0</v>
      </c>
      <c r="U607" t="b">
        <v>0</v>
      </c>
      <c r="Y607">
        <v>0</v>
      </c>
      <c r="Z607">
        <v>34</v>
      </c>
      <c r="AA607">
        <v>-7.0921985815602002E-3</v>
      </c>
      <c r="AB607">
        <v>-0.58823529411764708</v>
      </c>
      <c r="AC607">
        <v>0</v>
      </c>
      <c r="AE607">
        <v>0</v>
      </c>
      <c r="AF607" t="b">
        <v>0</v>
      </c>
    </row>
    <row r="608" spans="1:35" x14ac:dyDescent="0.3">
      <c r="A608" t="s">
        <v>1350</v>
      </c>
      <c r="B608" t="s">
        <v>1351</v>
      </c>
      <c r="C608" t="s">
        <v>549</v>
      </c>
      <c r="D608">
        <v>74</v>
      </c>
      <c r="E608">
        <v>274</v>
      </c>
      <c r="F608">
        <v>15</v>
      </c>
      <c r="G608">
        <v>240</v>
      </c>
      <c r="H608">
        <v>60</v>
      </c>
      <c r="I608">
        <v>1</v>
      </c>
      <c r="J608">
        <v>1</v>
      </c>
      <c r="K608" t="s">
        <v>432</v>
      </c>
      <c r="L608">
        <v>0.12931034482758619</v>
      </c>
      <c r="M608">
        <v>1</v>
      </c>
      <c r="N608">
        <v>1</v>
      </c>
      <c r="O608" t="s">
        <v>433</v>
      </c>
      <c r="P608">
        <v>0</v>
      </c>
      <c r="R608">
        <v>0</v>
      </c>
      <c r="T608">
        <v>0</v>
      </c>
      <c r="U608" t="b">
        <v>0</v>
      </c>
      <c r="Y608">
        <v>0</v>
      </c>
      <c r="Z608">
        <v>2</v>
      </c>
      <c r="AA608">
        <v>0</v>
      </c>
      <c r="AB608">
        <v>0</v>
      </c>
      <c r="AE608">
        <v>0</v>
      </c>
      <c r="AF608" t="b">
        <v>0</v>
      </c>
    </row>
    <row r="609" spans="1:35" x14ac:dyDescent="0.3">
      <c r="A609" t="s">
        <v>1352</v>
      </c>
      <c r="B609" t="s">
        <v>1353</v>
      </c>
      <c r="C609" t="s">
        <v>431</v>
      </c>
      <c r="D609">
        <v>5330</v>
      </c>
      <c r="E609">
        <v>289107</v>
      </c>
      <c r="F609">
        <v>408</v>
      </c>
      <c r="G609">
        <v>47</v>
      </c>
      <c r="H609">
        <v>1</v>
      </c>
      <c r="I609">
        <v>1.7467581206957902E-2</v>
      </c>
      <c r="J609">
        <v>0.13414754259824679</v>
      </c>
      <c r="K609" t="s">
        <v>432</v>
      </c>
      <c r="L609">
        <v>0.89474148969049405</v>
      </c>
      <c r="M609">
        <v>1</v>
      </c>
      <c r="N609">
        <v>3.2287574256486103E-2</v>
      </c>
      <c r="O609" t="s">
        <v>433</v>
      </c>
      <c r="P609">
        <v>248187</v>
      </c>
      <c r="Q609">
        <v>0.71623010069020532</v>
      </c>
      <c r="R609">
        <v>0</v>
      </c>
      <c r="T609">
        <v>1</v>
      </c>
      <c r="U609" t="b">
        <v>1</v>
      </c>
      <c r="V609">
        <v>8.317299243401429</v>
      </c>
      <c r="W609">
        <v>1.833351480836237</v>
      </c>
      <c r="X609" t="b">
        <v>1</v>
      </c>
      <c r="Y609">
        <v>0</v>
      </c>
      <c r="Z609">
        <v>6405</v>
      </c>
      <c r="AA609">
        <v>4.3808138698589502E-2</v>
      </c>
      <c r="AB609">
        <v>2.5152747398863302</v>
      </c>
      <c r="AC609">
        <v>-2.4700663143943199E-2</v>
      </c>
      <c r="AD609">
        <v>0.1036300716392143</v>
      </c>
      <c r="AE609">
        <v>1</v>
      </c>
      <c r="AF609" t="b">
        <v>1</v>
      </c>
      <c r="AG609">
        <v>-8.1773980220639E-3</v>
      </c>
      <c r="AH609">
        <v>-0.95697994840525336</v>
      </c>
      <c r="AI609" t="b">
        <v>1</v>
      </c>
    </row>
    <row r="610" spans="1:35" x14ac:dyDescent="0.3">
      <c r="A610" t="s">
        <v>1354</v>
      </c>
      <c r="B610" t="s">
        <v>1355</v>
      </c>
      <c r="C610" t="s">
        <v>549</v>
      </c>
      <c r="D610">
        <v>72</v>
      </c>
      <c r="E610">
        <v>711</v>
      </c>
      <c r="F610">
        <v>6</v>
      </c>
      <c r="G610">
        <v>60</v>
      </c>
      <c r="H610">
        <v>60</v>
      </c>
      <c r="I610">
        <v>1</v>
      </c>
      <c r="J610">
        <v>1</v>
      </c>
      <c r="K610" t="s">
        <v>432</v>
      </c>
      <c r="L610">
        <v>0.74011299435028244</v>
      </c>
      <c r="M610">
        <v>1</v>
      </c>
      <c r="N610">
        <v>1</v>
      </c>
      <c r="O610" t="s">
        <v>433</v>
      </c>
      <c r="P610">
        <v>0</v>
      </c>
      <c r="R610">
        <v>0</v>
      </c>
      <c r="T610">
        <v>0</v>
      </c>
      <c r="U610" t="b">
        <v>0</v>
      </c>
      <c r="Y610">
        <v>0</v>
      </c>
      <c r="Z610">
        <v>16</v>
      </c>
      <c r="AA610">
        <v>0</v>
      </c>
      <c r="AB610">
        <v>0</v>
      </c>
      <c r="AE610">
        <v>0</v>
      </c>
      <c r="AF610" t="b">
        <v>0</v>
      </c>
    </row>
    <row r="611" spans="1:35" x14ac:dyDescent="0.3">
      <c r="A611" t="s">
        <v>1356</v>
      </c>
      <c r="B611" t="s">
        <v>1357</v>
      </c>
      <c r="C611" t="s">
        <v>549</v>
      </c>
      <c r="D611">
        <v>657</v>
      </c>
      <c r="E611">
        <v>16253</v>
      </c>
      <c r="F611">
        <v>15</v>
      </c>
      <c r="G611">
        <v>60</v>
      </c>
      <c r="H611">
        <v>60</v>
      </c>
      <c r="I611">
        <v>1</v>
      </c>
      <c r="J611">
        <v>1</v>
      </c>
      <c r="K611" t="s">
        <v>432</v>
      </c>
      <c r="L611">
        <v>0.8170965096145083</v>
      </c>
      <c r="M611">
        <v>1</v>
      </c>
      <c r="N611">
        <v>1</v>
      </c>
      <c r="O611" t="s">
        <v>433</v>
      </c>
      <c r="P611">
        <v>0</v>
      </c>
      <c r="R611">
        <v>0</v>
      </c>
      <c r="T611">
        <v>0</v>
      </c>
      <c r="U611" t="b">
        <v>0</v>
      </c>
      <c r="V611">
        <v>6.2824675324675328</v>
      </c>
      <c r="Y611">
        <v>0</v>
      </c>
      <c r="Z611">
        <v>654</v>
      </c>
      <c r="AA611">
        <v>-3.4065797520227998E-3</v>
      </c>
      <c r="AB611">
        <v>-0.25451434396388511</v>
      </c>
      <c r="AC611">
        <v>-2.7700870626021501E-2</v>
      </c>
      <c r="AD611">
        <v>1.4060650484619399E-2</v>
      </c>
      <c r="AE611">
        <v>0</v>
      </c>
      <c r="AF611" t="b">
        <v>0</v>
      </c>
    </row>
    <row r="612" spans="1:35" x14ac:dyDescent="0.3">
      <c r="A612" t="s">
        <v>1358</v>
      </c>
      <c r="B612" t="s">
        <v>1359</v>
      </c>
      <c r="C612" t="s">
        <v>431</v>
      </c>
      <c r="D612">
        <v>246</v>
      </c>
      <c r="E612">
        <v>2632</v>
      </c>
      <c r="F612">
        <v>16</v>
      </c>
      <c r="G612">
        <v>60</v>
      </c>
      <c r="H612">
        <v>60</v>
      </c>
      <c r="I612">
        <v>1</v>
      </c>
      <c r="J612">
        <v>1</v>
      </c>
      <c r="K612" t="s">
        <v>432</v>
      </c>
      <c r="L612">
        <v>0.69816272965879267</v>
      </c>
      <c r="M612">
        <v>1</v>
      </c>
      <c r="N612">
        <v>1</v>
      </c>
      <c r="O612" t="s">
        <v>433</v>
      </c>
      <c r="P612">
        <v>0</v>
      </c>
      <c r="R612">
        <v>0</v>
      </c>
      <c r="T612">
        <v>0</v>
      </c>
      <c r="U612" t="b">
        <v>0</v>
      </c>
      <c r="V612">
        <v>0</v>
      </c>
      <c r="Y612">
        <v>0</v>
      </c>
      <c r="Z612">
        <v>82</v>
      </c>
      <c r="AA612">
        <v>5.3284769998651E-3</v>
      </c>
      <c r="AB612">
        <v>0.75071270193221451</v>
      </c>
      <c r="AC612">
        <v>0</v>
      </c>
      <c r="AD612">
        <v>4.9575070821528998E-3</v>
      </c>
      <c r="AE612">
        <v>0</v>
      </c>
      <c r="AF612" t="b">
        <v>0</v>
      </c>
    </row>
    <row r="613" spans="1:35" x14ac:dyDescent="0.3">
      <c r="A613" t="s">
        <v>1360</v>
      </c>
      <c r="B613" t="s">
        <v>1361</v>
      </c>
      <c r="C613" t="s">
        <v>431</v>
      </c>
      <c r="D613">
        <v>88</v>
      </c>
      <c r="E613">
        <v>1667</v>
      </c>
      <c r="F613">
        <v>173</v>
      </c>
      <c r="G613">
        <v>71</v>
      </c>
      <c r="H613">
        <v>1</v>
      </c>
      <c r="I613">
        <v>9.6580683863227296E-2</v>
      </c>
      <c r="J613">
        <v>0.35270655270655271</v>
      </c>
      <c r="K613" t="s">
        <v>432</v>
      </c>
      <c r="L613">
        <v>0.64729344729344729</v>
      </c>
      <c r="M613">
        <v>1</v>
      </c>
      <c r="N613">
        <v>0</v>
      </c>
      <c r="O613" t="s">
        <v>518</v>
      </c>
      <c r="P613">
        <v>1136</v>
      </c>
      <c r="Q613">
        <v>1.8485915492957701E-2</v>
      </c>
      <c r="R613">
        <v>0</v>
      </c>
      <c r="T613">
        <v>0</v>
      </c>
      <c r="U613" t="b">
        <v>0</v>
      </c>
      <c r="Y613">
        <v>0</v>
      </c>
      <c r="Z613">
        <v>93</v>
      </c>
      <c r="AA613">
        <v>0</v>
      </c>
      <c r="AB613">
        <v>0</v>
      </c>
      <c r="AE613">
        <v>0</v>
      </c>
      <c r="AF613" t="b">
        <v>0</v>
      </c>
    </row>
    <row r="614" spans="1:35" x14ac:dyDescent="0.3">
      <c r="A614" t="s">
        <v>1362</v>
      </c>
      <c r="B614" t="s">
        <v>1363</v>
      </c>
      <c r="C614" t="s">
        <v>549</v>
      </c>
      <c r="D614">
        <v>367</v>
      </c>
      <c r="E614">
        <v>5587</v>
      </c>
      <c r="F614">
        <v>16</v>
      </c>
      <c r="G614">
        <v>60</v>
      </c>
      <c r="H614">
        <v>60</v>
      </c>
      <c r="I614">
        <v>1</v>
      </c>
      <c r="J614">
        <v>1</v>
      </c>
      <c r="K614" t="s">
        <v>432</v>
      </c>
      <c r="L614">
        <v>0.76753638389930512</v>
      </c>
      <c r="M614">
        <v>1</v>
      </c>
      <c r="N614">
        <v>1</v>
      </c>
      <c r="O614" t="s">
        <v>433</v>
      </c>
      <c r="P614">
        <v>0</v>
      </c>
      <c r="R614">
        <v>0</v>
      </c>
      <c r="T614">
        <v>0</v>
      </c>
      <c r="U614" t="b">
        <v>0</v>
      </c>
      <c r="V614">
        <v>3.7012987012987009</v>
      </c>
      <c r="Y614">
        <v>0</v>
      </c>
      <c r="Z614">
        <v>261</v>
      </c>
      <c r="AA614">
        <v>-1.3060374309577899E-2</v>
      </c>
      <c r="AB614">
        <v>-1.3128499852637781</v>
      </c>
      <c r="AC614">
        <v>-2.8314435928295401E-2</v>
      </c>
      <c r="AD614">
        <v>2.3750585401751999E-3</v>
      </c>
      <c r="AE614">
        <v>0</v>
      </c>
      <c r="AF614" t="b">
        <v>0</v>
      </c>
    </row>
    <row r="615" spans="1:35" x14ac:dyDescent="0.3">
      <c r="A615" t="s">
        <v>1364</v>
      </c>
      <c r="B615" t="s">
        <v>1365</v>
      </c>
      <c r="C615" t="s">
        <v>549</v>
      </c>
      <c r="D615">
        <v>433</v>
      </c>
      <c r="E615">
        <v>9163</v>
      </c>
      <c r="F615">
        <v>17</v>
      </c>
      <c r="G615">
        <v>60</v>
      </c>
      <c r="H615">
        <v>60</v>
      </c>
      <c r="I615">
        <v>1</v>
      </c>
      <c r="J615">
        <v>1</v>
      </c>
      <c r="K615" t="s">
        <v>432</v>
      </c>
      <c r="L615">
        <v>0.84240730952201159</v>
      </c>
      <c r="M615">
        <v>1</v>
      </c>
      <c r="N615">
        <v>1</v>
      </c>
      <c r="O615" t="s">
        <v>433</v>
      </c>
      <c r="P615">
        <v>0</v>
      </c>
      <c r="R615">
        <v>0</v>
      </c>
      <c r="T615">
        <v>0</v>
      </c>
      <c r="U615" t="b">
        <v>0</v>
      </c>
      <c r="V615">
        <v>0.76923076923076927</v>
      </c>
      <c r="Y615">
        <v>0</v>
      </c>
      <c r="Z615">
        <v>404</v>
      </c>
      <c r="AA615">
        <v>9.3324549846279998E-4</v>
      </c>
      <c r="AB615">
        <v>7.0132013201320106E-2</v>
      </c>
      <c r="AC615">
        <v>-1.4577259475217999E-3</v>
      </c>
      <c r="AD615">
        <v>4.2735042735042002E-3</v>
      </c>
      <c r="AE615">
        <v>0</v>
      </c>
      <c r="AF615" t="b">
        <v>0</v>
      </c>
    </row>
    <row r="616" spans="1:35" x14ac:dyDescent="0.3">
      <c r="A616" t="s">
        <v>1366</v>
      </c>
      <c r="B616" t="s">
        <v>1367</v>
      </c>
      <c r="C616" t="s">
        <v>549</v>
      </c>
      <c r="D616">
        <v>185</v>
      </c>
      <c r="E616">
        <v>3654</v>
      </c>
      <c r="F616">
        <v>7</v>
      </c>
      <c r="G616">
        <v>60</v>
      </c>
      <c r="H616">
        <v>60</v>
      </c>
      <c r="I616">
        <v>1</v>
      </c>
      <c r="J616">
        <v>1</v>
      </c>
      <c r="K616" t="s">
        <v>432</v>
      </c>
      <c r="L616">
        <v>0.86174276878297251</v>
      </c>
      <c r="M616">
        <v>1</v>
      </c>
      <c r="N616">
        <v>1</v>
      </c>
      <c r="O616" t="s">
        <v>433</v>
      </c>
      <c r="P616">
        <v>0</v>
      </c>
      <c r="R616">
        <v>0</v>
      </c>
      <c r="T616">
        <v>0</v>
      </c>
      <c r="U616" t="b">
        <v>0</v>
      </c>
      <c r="V616">
        <v>0.33333333333333331</v>
      </c>
      <c r="Y616">
        <v>0</v>
      </c>
      <c r="Z616">
        <v>137</v>
      </c>
      <c r="AA616">
        <v>-1.1520737327179999E-4</v>
      </c>
      <c r="AB616">
        <v>-7.8206465067778997E-3</v>
      </c>
      <c r="AC616">
        <v>2.5000000000000001E-3</v>
      </c>
      <c r="AD616">
        <v>-2.5000000000000001E-3</v>
      </c>
      <c r="AE616">
        <v>0</v>
      </c>
      <c r="AF616" t="b">
        <v>0</v>
      </c>
    </row>
    <row r="617" spans="1:35" x14ac:dyDescent="0.3">
      <c r="A617" t="s">
        <v>1368</v>
      </c>
      <c r="B617" t="s">
        <v>1369</v>
      </c>
      <c r="C617" t="s">
        <v>1370</v>
      </c>
      <c r="D617">
        <v>117969</v>
      </c>
      <c r="E617">
        <v>4290992</v>
      </c>
      <c r="F617">
        <v>1346</v>
      </c>
      <c r="G617">
        <v>60</v>
      </c>
      <c r="H617">
        <v>1</v>
      </c>
      <c r="I617">
        <v>0.14338549221252331</v>
      </c>
      <c r="J617">
        <v>4.3165075206306802E-2</v>
      </c>
      <c r="K617" t="s">
        <v>86</v>
      </c>
      <c r="P617">
        <v>0</v>
      </c>
      <c r="R617">
        <v>0</v>
      </c>
      <c r="T617">
        <v>1</v>
      </c>
      <c r="U617" t="b">
        <v>1</v>
      </c>
      <c r="V617">
        <v>6.3032322881620005E-4</v>
      </c>
      <c r="W617">
        <v>0</v>
      </c>
      <c r="X617" t="b">
        <v>1</v>
      </c>
      <c r="Y617">
        <v>0</v>
      </c>
      <c r="Z617">
        <v>86563</v>
      </c>
      <c r="AA617">
        <v>-2.9993545827124092E-6</v>
      </c>
      <c r="AB617">
        <v>-2.2380393068709999E-4</v>
      </c>
      <c r="AC617">
        <v>-2.1034472497692518E-6</v>
      </c>
      <c r="AD617">
        <v>-3.3260262885990391E-6</v>
      </c>
      <c r="AE617">
        <v>1</v>
      </c>
      <c r="AF617" t="b">
        <v>1</v>
      </c>
      <c r="AG617">
        <v>0</v>
      </c>
      <c r="AH617">
        <v>0</v>
      </c>
      <c r="AI617" t="b">
        <v>0</v>
      </c>
    </row>
    <row r="618" spans="1:35" x14ac:dyDescent="0.3">
      <c r="A618" t="s">
        <v>1371</v>
      </c>
      <c r="B618" t="s">
        <v>1372</v>
      </c>
      <c r="C618" t="s">
        <v>431</v>
      </c>
      <c r="D618">
        <v>79</v>
      </c>
      <c r="E618">
        <v>1685</v>
      </c>
      <c r="F618">
        <v>68</v>
      </c>
      <c r="G618">
        <v>66</v>
      </c>
      <c r="H618">
        <v>1</v>
      </c>
      <c r="I618">
        <v>0.13590504451038571</v>
      </c>
      <c r="J618">
        <v>0.48668555240793199</v>
      </c>
      <c r="K618" t="s">
        <v>432</v>
      </c>
      <c r="L618">
        <v>0.52577903682719551</v>
      </c>
      <c r="M618">
        <v>1</v>
      </c>
      <c r="N618">
        <v>2.3706896551724099E-2</v>
      </c>
      <c r="O618" t="s">
        <v>433</v>
      </c>
      <c r="P618">
        <v>906</v>
      </c>
      <c r="Q618">
        <v>1</v>
      </c>
      <c r="R618">
        <v>0</v>
      </c>
      <c r="T618">
        <v>0</v>
      </c>
      <c r="U618" t="b">
        <v>0</v>
      </c>
      <c r="V618">
        <v>2.179347826086957</v>
      </c>
      <c r="Y618">
        <v>0</v>
      </c>
      <c r="Z618">
        <v>74</v>
      </c>
      <c r="AA618">
        <v>0.1410061569636038</v>
      </c>
      <c r="AB618">
        <v>11.64253539253539</v>
      </c>
      <c r="AC618">
        <v>7.43801652892562E-2</v>
      </c>
      <c r="AD618">
        <v>7.4585345370564701E-2</v>
      </c>
      <c r="AE618">
        <v>0</v>
      </c>
      <c r="AF618" t="b">
        <v>0</v>
      </c>
    </row>
    <row r="619" spans="1:35" x14ac:dyDescent="0.3">
      <c r="A619" t="s">
        <v>1373</v>
      </c>
      <c r="B619" t="s">
        <v>1374</v>
      </c>
      <c r="C619" t="s">
        <v>549</v>
      </c>
      <c r="D619">
        <v>171</v>
      </c>
      <c r="E619">
        <v>2030</v>
      </c>
      <c r="F619">
        <v>21</v>
      </c>
      <c r="G619">
        <v>60</v>
      </c>
      <c r="H619">
        <v>60</v>
      </c>
      <c r="I619">
        <v>1</v>
      </c>
      <c r="J619">
        <v>1</v>
      </c>
      <c r="K619" t="s">
        <v>432</v>
      </c>
      <c r="L619">
        <v>0.69742284441616287</v>
      </c>
      <c r="M619">
        <v>1</v>
      </c>
      <c r="N619">
        <v>1</v>
      </c>
      <c r="O619" t="s">
        <v>433</v>
      </c>
      <c r="P619">
        <v>0</v>
      </c>
      <c r="R619">
        <v>0</v>
      </c>
      <c r="T619">
        <v>0</v>
      </c>
      <c r="U619" t="b">
        <v>0</v>
      </c>
      <c r="V619">
        <v>0</v>
      </c>
      <c r="Y619">
        <v>0</v>
      </c>
      <c r="Z619">
        <v>101</v>
      </c>
      <c r="AA619">
        <v>0</v>
      </c>
      <c r="AB619">
        <v>0</v>
      </c>
      <c r="AC619">
        <v>0</v>
      </c>
      <c r="AD619">
        <v>0</v>
      </c>
      <c r="AE619">
        <v>0</v>
      </c>
      <c r="AF619" t="b">
        <v>0</v>
      </c>
    </row>
    <row r="620" spans="1:35" x14ac:dyDescent="0.3">
      <c r="A620" t="s">
        <v>1375</v>
      </c>
      <c r="B620" t="s">
        <v>1376</v>
      </c>
      <c r="C620" t="s">
        <v>549</v>
      </c>
      <c r="D620">
        <v>265</v>
      </c>
      <c r="E620">
        <v>4342</v>
      </c>
      <c r="F620">
        <v>12</v>
      </c>
      <c r="G620">
        <v>60</v>
      </c>
      <c r="H620">
        <v>60</v>
      </c>
      <c r="I620">
        <v>1</v>
      </c>
      <c r="J620">
        <v>1</v>
      </c>
      <c r="K620" t="s">
        <v>432</v>
      </c>
      <c r="L620">
        <v>0.74901820778293471</v>
      </c>
      <c r="M620">
        <v>1</v>
      </c>
      <c r="N620">
        <v>1</v>
      </c>
      <c r="O620" t="s">
        <v>433</v>
      </c>
      <c r="P620">
        <v>0</v>
      </c>
      <c r="R620">
        <v>0</v>
      </c>
      <c r="T620">
        <v>0</v>
      </c>
      <c r="U620" t="b">
        <v>0</v>
      </c>
      <c r="V620">
        <v>3.8354591836734691</v>
      </c>
      <c r="Y620">
        <v>0</v>
      </c>
      <c r="Z620">
        <v>179</v>
      </c>
      <c r="AA620">
        <v>-1.8109692997585299E-2</v>
      </c>
      <c r="AB620">
        <v>-1.353674258702191</v>
      </c>
      <c r="AC620">
        <v>-3.8883735312306697E-2</v>
      </c>
      <c r="AD620">
        <v>-1.6666666666666601E-2</v>
      </c>
      <c r="AE620">
        <v>0</v>
      </c>
      <c r="AF620" t="b">
        <v>0</v>
      </c>
    </row>
    <row r="621" spans="1:35" x14ac:dyDescent="0.3">
      <c r="A621" t="s">
        <v>1377</v>
      </c>
      <c r="B621" t="s">
        <v>1378</v>
      </c>
      <c r="C621" t="s">
        <v>549</v>
      </c>
      <c r="D621">
        <v>174</v>
      </c>
      <c r="E621">
        <v>3818</v>
      </c>
      <c r="F621">
        <v>20</v>
      </c>
      <c r="G621">
        <v>60</v>
      </c>
      <c r="H621">
        <v>60</v>
      </c>
      <c r="I621">
        <v>1</v>
      </c>
      <c r="J621">
        <v>1</v>
      </c>
      <c r="K621" t="s">
        <v>432</v>
      </c>
      <c r="L621">
        <v>0.79408807560828476</v>
      </c>
      <c r="M621">
        <v>1</v>
      </c>
      <c r="N621">
        <v>1</v>
      </c>
      <c r="O621" t="s">
        <v>433</v>
      </c>
      <c r="P621">
        <v>0</v>
      </c>
      <c r="R621">
        <v>0</v>
      </c>
      <c r="T621">
        <v>0</v>
      </c>
      <c r="U621" t="b">
        <v>0</v>
      </c>
      <c r="V621">
        <v>2.5</v>
      </c>
      <c r="Y621">
        <v>0</v>
      </c>
      <c r="Z621">
        <v>43</v>
      </c>
      <c r="AA621">
        <v>-1.48717948717948E-2</v>
      </c>
      <c r="AB621">
        <v>-1.348837209302326</v>
      </c>
      <c r="AC621">
        <v>0</v>
      </c>
      <c r="AD621">
        <v>-2.4193548387096701E-2</v>
      </c>
      <c r="AE621">
        <v>0</v>
      </c>
      <c r="AF621" t="b">
        <v>0</v>
      </c>
    </row>
    <row r="622" spans="1:35" x14ac:dyDescent="0.3">
      <c r="A622" t="s">
        <v>1379</v>
      </c>
      <c r="B622" t="s">
        <v>1380</v>
      </c>
      <c r="C622" t="s">
        <v>549</v>
      </c>
      <c r="D622">
        <v>85</v>
      </c>
      <c r="E622">
        <v>2018</v>
      </c>
      <c r="F622">
        <v>13</v>
      </c>
      <c r="G622">
        <v>60</v>
      </c>
      <c r="H622">
        <v>60</v>
      </c>
      <c r="I622">
        <v>1</v>
      </c>
      <c r="J622">
        <v>1</v>
      </c>
      <c r="K622" t="s">
        <v>432</v>
      </c>
      <c r="L622">
        <v>0.85101088646967338</v>
      </c>
      <c r="M622">
        <v>1</v>
      </c>
      <c r="N622">
        <v>1</v>
      </c>
      <c r="O622" t="s">
        <v>433</v>
      </c>
      <c r="P622">
        <v>0</v>
      </c>
      <c r="R622">
        <v>0</v>
      </c>
      <c r="T622">
        <v>0</v>
      </c>
      <c r="U622" t="b">
        <v>0</v>
      </c>
      <c r="V622">
        <v>0</v>
      </c>
      <c r="Y622">
        <v>0</v>
      </c>
      <c r="Z622">
        <v>106</v>
      </c>
      <c r="AA622">
        <v>-2.0325203252032002E-3</v>
      </c>
      <c r="AB622">
        <v>-0.14150943396226409</v>
      </c>
      <c r="AC622">
        <v>0</v>
      </c>
      <c r="AD622">
        <v>0</v>
      </c>
      <c r="AE622">
        <v>0</v>
      </c>
      <c r="AF622" t="b">
        <v>0</v>
      </c>
    </row>
    <row r="623" spans="1:35" x14ac:dyDescent="0.3">
      <c r="A623" t="s">
        <v>1381</v>
      </c>
      <c r="B623" t="s">
        <v>1382</v>
      </c>
      <c r="C623" t="s">
        <v>431</v>
      </c>
      <c r="D623">
        <v>235</v>
      </c>
      <c r="E623">
        <v>1714</v>
      </c>
      <c r="F623">
        <v>66</v>
      </c>
      <c r="G623">
        <v>180</v>
      </c>
      <c r="H623">
        <v>1</v>
      </c>
      <c r="I623">
        <v>0.65927654609101516</v>
      </c>
      <c r="J623">
        <v>0.82247306310928681</v>
      </c>
      <c r="K623" t="s">
        <v>432</v>
      </c>
      <c r="L623">
        <v>0.38070805541303232</v>
      </c>
      <c r="M623">
        <v>1</v>
      </c>
      <c r="N623">
        <v>0.53369272237196763</v>
      </c>
      <c r="O623" t="s">
        <v>433</v>
      </c>
      <c r="P623">
        <v>346</v>
      </c>
      <c r="Q623">
        <v>1</v>
      </c>
      <c r="R623">
        <v>0</v>
      </c>
      <c r="T623">
        <v>0</v>
      </c>
      <c r="U623" t="b">
        <v>0</v>
      </c>
      <c r="V623">
        <v>7.903225806451613</v>
      </c>
      <c r="Y623">
        <v>0</v>
      </c>
      <c r="Z623">
        <v>88</v>
      </c>
      <c r="AA623">
        <v>-1.01323053493241E-2</v>
      </c>
      <c r="AB623">
        <v>-2.0160984848484849</v>
      </c>
      <c r="AC623">
        <v>-2.2529109125372301E-2</v>
      </c>
      <c r="AD623">
        <v>-2.7229407760381002E-3</v>
      </c>
      <c r="AE623">
        <v>0</v>
      </c>
      <c r="AF623" t="b">
        <v>0</v>
      </c>
    </row>
    <row r="624" spans="1:35" x14ac:dyDescent="0.3">
      <c r="A624" t="s">
        <v>1383</v>
      </c>
      <c r="B624" t="s">
        <v>1384</v>
      </c>
      <c r="C624" t="s">
        <v>549</v>
      </c>
      <c r="D624">
        <v>231</v>
      </c>
      <c r="E624">
        <v>4468</v>
      </c>
      <c r="F624">
        <v>24</v>
      </c>
      <c r="G624">
        <v>60</v>
      </c>
      <c r="H624">
        <v>60</v>
      </c>
      <c r="I624">
        <v>1</v>
      </c>
      <c r="J624">
        <v>1</v>
      </c>
      <c r="K624" t="s">
        <v>432</v>
      </c>
      <c r="L624">
        <v>0.78289167828916784</v>
      </c>
      <c r="M624">
        <v>1</v>
      </c>
      <c r="N624">
        <v>1</v>
      </c>
      <c r="O624" t="s">
        <v>433</v>
      </c>
      <c r="P624">
        <v>0</v>
      </c>
      <c r="R624">
        <v>0</v>
      </c>
      <c r="T624">
        <v>0</v>
      </c>
      <c r="U624" t="b">
        <v>0</v>
      </c>
      <c r="V624">
        <v>0</v>
      </c>
      <c r="Y624">
        <v>0</v>
      </c>
      <c r="Z624">
        <v>224</v>
      </c>
      <c r="AA624">
        <v>-8.5324232081909995E-4</v>
      </c>
      <c r="AB624">
        <v>-6.6964285714285698E-2</v>
      </c>
      <c r="AC624">
        <v>0</v>
      </c>
      <c r="AD624">
        <v>0</v>
      </c>
      <c r="AE624">
        <v>0</v>
      </c>
      <c r="AF624" t="b">
        <v>0</v>
      </c>
    </row>
    <row r="625" spans="1:35" x14ac:dyDescent="0.3">
      <c r="A625" t="s">
        <v>1385</v>
      </c>
      <c r="B625" t="s">
        <v>1386</v>
      </c>
      <c r="C625" t="s">
        <v>431</v>
      </c>
      <c r="D625">
        <v>50</v>
      </c>
      <c r="E625">
        <v>450</v>
      </c>
      <c r="F625">
        <v>6</v>
      </c>
      <c r="G625">
        <v>180</v>
      </c>
      <c r="H625">
        <v>60</v>
      </c>
      <c r="I625">
        <v>1</v>
      </c>
      <c r="J625">
        <v>1</v>
      </c>
      <c r="K625" t="s">
        <v>86</v>
      </c>
      <c r="P625">
        <v>0</v>
      </c>
      <c r="R625">
        <v>0</v>
      </c>
      <c r="T625">
        <v>0</v>
      </c>
      <c r="U625" t="b">
        <v>0</v>
      </c>
      <c r="Y625">
        <v>0</v>
      </c>
      <c r="Z625">
        <v>9</v>
      </c>
      <c r="AA625">
        <v>0</v>
      </c>
      <c r="AB625">
        <v>0</v>
      </c>
      <c r="AD625">
        <v>0</v>
      </c>
      <c r="AE625">
        <v>0</v>
      </c>
      <c r="AF625" t="b">
        <v>0</v>
      </c>
    </row>
    <row r="626" spans="1:35" x14ac:dyDescent="0.3">
      <c r="A626" t="s">
        <v>1387</v>
      </c>
      <c r="B626" t="s">
        <v>1388</v>
      </c>
      <c r="C626" t="s">
        <v>549</v>
      </c>
      <c r="D626">
        <v>98</v>
      </c>
      <c r="E626">
        <v>1530</v>
      </c>
      <c r="F626">
        <v>7</v>
      </c>
      <c r="G626">
        <v>60</v>
      </c>
      <c r="H626">
        <v>60</v>
      </c>
      <c r="I626">
        <v>1</v>
      </c>
      <c r="J626">
        <v>1</v>
      </c>
      <c r="K626" t="s">
        <v>432</v>
      </c>
      <c r="L626">
        <v>0.72099792099792104</v>
      </c>
      <c r="M626">
        <v>1</v>
      </c>
      <c r="N626">
        <v>1</v>
      </c>
      <c r="O626" t="s">
        <v>433</v>
      </c>
      <c r="P626">
        <v>0</v>
      </c>
      <c r="R626">
        <v>0</v>
      </c>
      <c r="T626">
        <v>0</v>
      </c>
      <c r="U626" t="b">
        <v>0</v>
      </c>
      <c r="V626">
        <v>0.24</v>
      </c>
      <c r="Y626">
        <v>0</v>
      </c>
      <c r="Z626">
        <v>56</v>
      </c>
      <c r="AA626">
        <v>-1.5151515151515E-3</v>
      </c>
      <c r="AB626">
        <v>-0.1071428571428571</v>
      </c>
      <c r="AC626">
        <v>-3.5087719298244999E-3</v>
      </c>
      <c r="AD626">
        <v>0</v>
      </c>
      <c r="AE626">
        <v>0</v>
      </c>
      <c r="AF626" t="b">
        <v>0</v>
      </c>
    </row>
    <row r="627" spans="1:35" x14ac:dyDescent="0.3">
      <c r="A627" t="s">
        <v>1389</v>
      </c>
      <c r="B627" t="s">
        <v>1390</v>
      </c>
      <c r="C627" t="s">
        <v>549</v>
      </c>
      <c r="D627">
        <v>69</v>
      </c>
      <c r="E627">
        <v>1660</v>
      </c>
      <c r="F627">
        <v>3</v>
      </c>
      <c r="G627">
        <v>60</v>
      </c>
      <c r="H627">
        <v>60</v>
      </c>
      <c r="I627">
        <v>1</v>
      </c>
      <c r="J627">
        <v>1</v>
      </c>
      <c r="K627" t="s">
        <v>432</v>
      </c>
      <c r="L627">
        <v>0.79387667097887016</v>
      </c>
      <c r="M627">
        <v>1</v>
      </c>
      <c r="N627">
        <v>1</v>
      </c>
      <c r="O627" t="s">
        <v>433</v>
      </c>
      <c r="P627">
        <v>0</v>
      </c>
      <c r="R627">
        <v>0</v>
      </c>
      <c r="T627">
        <v>0</v>
      </c>
      <c r="U627" t="b">
        <v>0</v>
      </c>
      <c r="V627">
        <v>0</v>
      </c>
      <c r="Y627">
        <v>0</v>
      </c>
      <c r="Z627">
        <v>73</v>
      </c>
      <c r="AA627">
        <v>0</v>
      </c>
      <c r="AB627">
        <v>0</v>
      </c>
      <c r="AC627">
        <v>0</v>
      </c>
      <c r="AD627">
        <v>0</v>
      </c>
      <c r="AE627">
        <v>0</v>
      </c>
      <c r="AF627" t="b">
        <v>0</v>
      </c>
    </row>
    <row r="628" spans="1:35" x14ac:dyDescent="0.3">
      <c r="A628" t="s">
        <v>1391</v>
      </c>
      <c r="B628" t="s">
        <v>1392</v>
      </c>
      <c r="C628" t="s">
        <v>549</v>
      </c>
      <c r="D628">
        <v>809</v>
      </c>
      <c r="E628">
        <v>16669</v>
      </c>
      <c r="F628">
        <v>14</v>
      </c>
      <c r="G628">
        <v>60</v>
      </c>
      <c r="H628">
        <v>60</v>
      </c>
      <c r="I628">
        <v>1</v>
      </c>
      <c r="J628">
        <v>1</v>
      </c>
      <c r="K628" t="s">
        <v>432</v>
      </c>
      <c r="L628">
        <v>0.82794737514369654</v>
      </c>
      <c r="M628">
        <v>1</v>
      </c>
      <c r="N628">
        <v>1</v>
      </c>
      <c r="O628" t="s">
        <v>433</v>
      </c>
      <c r="P628">
        <v>0</v>
      </c>
      <c r="R628">
        <v>0</v>
      </c>
      <c r="T628">
        <v>0</v>
      </c>
      <c r="U628" t="b">
        <v>0</v>
      </c>
      <c r="V628">
        <v>4.8029654975762774</v>
      </c>
      <c r="Y628">
        <v>0</v>
      </c>
      <c r="Z628">
        <v>492</v>
      </c>
      <c r="AA628">
        <v>7.3705881265393996E-3</v>
      </c>
      <c r="AB628">
        <v>0.58916659221537282</v>
      </c>
      <c r="AC628">
        <v>-1.5776852557272601E-2</v>
      </c>
      <c r="AD628">
        <v>1.3731865549882699E-2</v>
      </c>
      <c r="AE628">
        <v>0</v>
      </c>
      <c r="AF628" t="b">
        <v>0</v>
      </c>
    </row>
    <row r="629" spans="1:35" x14ac:dyDescent="0.3">
      <c r="A629" t="s">
        <v>1393</v>
      </c>
      <c r="B629" t="s">
        <v>1394</v>
      </c>
      <c r="C629" t="s">
        <v>549</v>
      </c>
      <c r="D629">
        <v>1175</v>
      </c>
      <c r="E629">
        <v>23853</v>
      </c>
      <c r="F629">
        <v>12</v>
      </c>
      <c r="G629">
        <v>60</v>
      </c>
      <c r="H629">
        <v>60</v>
      </c>
      <c r="I629">
        <v>1</v>
      </c>
      <c r="J629">
        <v>1</v>
      </c>
      <c r="K629" t="s">
        <v>432</v>
      </c>
      <c r="L629">
        <v>0.83754154947583737</v>
      </c>
      <c r="M629">
        <v>1</v>
      </c>
      <c r="N629">
        <v>1</v>
      </c>
      <c r="O629" t="s">
        <v>433</v>
      </c>
      <c r="P629">
        <v>0</v>
      </c>
      <c r="R629">
        <v>0</v>
      </c>
      <c r="T629">
        <v>0</v>
      </c>
      <c r="U629" t="b">
        <v>0</v>
      </c>
      <c r="V629">
        <v>7.8693009118541033</v>
      </c>
      <c r="Y629">
        <v>0</v>
      </c>
      <c r="Z629">
        <v>699</v>
      </c>
      <c r="AA629">
        <v>6.8867833873587003E-3</v>
      </c>
      <c r="AB629">
        <v>0.57653012784292756</v>
      </c>
      <c r="AC629">
        <v>-2.7488803916779499E-2</v>
      </c>
      <c r="AD629">
        <v>3.24111721313853E-2</v>
      </c>
      <c r="AE629">
        <v>0</v>
      </c>
      <c r="AF629" t="b">
        <v>0</v>
      </c>
    </row>
    <row r="630" spans="1:35" x14ac:dyDescent="0.3">
      <c r="A630" t="s">
        <v>1395</v>
      </c>
      <c r="B630" t="s">
        <v>1396</v>
      </c>
      <c r="C630" t="s">
        <v>549</v>
      </c>
      <c r="D630">
        <v>194</v>
      </c>
      <c r="E630">
        <v>3329</v>
      </c>
      <c r="F630">
        <v>7</v>
      </c>
      <c r="G630">
        <v>60</v>
      </c>
      <c r="H630">
        <v>60</v>
      </c>
      <c r="I630">
        <v>1</v>
      </c>
      <c r="J630">
        <v>1</v>
      </c>
      <c r="K630" t="s">
        <v>432</v>
      </c>
      <c r="L630">
        <v>0.72448313384113161</v>
      </c>
      <c r="M630">
        <v>1</v>
      </c>
      <c r="N630">
        <v>1</v>
      </c>
      <c r="O630" t="s">
        <v>433</v>
      </c>
      <c r="P630">
        <v>0</v>
      </c>
      <c r="R630">
        <v>0</v>
      </c>
      <c r="T630">
        <v>0</v>
      </c>
      <c r="U630" t="b">
        <v>0</v>
      </c>
      <c r="V630">
        <v>4.0476190476190483</v>
      </c>
      <c r="Y630">
        <v>0</v>
      </c>
      <c r="Z630">
        <v>159</v>
      </c>
      <c r="AA630">
        <v>4.4714778891993996E-3</v>
      </c>
      <c r="AB630">
        <v>0.36657681940700809</v>
      </c>
      <c r="AC630">
        <v>-2.4420024420023999E-3</v>
      </c>
      <c r="AD630">
        <v>8.5213032581452994E-3</v>
      </c>
      <c r="AE630">
        <v>0</v>
      </c>
      <c r="AF630" t="b">
        <v>0</v>
      </c>
    </row>
    <row r="631" spans="1:35" x14ac:dyDescent="0.3">
      <c r="A631" t="s">
        <v>1397</v>
      </c>
      <c r="B631" t="s">
        <v>1398</v>
      </c>
      <c r="C631" t="s">
        <v>549</v>
      </c>
      <c r="D631">
        <v>139</v>
      </c>
      <c r="E631">
        <v>5243</v>
      </c>
      <c r="F631">
        <v>3</v>
      </c>
      <c r="G631">
        <v>60</v>
      </c>
      <c r="H631">
        <v>60</v>
      </c>
      <c r="I631">
        <v>1</v>
      </c>
      <c r="J631">
        <v>1</v>
      </c>
      <c r="K631" t="s">
        <v>432</v>
      </c>
      <c r="L631">
        <v>0.88193322563274101</v>
      </c>
      <c r="M631">
        <v>1</v>
      </c>
      <c r="N631">
        <v>1</v>
      </c>
      <c r="O631" t="s">
        <v>433</v>
      </c>
      <c r="P631">
        <v>0</v>
      </c>
      <c r="R631">
        <v>0</v>
      </c>
      <c r="T631">
        <v>0</v>
      </c>
      <c r="U631" t="b">
        <v>0</v>
      </c>
      <c r="V631">
        <v>3.5</v>
      </c>
      <c r="Y631">
        <v>0</v>
      </c>
      <c r="Z631">
        <v>217</v>
      </c>
      <c r="AA631">
        <v>1.25715339047666E-2</v>
      </c>
      <c r="AB631">
        <v>0.8231292517006803</v>
      </c>
      <c r="AC631">
        <v>5.7355064988651996E-3</v>
      </c>
      <c r="AD631">
        <v>8.6371864494439992E-3</v>
      </c>
      <c r="AE631">
        <v>0</v>
      </c>
      <c r="AF631" t="b">
        <v>0</v>
      </c>
    </row>
    <row r="632" spans="1:35" x14ac:dyDescent="0.3">
      <c r="A632" t="s">
        <v>1399</v>
      </c>
      <c r="B632" t="s">
        <v>1400</v>
      </c>
      <c r="C632" t="s">
        <v>549</v>
      </c>
      <c r="D632">
        <v>3194</v>
      </c>
      <c r="E632">
        <v>95670</v>
      </c>
      <c r="F632">
        <v>14</v>
      </c>
      <c r="G632">
        <v>60</v>
      </c>
      <c r="H632">
        <v>60</v>
      </c>
      <c r="I632">
        <v>1</v>
      </c>
      <c r="J632">
        <v>1</v>
      </c>
      <c r="K632" t="s">
        <v>432</v>
      </c>
      <c r="L632">
        <v>0.85786210660953022</v>
      </c>
      <c r="M632">
        <v>1</v>
      </c>
      <c r="N632">
        <v>1</v>
      </c>
      <c r="O632" t="s">
        <v>433</v>
      </c>
      <c r="P632">
        <v>0</v>
      </c>
      <c r="R632">
        <v>0</v>
      </c>
      <c r="T632">
        <v>0</v>
      </c>
      <c r="U632" t="b">
        <v>0</v>
      </c>
      <c r="V632">
        <v>10.89582548845612</v>
      </c>
      <c r="Y632">
        <v>0</v>
      </c>
      <c r="Z632">
        <v>2520</v>
      </c>
      <c r="AA632">
        <v>3.7066979805950098E-2</v>
      </c>
      <c r="AB632">
        <v>2.8744615662795141</v>
      </c>
      <c r="AC632">
        <v>-3.8064276965152198E-6</v>
      </c>
      <c r="AD632">
        <v>8.3640854447001797E-2</v>
      </c>
      <c r="AE632">
        <v>0</v>
      </c>
      <c r="AF632" t="b">
        <v>0</v>
      </c>
    </row>
    <row r="633" spans="1:35" x14ac:dyDescent="0.3">
      <c r="A633" t="s">
        <v>1401</v>
      </c>
      <c r="B633" t="s">
        <v>1402</v>
      </c>
      <c r="C633" t="s">
        <v>549</v>
      </c>
      <c r="D633">
        <v>287</v>
      </c>
      <c r="E633">
        <v>5107</v>
      </c>
      <c r="F633">
        <v>19</v>
      </c>
      <c r="G633">
        <v>60</v>
      </c>
      <c r="H633">
        <v>60</v>
      </c>
      <c r="I633">
        <v>1</v>
      </c>
      <c r="J633">
        <v>1</v>
      </c>
      <c r="K633" t="s">
        <v>432</v>
      </c>
      <c r="L633">
        <v>0.75722882724203733</v>
      </c>
      <c r="M633">
        <v>1</v>
      </c>
      <c r="N633">
        <v>1</v>
      </c>
      <c r="O633" t="s">
        <v>433</v>
      </c>
      <c r="P633">
        <v>0</v>
      </c>
      <c r="R633">
        <v>0</v>
      </c>
      <c r="T633">
        <v>0</v>
      </c>
      <c r="U633" t="b">
        <v>0</v>
      </c>
      <c r="V633">
        <v>1.666666666666667</v>
      </c>
      <c r="Y633">
        <v>0</v>
      </c>
      <c r="Z633">
        <v>126</v>
      </c>
      <c r="AA633">
        <v>-1.7369951068017201E-2</v>
      </c>
      <c r="AB633">
        <v>-1.4542705971277401</v>
      </c>
      <c r="AC633">
        <v>-7.6429980276134001E-3</v>
      </c>
      <c r="AD633">
        <v>-3.3055298115538999E-2</v>
      </c>
      <c r="AE633">
        <v>0</v>
      </c>
      <c r="AF633" t="b">
        <v>0</v>
      </c>
    </row>
    <row r="634" spans="1:35" x14ac:dyDescent="0.3">
      <c r="A634" t="s">
        <v>1403</v>
      </c>
      <c r="B634" t="s">
        <v>1404</v>
      </c>
      <c r="C634" t="s">
        <v>431</v>
      </c>
      <c r="D634">
        <v>1921</v>
      </c>
      <c r="E634">
        <v>27725</v>
      </c>
      <c r="F634">
        <v>44</v>
      </c>
      <c r="G634">
        <v>60</v>
      </c>
      <c r="H634">
        <v>60</v>
      </c>
      <c r="I634">
        <v>1</v>
      </c>
      <c r="J634">
        <v>1</v>
      </c>
      <c r="K634" t="s">
        <v>432</v>
      </c>
      <c r="L634">
        <v>0.79296778276061297</v>
      </c>
      <c r="M634">
        <v>1</v>
      </c>
      <c r="N634">
        <v>1</v>
      </c>
      <c r="O634" t="s">
        <v>433</v>
      </c>
      <c r="P634">
        <v>0</v>
      </c>
      <c r="R634">
        <v>0</v>
      </c>
      <c r="T634">
        <v>0</v>
      </c>
      <c r="U634" t="b">
        <v>0</v>
      </c>
      <c r="V634">
        <v>10.851776551457061</v>
      </c>
      <c r="Y634">
        <v>0</v>
      </c>
      <c r="Z634">
        <v>797</v>
      </c>
      <c r="AA634">
        <v>7.3053711247017001E-3</v>
      </c>
      <c r="AB634">
        <v>0.65992027435385092</v>
      </c>
      <c r="AC634">
        <v>-3.3508358233591502E-2</v>
      </c>
      <c r="AD634">
        <v>3.8221920967894202E-2</v>
      </c>
      <c r="AE634">
        <v>0</v>
      </c>
      <c r="AF634" t="b">
        <v>0</v>
      </c>
    </row>
    <row r="635" spans="1:35" x14ac:dyDescent="0.3">
      <c r="A635" t="s">
        <v>1405</v>
      </c>
      <c r="B635" t="s">
        <v>1406</v>
      </c>
      <c r="C635" t="s">
        <v>549</v>
      </c>
      <c r="D635">
        <v>456</v>
      </c>
      <c r="E635">
        <v>6637</v>
      </c>
      <c r="F635">
        <v>5</v>
      </c>
      <c r="G635">
        <v>60</v>
      </c>
      <c r="H635">
        <v>60</v>
      </c>
      <c r="I635">
        <v>1</v>
      </c>
      <c r="J635">
        <v>1</v>
      </c>
      <c r="K635" t="s">
        <v>432</v>
      </c>
      <c r="L635">
        <v>0.71487649491449645</v>
      </c>
      <c r="M635">
        <v>1</v>
      </c>
      <c r="N635">
        <v>1</v>
      </c>
      <c r="O635" t="s">
        <v>433</v>
      </c>
      <c r="P635">
        <v>0</v>
      </c>
      <c r="R635">
        <v>0</v>
      </c>
      <c r="T635">
        <v>0</v>
      </c>
      <c r="U635" t="b">
        <v>0</v>
      </c>
      <c r="V635">
        <v>11.84246575342466</v>
      </c>
      <c r="Y635">
        <v>0</v>
      </c>
      <c r="Z635">
        <v>171</v>
      </c>
      <c r="AA635">
        <v>3.2738143423806799E-2</v>
      </c>
      <c r="AB635">
        <v>2.866661603503708</v>
      </c>
      <c r="AC635">
        <v>6.5405405405404996E-3</v>
      </c>
      <c r="AD635">
        <v>5.2942618930848402E-2</v>
      </c>
      <c r="AE635">
        <v>0</v>
      </c>
      <c r="AF635" t="b">
        <v>0</v>
      </c>
    </row>
    <row r="636" spans="1:35" x14ac:dyDescent="0.3">
      <c r="A636" t="s">
        <v>1407</v>
      </c>
      <c r="B636" t="s">
        <v>1408</v>
      </c>
      <c r="C636" t="s">
        <v>431</v>
      </c>
      <c r="D636">
        <v>144</v>
      </c>
      <c r="E636">
        <v>3859</v>
      </c>
      <c r="F636">
        <v>142</v>
      </c>
      <c r="G636">
        <v>62</v>
      </c>
      <c r="H636">
        <v>1</v>
      </c>
      <c r="I636">
        <v>4.0424980564913102E-2</v>
      </c>
      <c r="J636">
        <v>0.29278041468898319</v>
      </c>
      <c r="K636" t="s">
        <v>432</v>
      </c>
      <c r="L636">
        <v>0.71846115413439915</v>
      </c>
      <c r="M636">
        <v>1</v>
      </c>
      <c r="N636">
        <v>1.5646731571627201E-2</v>
      </c>
      <c r="O636" t="s">
        <v>433</v>
      </c>
      <c r="P636">
        <v>2831</v>
      </c>
      <c r="Q636">
        <v>0.85446838572942418</v>
      </c>
      <c r="R636">
        <v>0</v>
      </c>
      <c r="T636">
        <v>0</v>
      </c>
      <c r="U636" t="b">
        <v>0</v>
      </c>
      <c r="V636">
        <v>11.5</v>
      </c>
      <c r="Y636">
        <v>0</v>
      </c>
      <c r="Z636">
        <v>219</v>
      </c>
      <c r="AA636">
        <v>-1.17930204572803E-2</v>
      </c>
      <c r="AB636">
        <v>-0.89497716894977164</v>
      </c>
      <c r="AC636">
        <v>-0.18518518518518509</v>
      </c>
      <c r="AD636">
        <v>-7.1604938271604898E-2</v>
      </c>
      <c r="AE636">
        <v>0</v>
      </c>
      <c r="AF636" t="b">
        <v>0</v>
      </c>
    </row>
    <row r="637" spans="1:35" x14ac:dyDescent="0.3">
      <c r="A637" t="s">
        <v>1409</v>
      </c>
      <c r="B637" t="s">
        <v>1410</v>
      </c>
      <c r="C637" t="s">
        <v>549</v>
      </c>
      <c r="D637">
        <v>491</v>
      </c>
      <c r="E637">
        <v>10764</v>
      </c>
      <c r="F637">
        <v>49</v>
      </c>
      <c r="G637">
        <v>42</v>
      </c>
      <c r="H637">
        <v>1</v>
      </c>
      <c r="I637">
        <v>0.1488294314381271</v>
      </c>
      <c r="J637">
        <v>0.33732163431711421</v>
      </c>
      <c r="K637" t="s">
        <v>432</v>
      </c>
      <c r="L637">
        <v>0.78294779757156785</v>
      </c>
      <c r="M637">
        <v>0.99959167006941596</v>
      </c>
      <c r="N637">
        <v>0.15372424722662439</v>
      </c>
      <c r="O637" t="s">
        <v>433</v>
      </c>
      <c r="P637">
        <v>7476</v>
      </c>
      <c r="Q637">
        <v>2.8624933119315101E-2</v>
      </c>
      <c r="R637">
        <v>0</v>
      </c>
      <c r="T637">
        <v>0</v>
      </c>
      <c r="U637" t="b">
        <v>0</v>
      </c>
      <c r="V637">
        <v>4.4389818688981864</v>
      </c>
      <c r="Y637">
        <v>0</v>
      </c>
      <c r="Z637">
        <v>272</v>
      </c>
      <c r="AA637">
        <v>-4.2943857325042E-3</v>
      </c>
      <c r="AB637">
        <v>-0.2193711619263092</v>
      </c>
      <c r="AC637">
        <v>3.6367219850172001E-3</v>
      </c>
      <c r="AD637">
        <v>-9.1325022490682008E-3</v>
      </c>
      <c r="AE637">
        <v>0</v>
      </c>
      <c r="AF637" t="b">
        <v>0</v>
      </c>
    </row>
    <row r="638" spans="1:35" x14ac:dyDescent="0.3">
      <c r="A638" t="s">
        <v>1411</v>
      </c>
      <c r="B638" t="s">
        <v>1412</v>
      </c>
      <c r="C638" t="s">
        <v>671</v>
      </c>
      <c r="D638">
        <v>56855</v>
      </c>
      <c r="E638">
        <v>1462001</v>
      </c>
      <c r="F638">
        <v>1054</v>
      </c>
      <c r="G638">
        <v>123</v>
      </c>
      <c r="H638">
        <v>1</v>
      </c>
      <c r="I638">
        <v>2.22728985821487E-2</v>
      </c>
      <c r="J638">
        <v>7.8960845752804196E-2</v>
      </c>
      <c r="K638" t="s">
        <v>86</v>
      </c>
      <c r="P638">
        <v>0</v>
      </c>
      <c r="R638">
        <v>0</v>
      </c>
      <c r="T638">
        <v>0</v>
      </c>
      <c r="U638" t="b">
        <v>0</v>
      </c>
      <c r="V638">
        <v>6.4269201412045103</v>
      </c>
      <c r="Y638">
        <v>0</v>
      </c>
      <c r="Z638">
        <v>21958</v>
      </c>
      <c r="AA638">
        <v>1.3129725189888201E-2</v>
      </c>
      <c r="AB638">
        <v>1.8751400115950749</v>
      </c>
      <c r="AC638">
        <v>-5.7339727563292999E-3</v>
      </c>
      <c r="AD638">
        <v>2.6269456486397301E-2</v>
      </c>
      <c r="AE638">
        <v>0</v>
      </c>
      <c r="AF638" t="b">
        <v>0</v>
      </c>
    </row>
    <row r="639" spans="1:35" x14ac:dyDescent="0.3">
      <c r="A639" t="s">
        <v>1413</v>
      </c>
      <c r="B639" t="s">
        <v>1414</v>
      </c>
      <c r="C639" t="s">
        <v>428</v>
      </c>
      <c r="D639">
        <v>750</v>
      </c>
      <c r="E639">
        <v>14523</v>
      </c>
      <c r="F639">
        <v>6</v>
      </c>
      <c r="G639">
        <v>120</v>
      </c>
      <c r="H639">
        <v>60</v>
      </c>
      <c r="I639">
        <v>1</v>
      </c>
      <c r="J639">
        <v>1</v>
      </c>
      <c r="K639" t="s">
        <v>86</v>
      </c>
      <c r="P639">
        <v>0</v>
      </c>
      <c r="R639">
        <v>0</v>
      </c>
      <c r="T639">
        <v>1</v>
      </c>
      <c r="U639" t="b">
        <v>1</v>
      </c>
      <c r="V639">
        <v>2.4626038781163442</v>
      </c>
      <c r="W639">
        <v>9.8039215686274495E-2</v>
      </c>
      <c r="X639" t="b">
        <v>1</v>
      </c>
      <c r="Y639">
        <v>0</v>
      </c>
      <c r="Z639">
        <v>437</v>
      </c>
      <c r="AA639">
        <v>1.57716575457264E-2</v>
      </c>
      <c r="AB639">
        <v>1.520084796972669</v>
      </c>
      <c r="AC639">
        <v>3.07372034520462E-2</v>
      </c>
      <c r="AD639">
        <v>5.5303658884544001E-3</v>
      </c>
      <c r="AE639">
        <v>1</v>
      </c>
      <c r="AF639" t="b">
        <v>1</v>
      </c>
      <c r="AG639">
        <v>-1.7642642642642599E-2</v>
      </c>
      <c r="AH639">
        <v>-1.910569105691057</v>
      </c>
      <c r="AI639" t="b">
        <v>1</v>
      </c>
    </row>
    <row r="640" spans="1:35" x14ac:dyDescent="0.3">
      <c r="A640" t="s">
        <v>1415</v>
      </c>
      <c r="B640" t="s">
        <v>711</v>
      </c>
      <c r="C640" t="s">
        <v>428</v>
      </c>
      <c r="D640">
        <v>2334</v>
      </c>
      <c r="E640">
        <v>42429</v>
      </c>
      <c r="F640">
        <v>7</v>
      </c>
      <c r="G640">
        <v>60</v>
      </c>
      <c r="H640">
        <v>60</v>
      </c>
      <c r="I640">
        <v>1</v>
      </c>
      <c r="J640">
        <v>1</v>
      </c>
      <c r="K640" t="s">
        <v>86</v>
      </c>
      <c r="P640">
        <v>0</v>
      </c>
      <c r="R640">
        <v>0</v>
      </c>
      <c r="T640">
        <v>0</v>
      </c>
      <c r="U640" t="b">
        <v>0</v>
      </c>
      <c r="V640">
        <v>1.1950970377936669</v>
      </c>
      <c r="Y640">
        <v>0</v>
      </c>
      <c r="Z640">
        <v>1096</v>
      </c>
      <c r="AA640">
        <v>6.2459865576436997E-3</v>
      </c>
      <c r="AB640">
        <v>0.57051616266944727</v>
      </c>
      <c r="AC640">
        <v>4.1976105908944003E-3</v>
      </c>
      <c r="AD640">
        <v>9.2205425109895996E-3</v>
      </c>
      <c r="AE640">
        <v>0</v>
      </c>
      <c r="AF640" t="b">
        <v>0</v>
      </c>
    </row>
    <row r="641" spans="1:32" x14ac:dyDescent="0.3">
      <c r="A641" t="s">
        <v>1416</v>
      </c>
      <c r="B641" t="s">
        <v>1417</v>
      </c>
      <c r="C641" t="s">
        <v>549</v>
      </c>
      <c r="D641">
        <v>73</v>
      </c>
      <c r="E641">
        <v>2064</v>
      </c>
      <c r="F641">
        <v>5</v>
      </c>
      <c r="G641">
        <v>60</v>
      </c>
      <c r="H641">
        <v>60</v>
      </c>
      <c r="I641">
        <v>1</v>
      </c>
      <c r="J641">
        <v>1</v>
      </c>
      <c r="K641" t="s">
        <v>86</v>
      </c>
      <c r="P641">
        <v>0</v>
      </c>
      <c r="R641">
        <v>0</v>
      </c>
      <c r="T641">
        <v>0</v>
      </c>
      <c r="U641" t="b">
        <v>0</v>
      </c>
      <c r="V641">
        <v>5.4545454545454541</v>
      </c>
      <c r="Y641">
        <v>0</v>
      </c>
      <c r="Z641">
        <v>8</v>
      </c>
      <c r="AA641">
        <v>0.1759259259259259</v>
      </c>
      <c r="AB641">
        <v>11.875</v>
      </c>
      <c r="AE641">
        <v>0</v>
      </c>
      <c r="AF641" t="b">
        <v>0</v>
      </c>
    </row>
    <row r="642" spans="1:32" x14ac:dyDescent="0.3">
      <c r="A642" t="s">
        <v>1418</v>
      </c>
      <c r="B642" t="s">
        <v>1419</v>
      </c>
      <c r="C642" t="s">
        <v>573</v>
      </c>
      <c r="D642">
        <v>3954</v>
      </c>
      <c r="E642">
        <v>62004</v>
      </c>
      <c r="F642">
        <v>42</v>
      </c>
      <c r="G642">
        <v>120</v>
      </c>
      <c r="H642">
        <v>60</v>
      </c>
      <c r="I642">
        <v>1</v>
      </c>
      <c r="J642">
        <v>1</v>
      </c>
      <c r="K642" t="s">
        <v>432</v>
      </c>
      <c r="L642">
        <v>2.2721264283406199E-2</v>
      </c>
      <c r="M642">
        <v>1</v>
      </c>
      <c r="N642">
        <v>1</v>
      </c>
      <c r="O642" t="s">
        <v>433</v>
      </c>
      <c r="P642">
        <v>0</v>
      </c>
      <c r="R642">
        <v>0</v>
      </c>
      <c r="T642">
        <v>0</v>
      </c>
      <c r="U642" t="b">
        <v>0</v>
      </c>
      <c r="V642">
        <v>9.8064155165982836</v>
      </c>
      <c r="Y642">
        <v>0</v>
      </c>
      <c r="Z642">
        <v>1247</v>
      </c>
      <c r="AA642">
        <v>2.33101593157162E-2</v>
      </c>
      <c r="AB642">
        <v>4.0962778200147891</v>
      </c>
      <c r="AC642">
        <v>3.75899058118895E-2</v>
      </c>
      <c r="AD642">
        <v>2.0722841113668001E-2</v>
      </c>
      <c r="AE642">
        <v>0</v>
      </c>
      <c r="AF642" t="b">
        <v>0</v>
      </c>
    </row>
    <row r="643" spans="1:32" x14ac:dyDescent="0.3">
      <c r="A643" t="s">
        <v>1420</v>
      </c>
      <c r="B643" t="s">
        <v>1421</v>
      </c>
      <c r="C643" t="s">
        <v>85</v>
      </c>
      <c r="D643">
        <v>85</v>
      </c>
      <c r="E643">
        <v>1960</v>
      </c>
      <c r="F643">
        <v>10</v>
      </c>
      <c r="G643">
        <v>60</v>
      </c>
      <c r="H643">
        <v>60</v>
      </c>
      <c r="I643">
        <v>1</v>
      </c>
      <c r="J643">
        <v>1</v>
      </c>
      <c r="K643" t="s">
        <v>86</v>
      </c>
      <c r="P643">
        <v>0</v>
      </c>
      <c r="R643">
        <v>0</v>
      </c>
      <c r="T643">
        <v>0</v>
      </c>
      <c r="U643" t="b">
        <v>0</v>
      </c>
      <c r="Y643">
        <v>0</v>
      </c>
      <c r="Z643">
        <v>0</v>
      </c>
      <c r="AE643">
        <v>0</v>
      </c>
      <c r="AF643" t="b">
        <v>0</v>
      </c>
    </row>
    <row r="644" spans="1:32" x14ac:dyDescent="0.3">
      <c r="A644" t="s">
        <v>1422</v>
      </c>
      <c r="B644" t="s">
        <v>1423</v>
      </c>
      <c r="C644" t="s">
        <v>431</v>
      </c>
      <c r="D644">
        <v>114</v>
      </c>
      <c r="E644">
        <v>1079</v>
      </c>
      <c r="F644">
        <v>36</v>
      </c>
      <c r="G644">
        <v>300</v>
      </c>
      <c r="H644">
        <v>60</v>
      </c>
      <c r="I644">
        <v>1</v>
      </c>
      <c r="J644">
        <v>1</v>
      </c>
      <c r="K644" t="s">
        <v>432</v>
      </c>
      <c r="L644">
        <v>4.0278853601858997E-2</v>
      </c>
      <c r="M644">
        <v>1</v>
      </c>
      <c r="O644" t="s">
        <v>433</v>
      </c>
      <c r="P644">
        <v>0</v>
      </c>
      <c r="R644">
        <v>0</v>
      </c>
      <c r="T644">
        <v>0</v>
      </c>
      <c r="U644" t="b">
        <v>0</v>
      </c>
      <c r="Y644">
        <v>4.0278853601858997E-2</v>
      </c>
      <c r="Z644">
        <v>20</v>
      </c>
      <c r="AA644">
        <v>-2.1449704142011802E-2</v>
      </c>
      <c r="AB644">
        <v>-7.25</v>
      </c>
      <c r="AE644">
        <v>0</v>
      </c>
      <c r="AF644" t="b">
        <v>0</v>
      </c>
    </row>
    <row r="645" spans="1:32" x14ac:dyDescent="0.3">
      <c r="A645" t="s">
        <v>1424</v>
      </c>
      <c r="B645" t="s">
        <v>1425</v>
      </c>
      <c r="C645" t="s">
        <v>431</v>
      </c>
      <c r="D645">
        <v>181</v>
      </c>
      <c r="E645">
        <v>27</v>
      </c>
      <c r="F645">
        <v>2</v>
      </c>
      <c r="G645">
        <v>2400</v>
      </c>
      <c r="I645">
        <v>1</v>
      </c>
      <c r="J645">
        <v>1</v>
      </c>
      <c r="K645" t="s">
        <v>86</v>
      </c>
      <c r="P645">
        <v>0</v>
      </c>
      <c r="R645">
        <v>0</v>
      </c>
      <c r="T645">
        <v>0</v>
      </c>
      <c r="U645" t="b">
        <v>0</v>
      </c>
      <c r="Y645">
        <v>0</v>
      </c>
      <c r="Z645">
        <v>0</v>
      </c>
      <c r="AE645">
        <v>0</v>
      </c>
      <c r="AF645" t="b">
        <v>0</v>
      </c>
    </row>
    <row r="646" spans="1:32" x14ac:dyDescent="0.3">
      <c r="A646" t="s">
        <v>1426</v>
      </c>
      <c r="B646" t="s">
        <v>1427</v>
      </c>
      <c r="C646" t="s">
        <v>549</v>
      </c>
      <c r="D646">
        <v>3906</v>
      </c>
      <c r="E646">
        <v>176187</v>
      </c>
      <c r="F646">
        <v>205</v>
      </c>
      <c r="G646">
        <v>42</v>
      </c>
      <c r="H646">
        <v>1</v>
      </c>
      <c r="I646">
        <v>2.4315074324439301E-2</v>
      </c>
      <c r="J646">
        <v>0.20002998450800419</v>
      </c>
      <c r="K646" t="s">
        <v>86</v>
      </c>
      <c r="P646">
        <v>0</v>
      </c>
      <c r="R646">
        <v>0</v>
      </c>
      <c r="T646">
        <v>0</v>
      </c>
      <c r="U646" t="b">
        <v>0</v>
      </c>
      <c r="V646">
        <v>4.1377610271683132</v>
      </c>
      <c r="Y646">
        <v>0</v>
      </c>
      <c r="Z646">
        <v>2800</v>
      </c>
      <c r="AA646">
        <v>2.63850022691537E-2</v>
      </c>
      <c r="AB646">
        <v>1.356827307177803</v>
      </c>
      <c r="AC646">
        <v>-7.5671038409624997E-3</v>
      </c>
      <c r="AD646">
        <v>5.82687752938831E-2</v>
      </c>
      <c r="AE646">
        <v>0</v>
      </c>
      <c r="AF646" t="b">
        <v>0</v>
      </c>
    </row>
    <row r="647" spans="1:32" x14ac:dyDescent="0.3">
      <c r="A647" t="s">
        <v>1428</v>
      </c>
      <c r="B647" t="s">
        <v>1429</v>
      </c>
      <c r="C647" t="s">
        <v>431</v>
      </c>
      <c r="D647">
        <v>346</v>
      </c>
      <c r="E647">
        <v>3309</v>
      </c>
      <c r="F647">
        <v>24</v>
      </c>
      <c r="G647">
        <v>60</v>
      </c>
      <c r="H647">
        <v>60</v>
      </c>
      <c r="I647">
        <v>1</v>
      </c>
      <c r="J647">
        <v>1</v>
      </c>
      <c r="K647" t="s">
        <v>432</v>
      </c>
      <c r="L647">
        <v>0.80252339098383896</v>
      </c>
      <c r="M647">
        <v>1</v>
      </c>
      <c r="N647">
        <v>1</v>
      </c>
      <c r="O647" t="s">
        <v>433</v>
      </c>
      <c r="P647">
        <v>0</v>
      </c>
      <c r="R647">
        <v>0</v>
      </c>
      <c r="T647">
        <v>0</v>
      </c>
      <c r="U647" t="b">
        <v>0</v>
      </c>
      <c r="V647">
        <v>4.0476190476190483</v>
      </c>
      <c r="Y647">
        <v>0.26495605330309041</v>
      </c>
      <c r="Z647">
        <v>109</v>
      </c>
      <c r="AA647">
        <v>3.39171350150307E-2</v>
      </c>
      <c r="AB647">
        <v>3.4010484927916118</v>
      </c>
      <c r="AC647">
        <v>1.0615711252653899E-2</v>
      </c>
      <c r="AD647">
        <v>-1.2755102040816E-3</v>
      </c>
      <c r="AE647">
        <v>0</v>
      </c>
      <c r="AF647" t="b">
        <v>0</v>
      </c>
    </row>
    <row r="648" spans="1:32" x14ac:dyDescent="0.3">
      <c r="A648" t="s">
        <v>1430</v>
      </c>
      <c r="B648" t="s">
        <v>1431</v>
      </c>
      <c r="C648" t="s">
        <v>754</v>
      </c>
      <c r="D648">
        <v>1558</v>
      </c>
      <c r="E648">
        <v>66028</v>
      </c>
      <c r="F648">
        <v>320</v>
      </c>
      <c r="G648">
        <v>41</v>
      </c>
      <c r="H648">
        <v>1</v>
      </c>
      <c r="I648">
        <v>9.0870539771005995E-3</v>
      </c>
      <c r="J648">
        <v>5.8991507116858501E-2</v>
      </c>
      <c r="K648" t="s">
        <v>86</v>
      </c>
      <c r="P648">
        <v>0</v>
      </c>
      <c r="R648">
        <v>0</v>
      </c>
      <c r="T648">
        <v>0</v>
      </c>
      <c r="U648" t="b">
        <v>0</v>
      </c>
      <c r="V648">
        <v>0.56280525030525019</v>
      </c>
      <c r="Y648">
        <v>0</v>
      </c>
      <c r="Z648">
        <v>2268</v>
      </c>
      <c r="AA648">
        <v>-2.7614767485922001E-3</v>
      </c>
      <c r="AB648">
        <v>-0.1450208081160462</v>
      </c>
      <c r="AC648">
        <v>3.3803970601134999E-3</v>
      </c>
      <c r="AD648">
        <v>-5.9619108697957996E-3</v>
      </c>
      <c r="AE648">
        <v>0</v>
      </c>
      <c r="AF648" t="b">
        <v>0</v>
      </c>
    </row>
    <row r="649" spans="1:32" x14ac:dyDescent="0.3">
      <c r="A649" t="s">
        <v>1432</v>
      </c>
      <c r="B649" t="s">
        <v>1433</v>
      </c>
      <c r="C649" t="s">
        <v>1434</v>
      </c>
      <c r="D649">
        <v>8048</v>
      </c>
      <c r="E649">
        <v>427543</v>
      </c>
      <c r="F649">
        <v>604</v>
      </c>
      <c r="G649">
        <v>61</v>
      </c>
      <c r="H649">
        <v>1</v>
      </c>
      <c r="I649">
        <v>6.8753318379671705E-2</v>
      </c>
      <c r="J649">
        <v>0.14462420022452249</v>
      </c>
      <c r="K649" t="s">
        <v>432</v>
      </c>
      <c r="L649">
        <v>0.388910698338579</v>
      </c>
      <c r="M649">
        <v>0.22606833593177669</v>
      </c>
      <c r="N649">
        <v>1.6652302751968599E-2</v>
      </c>
      <c r="O649" t="s">
        <v>518</v>
      </c>
      <c r="P649">
        <v>166585</v>
      </c>
      <c r="Q649">
        <v>7.7029744574841602E-2</v>
      </c>
      <c r="R649">
        <v>199907</v>
      </c>
      <c r="S649">
        <v>7.8516510177232393E-2</v>
      </c>
      <c r="T649">
        <v>0</v>
      </c>
      <c r="U649" t="b">
        <v>0</v>
      </c>
      <c r="V649">
        <v>13.91020839064352</v>
      </c>
      <c r="Y649">
        <v>0</v>
      </c>
      <c r="Z649">
        <v>7338</v>
      </c>
      <c r="AA649">
        <v>5.5039173933147403E-2</v>
      </c>
      <c r="AB649">
        <v>4.2473351658760228</v>
      </c>
      <c r="AC649">
        <v>-1.4136697863015101E-2</v>
      </c>
      <c r="AD649">
        <v>0.1144492951504499</v>
      </c>
      <c r="AE649">
        <v>0</v>
      </c>
      <c r="AF649" t="b">
        <v>0</v>
      </c>
    </row>
    <row r="650" spans="1:32" x14ac:dyDescent="0.3">
      <c r="A650" t="s">
        <v>1435</v>
      </c>
      <c r="B650" t="s">
        <v>1436</v>
      </c>
      <c r="C650" t="s">
        <v>1434</v>
      </c>
      <c r="D650">
        <v>6665</v>
      </c>
      <c r="E650">
        <v>163378</v>
      </c>
      <c r="F650">
        <v>97</v>
      </c>
      <c r="G650">
        <v>90</v>
      </c>
      <c r="H650">
        <v>30</v>
      </c>
      <c r="I650">
        <v>0.52993059040996948</v>
      </c>
      <c r="J650">
        <v>0.57190566625704831</v>
      </c>
      <c r="K650" t="s">
        <v>86</v>
      </c>
      <c r="P650">
        <v>0</v>
      </c>
      <c r="R650">
        <v>0</v>
      </c>
      <c r="T650">
        <v>0</v>
      </c>
      <c r="U650" t="b">
        <v>0</v>
      </c>
      <c r="V650">
        <v>22.769794129078289</v>
      </c>
      <c r="Y650">
        <v>0</v>
      </c>
      <c r="Z650">
        <v>4092</v>
      </c>
      <c r="AA650">
        <v>5.21171231770136E-2</v>
      </c>
      <c r="AB650">
        <v>6.8478862525434412</v>
      </c>
      <c r="AC650">
        <v>-7.1885653100975996E-3</v>
      </c>
      <c r="AD650">
        <v>0.1132163881077352</v>
      </c>
      <c r="AE650">
        <v>0</v>
      </c>
      <c r="AF650" t="b">
        <v>0</v>
      </c>
    </row>
    <row r="651" spans="1:32" x14ac:dyDescent="0.3">
      <c r="A651" t="s">
        <v>1437</v>
      </c>
      <c r="B651" t="s">
        <v>1438</v>
      </c>
      <c r="C651" t="s">
        <v>1434</v>
      </c>
      <c r="D651">
        <v>2547</v>
      </c>
      <c r="E651">
        <v>92847</v>
      </c>
      <c r="F651">
        <v>36</v>
      </c>
      <c r="G651">
        <v>60</v>
      </c>
      <c r="H651">
        <v>60</v>
      </c>
      <c r="I651">
        <v>1</v>
      </c>
      <c r="J651">
        <v>1</v>
      </c>
      <c r="K651" t="s">
        <v>432</v>
      </c>
      <c r="L651">
        <v>0.77195753997949057</v>
      </c>
      <c r="M651">
        <v>1</v>
      </c>
      <c r="N651">
        <v>1</v>
      </c>
      <c r="O651" t="s">
        <v>518</v>
      </c>
      <c r="P651">
        <v>0</v>
      </c>
      <c r="R651">
        <v>0</v>
      </c>
      <c r="T651">
        <v>0</v>
      </c>
      <c r="U651" t="b">
        <v>0</v>
      </c>
      <c r="V651">
        <v>22.861130765702612</v>
      </c>
      <c r="Y651">
        <v>0</v>
      </c>
      <c r="Z651">
        <v>2144</v>
      </c>
      <c r="AA651">
        <v>0.1198676679614451</v>
      </c>
      <c r="AB651">
        <v>11.228639316328159</v>
      </c>
      <c r="AC651">
        <v>9.0081068501989395E-2</v>
      </c>
      <c r="AD651">
        <v>0.16236536801770629</v>
      </c>
      <c r="AE651">
        <v>0</v>
      </c>
      <c r="AF651" t="b">
        <v>0</v>
      </c>
    </row>
    <row r="652" spans="1:32" x14ac:dyDescent="0.3">
      <c r="A652" t="s">
        <v>1439</v>
      </c>
      <c r="B652" t="s">
        <v>1440</v>
      </c>
      <c r="C652" t="s">
        <v>431</v>
      </c>
      <c r="D652">
        <v>136</v>
      </c>
      <c r="E652">
        <v>420</v>
      </c>
      <c r="F652">
        <v>18</v>
      </c>
      <c r="G652">
        <v>480</v>
      </c>
      <c r="H652">
        <v>60</v>
      </c>
      <c r="I652">
        <v>1</v>
      </c>
      <c r="J652">
        <v>1</v>
      </c>
      <c r="K652" t="s">
        <v>432</v>
      </c>
      <c r="L652">
        <v>0.39755884917175238</v>
      </c>
      <c r="M652">
        <v>1</v>
      </c>
      <c r="N652">
        <v>1</v>
      </c>
      <c r="O652" t="s">
        <v>433</v>
      </c>
      <c r="P652">
        <v>0</v>
      </c>
      <c r="R652">
        <v>0</v>
      </c>
      <c r="T652">
        <v>0</v>
      </c>
      <c r="U652" t="b">
        <v>0</v>
      </c>
      <c r="Y652">
        <v>0.3740191804707933</v>
      </c>
      <c r="Z652">
        <v>17</v>
      </c>
      <c r="AA652">
        <v>7.1428571428571001E-3</v>
      </c>
      <c r="AB652">
        <v>3.5294117647058818</v>
      </c>
      <c r="AE652">
        <v>0</v>
      </c>
      <c r="AF652" t="b">
        <v>0</v>
      </c>
    </row>
    <row r="653" spans="1:32" x14ac:dyDescent="0.3">
      <c r="A653" t="s">
        <v>1441</v>
      </c>
      <c r="B653" t="s">
        <v>1442</v>
      </c>
      <c r="C653" t="s">
        <v>1434</v>
      </c>
      <c r="D653">
        <v>243</v>
      </c>
      <c r="E653">
        <v>2594</v>
      </c>
      <c r="F653">
        <v>24</v>
      </c>
      <c r="G653">
        <v>240</v>
      </c>
      <c r="H653">
        <v>60</v>
      </c>
      <c r="I653">
        <v>1</v>
      </c>
      <c r="J653">
        <v>1</v>
      </c>
      <c r="K653" t="s">
        <v>86</v>
      </c>
      <c r="P653">
        <v>0</v>
      </c>
      <c r="R653">
        <v>0</v>
      </c>
      <c r="T653">
        <v>0</v>
      </c>
      <c r="U653" t="b">
        <v>0</v>
      </c>
      <c r="V653">
        <v>121.8292682926829</v>
      </c>
      <c r="Y653">
        <v>0</v>
      </c>
      <c r="Z653">
        <v>82</v>
      </c>
      <c r="AA653">
        <v>2.83061351881576E-2</v>
      </c>
      <c r="AB653">
        <v>11.060104529616719</v>
      </c>
      <c r="AC653">
        <v>0.15899581589958159</v>
      </c>
      <c r="AD653">
        <v>5.2350427350427303E-2</v>
      </c>
      <c r="AE653">
        <v>0</v>
      </c>
      <c r="AF653" t="b">
        <v>0</v>
      </c>
    </row>
    <row r="654" spans="1:32" x14ac:dyDescent="0.3">
      <c r="A654" t="s">
        <v>1443</v>
      </c>
      <c r="B654" t="s">
        <v>1444</v>
      </c>
      <c r="C654" t="s">
        <v>431</v>
      </c>
      <c r="D654">
        <v>81</v>
      </c>
      <c r="E654">
        <v>1855</v>
      </c>
      <c r="F654">
        <v>16</v>
      </c>
      <c r="G654">
        <v>60</v>
      </c>
      <c r="H654">
        <v>60</v>
      </c>
      <c r="I654">
        <v>1</v>
      </c>
      <c r="J654">
        <v>1</v>
      </c>
      <c r="K654" t="s">
        <v>432</v>
      </c>
      <c r="L654">
        <v>0.82520325203252032</v>
      </c>
      <c r="M654">
        <v>1</v>
      </c>
      <c r="N654">
        <v>1</v>
      </c>
      <c r="O654" t="s">
        <v>433</v>
      </c>
      <c r="P654">
        <v>0</v>
      </c>
      <c r="R654">
        <v>0</v>
      </c>
      <c r="T654">
        <v>0</v>
      </c>
      <c r="U654" t="b">
        <v>0</v>
      </c>
      <c r="Y654">
        <v>0</v>
      </c>
      <c r="Z654">
        <v>35</v>
      </c>
      <c r="AA654">
        <v>-0.1033898305084745</v>
      </c>
      <c r="AB654">
        <v>-10.457142857142861</v>
      </c>
      <c r="AC654">
        <v>-0.11594202898550721</v>
      </c>
      <c r="AE654">
        <v>0</v>
      </c>
      <c r="AF654" t="b">
        <v>0</v>
      </c>
    </row>
    <row r="655" spans="1:32" x14ac:dyDescent="0.3">
      <c r="A655" t="s">
        <v>1445</v>
      </c>
      <c r="B655" t="s">
        <v>1446</v>
      </c>
      <c r="C655" t="s">
        <v>431</v>
      </c>
      <c r="D655">
        <v>667</v>
      </c>
      <c r="E655">
        <v>19351</v>
      </c>
      <c r="F655">
        <v>333</v>
      </c>
      <c r="G655">
        <v>53</v>
      </c>
      <c r="H655">
        <v>1</v>
      </c>
      <c r="I655">
        <v>2.49599503901607E-2</v>
      </c>
      <c r="J655">
        <v>0.18333499850134879</v>
      </c>
      <c r="K655" t="s">
        <v>432</v>
      </c>
      <c r="L655">
        <v>0.82805475072434809</v>
      </c>
      <c r="M655">
        <v>1</v>
      </c>
      <c r="N655">
        <v>1.37548262548262E-2</v>
      </c>
      <c r="O655" t="s">
        <v>433</v>
      </c>
      <c r="P655">
        <v>16348</v>
      </c>
      <c r="Q655">
        <v>0.99669684365059941</v>
      </c>
      <c r="R655">
        <v>0</v>
      </c>
      <c r="T655">
        <v>0</v>
      </c>
      <c r="U655" t="b">
        <v>0</v>
      </c>
      <c r="V655">
        <v>7.4314526588845649</v>
      </c>
      <c r="Y655">
        <v>0</v>
      </c>
      <c r="Z655">
        <v>685</v>
      </c>
      <c r="AA655">
        <v>6.8227193556531004E-3</v>
      </c>
      <c r="AB655">
        <v>0.52984764221990499</v>
      </c>
      <c r="AC655">
        <v>-1.76057526355794E-2</v>
      </c>
      <c r="AD655">
        <v>3.1022829593296299E-2</v>
      </c>
      <c r="AE655">
        <v>0</v>
      </c>
      <c r="AF655" t="b">
        <v>0</v>
      </c>
    </row>
    <row r="656" spans="1:32" x14ac:dyDescent="0.3">
      <c r="A656" t="s">
        <v>1447</v>
      </c>
      <c r="B656" t="s">
        <v>1448</v>
      </c>
      <c r="C656" t="s">
        <v>431</v>
      </c>
      <c r="D656">
        <v>516</v>
      </c>
      <c r="E656">
        <v>7128</v>
      </c>
      <c r="F656">
        <v>164</v>
      </c>
      <c r="G656">
        <v>77</v>
      </c>
      <c r="H656">
        <v>1</v>
      </c>
      <c r="I656">
        <v>0.1212121212121212</v>
      </c>
      <c r="J656">
        <v>0.36302982731554162</v>
      </c>
      <c r="K656" t="s">
        <v>432</v>
      </c>
      <c r="L656">
        <v>0.64481946624803765</v>
      </c>
      <c r="M656">
        <v>1</v>
      </c>
      <c r="N656">
        <v>1.21728545343883E-2</v>
      </c>
      <c r="O656" t="s">
        <v>433</v>
      </c>
      <c r="P656">
        <v>4869</v>
      </c>
      <c r="Q656">
        <v>1</v>
      </c>
      <c r="R656">
        <v>0</v>
      </c>
      <c r="T656">
        <v>0</v>
      </c>
      <c r="U656" t="b">
        <v>0</v>
      </c>
      <c r="V656">
        <v>0</v>
      </c>
      <c r="Y656">
        <v>0</v>
      </c>
      <c r="Z656">
        <v>326</v>
      </c>
      <c r="AA656">
        <v>6.4352134882074717E-5</v>
      </c>
      <c r="AB656">
        <v>6.1349693251532998E-3</v>
      </c>
      <c r="AC656">
        <v>0</v>
      </c>
      <c r="AD656">
        <v>0</v>
      </c>
      <c r="AE656">
        <v>0</v>
      </c>
      <c r="AF656" t="b">
        <v>0</v>
      </c>
    </row>
    <row r="657" spans="1:35" x14ac:dyDescent="0.3">
      <c r="A657" t="s">
        <v>1449</v>
      </c>
      <c r="B657" t="s">
        <v>1450</v>
      </c>
      <c r="C657" t="s">
        <v>431</v>
      </c>
      <c r="D657">
        <v>2044</v>
      </c>
      <c r="E657">
        <v>70880</v>
      </c>
      <c r="F657">
        <v>472</v>
      </c>
      <c r="G657">
        <v>53</v>
      </c>
      <c r="H657">
        <v>1</v>
      </c>
      <c r="I657">
        <v>3.7824492099322801E-2</v>
      </c>
      <c r="J657">
        <v>0.17262883771929821</v>
      </c>
      <c r="K657" t="s">
        <v>432</v>
      </c>
      <c r="L657">
        <v>0.84461348684210524</v>
      </c>
      <c r="M657">
        <v>1</v>
      </c>
      <c r="N657">
        <v>2.0414455641562398E-2</v>
      </c>
      <c r="O657" t="s">
        <v>433</v>
      </c>
      <c r="P657">
        <v>60365</v>
      </c>
      <c r="Q657">
        <v>0.17872939617327921</v>
      </c>
      <c r="R657">
        <v>0</v>
      </c>
      <c r="T657">
        <v>0</v>
      </c>
      <c r="U657" t="b">
        <v>0</v>
      </c>
      <c r="V657">
        <v>11.976510450763289</v>
      </c>
      <c r="Y657">
        <v>0</v>
      </c>
      <c r="Z657">
        <v>2281</v>
      </c>
      <c r="AA657">
        <v>2.5490919824288898E-2</v>
      </c>
      <c r="AB657">
        <v>2.0118260679585691</v>
      </c>
      <c r="AC657">
        <v>-3.9474170816032501E-2</v>
      </c>
      <c r="AD657">
        <v>9.4134261502751504E-2</v>
      </c>
      <c r="AE657">
        <v>0</v>
      </c>
      <c r="AF657" t="b">
        <v>0</v>
      </c>
    </row>
    <row r="658" spans="1:35" x14ac:dyDescent="0.3">
      <c r="A658" t="s">
        <v>1451</v>
      </c>
      <c r="B658" t="s">
        <v>1452</v>
      </c>
      <c r="C658" t="s">
        <v>512</v>
      </c>
      <c r="D658">
        <v>60475</v>
      </c>
      <c r="E658">
        <v>1438436</v>
      </c>
      <c r="F658">
        <v>62</v>
      </c>
      <c r="G658">
        <v>60</v>
      </c>
      <c r="H658">
        <v>30</v>
      </c>
      <c r="I658">
        <v>0.90613902877847885</v>
      </c>
      <c r="J658">
        <v>0.89761452492458316</v>
      </c>
      <c r="K658" t="s">
        <v>86</v>
      </c>
      <c r="P658">
        <v>0</v>
      </c>
      <c r="R658">
        <v>0</v>
      </c>
      <c r="T658">
        <v>2</v>
      </c>
      <c r="U658" t="b">
        <v>1</v>
      </c>
      <c r="V658">
        <v>0.1148138021822232</v>
      </c>
      <c r="W658">
        <v>0</v>
      </c>
      <c r="X658" t="b">
        <v>1</v>
      </c>
      <c r="Y658">
        <v>0</v>
      </c>
      <c r="Z658">
        <v>38296</v>
      </c>
      <c r="AA658">
        <v>6.6889831405710001E-4</v>
      </c>
      <c r="AB658">
        <v>5.8563980881447202E-2</v>
      </c>
      <c r="AC658">
        <v>7.5504103167230001E-4</v>
      </c>
      <c r="AD658">
        <v>5.5748603731400003E-4</v>
      </c>
      <c r="AE658">
        <v>2</v>
      </c>
      <c r="AF658" t="b">
        <v>1</v>
      </c>
      <c r="AG658">
        <v>0</v>
      </c>
      <c r="AH658">
        <v>0</v>
      </c>
      <c r="AI658" t="b">
        <v>1</v>
      </c>
    </row>
    <row r="659" spans="1:35" x14ac:dyDescent="0.3">
      <c r="A659" t="s">
        <v>1453</v>
      </c>
      <c r="B659" t="s">
        <v>1454</v>
      </c>
      <c r="C659" t="s">
        <v>431</v>
      </c>
      <c r="D659">
        <v>310</v>
      </c>
      <c r="E659">
        <v>7512</v>
      </c>
      <c r="F659">
        <v>5</v>
      </c>
      <c r="G659">
        <v>60</v>
      </c>
      <c r="H659">
        <v>60</v>
      </c>
      <c r="I659">
        <v>1</v>
      </c>
      <c r="J659">
        <v>1</v>
      </c>
      <c r="K659" t="s">
        <v>86</v>
      </c>
      <c r="P659">
        <v>0</v>
      </c>
      <c r="R659">
        <v>0</v>
      </c>
      <c r="T659">
        <v>0</v>
      </c>
      <c r="U659" t="b">
        <v>0</v>
      </c>
      <c r="Y659">
        <v>0</v>
      </c>
      <c r="Z659">
        <v>532</v>
      </c>
      <c r="AA659">
        <v>0</v>
      </c>
      <c r="AB659">
        <v>0</v>
      </c>
      <c r="AE659">
        <v>0</v>
      </c>
      <c r="AF659" t="b">
        <v>0</v>
      </c>
    </row>
    <row r="660" spans="1:35" x14ac:dyDescent="0.3">
      <c r="A660" t="s">
        <v>1455</v>
      </c>
      <c r="B660" t="s">
        <v>1456</v>
      </c>
      <c r="C660" t="s">
        <v>431</v>
      </c>
      <c r="D660">
        <v>1799</v>
      </c>
      <c r="E660">
        <v>49165</v>
      </c>
      <c r="F660">
        <v>196</v>
      </c>
      <c r="G660">
        <v>40</v>
      </c>
      <c r="H660">
        <v>1</v>
      </c>
      <c r="I660">
        <v>1.06986677514492E-2</v>
      </c>
      <c r="J660">
        <v>0.1896632917353426</v>
      </c>
      <c r="K660" t="s">
        <v>432</v>
      </c>
      <c r="L660">
        <v>0.82752531198493051</v>
      </c>
      <c r="M660">
        <v>1</v>
      </c>
      <c r="N660">
        <v>2.0771091193626402E-2</v>
      </c>
      <c r="O660" t="s">
        <v>433</v>
      </c>
      <c r="P660">
        <v>41298</v>
      </c>
      <c r="Q660">
        <v>1</v>
      </c>
      <c r="R660">
        <v>0</v>
      </c>
      <c r="T660">
        <v>0</v>
      </c>
      <c r="U660" t="b">
        <v>0</v>
      </c>
      <c r="V660">
        <v>0</v>
      </c>
      <c r="Y660">
        <v>0</v>
      </c>
      <c r="Z660">
        <v>1542</v>
      </c>
      <c r="AA660">
        <v>6.6750598777972001E-3</v>
      </c>
      <c r="AB660">
        <v>0.3670449632511889</v>
      </c>
      <c r="AC660">
        <v>0</v>
      </c>
      <c r="AD660">
        <v>8.9901799572774006E-3</v>
      </c>
      <c r="AE660">
        <v>0</v>
      </c>
      <c r="AF660" t="b">
        <v>0</v>
      </c>
    </row>
    <row r="661" spans="1:35" x14ac:dyDescent="0.3">
      <c r="A661" t="s">
        <v>1457</v>
      </c>
      <c r="B661" t="s">
        <v>1458</v>
      </c>
      <c r="C661" t="s">
        <v>512</v>
      </c>
      <c r="D661">
        <v>111017</v>
      </c>
      <c r="E661">
        <v>2090136</v>
      </c>
      <c r="F661">
        <v>56</v>
      </c>
      <c r="G661">
        <v>60</v>
      </c>
      <c r="H661">
        <v>60</v>
      </c>
      <c r="I661">
        <v>1</v>
      </c>
      <c r="J661">
        <v>1</v>
      </c>
      <c r="K661" t="s">
        <v>86</v>
      </c>
      <c r="P661">
        <v>0</v>
      </c>
      <c r="R661">
        <v>0</v>
      </c>
      <c r="T661">
        <v>2</v>
      </c>
      <c r="U661" t="b">
        <v>1</v>
      </c>
      <c r="V661">
        <v>8.5595005853495323</v>
      </c>
      <c r="W661">
        <v>5.0131292161835148</v>
      </c>
      <c r="X661" t="b">
        <v>1</v>
      </c>
      <c r="Y661">
        <v>0</v>
      </c>
      <c r="Z661">
        <v>39256</v>
      </c>
      <c r="AA661">
        <v>3.1055357153312601E-2</v>
      </c>
      <c r="AB661">
        <v>3.4262580992475158</v>
      </c>
      <c r="AC661">
        <v>2.4831469285594002E-2</v>
      </c>
      <c r="AD661">
        <v>4.1908780774766598E-2</v>
      </c>
      <c r="AE661">
        <v>2</v>
      </c>
      <c r="AF661" t="b">
        <v>1</v>
      </c>
      <c r="AG661">
        <v>2.6833141809282E-2</v>
      </c>
      <c r="AH661">
        <v>2.8717623061147912</v>
      </c>
      <c r="AI661" t="b">
        <v>1</v>
      </c>
    </row>
    <row r="662" spans="1:35" x14ac:dyDescent="0.3">
      <c r="A662" t="s">
        <v>1459</v>
      </c>
      <c r="B662" t="s">
        <v>1460</v>
      </c>
      <c r="C662" t="s">
        <v>431</v>
      </c>
      <c r="D662">
        <v>1203</v>
      </c>
      <c r="E662">
        <v>87910</v>
      </c>
      <c r="F662">
        <v>242</v>
      </c>
      <c r="G662">
        <v>34</v>
      </c>
      <c r="H662">
        <v>1</v>
      </c>
      <c r="I662">
        <v>9.5552269366396998E-3</v>
      </c>
      <c r="J662">
        <v>0.1173678363426211</v>
      </c>
      <c r="K662" t="s">
        <v>432</v>
      </c>
      <c r="L662">
        <v>0.89548101848215189</v>
      </c>
      <c r="M662">
        <v>1</v>
      </c>
      <c r="N662">
        <v>1.43485507337184E-2</v>
      </c>
      <c r="O662" t="s">
        <v>433</v>
      </c>
      <c r="P662">
        <v>78654</v>
      </c>
      <c r="Q662">
        <v>0.18412286724133539</v>
      </c>
      <c r="R662">
        <v>0</v>
      </c>
      <c r="T662">
        <v>0</v>
      </c>
      <c r="U662" t="b">
        <v>0</v>
      </c>
      <c r="V662">
        <v>2.9011136235996569</v>
      </c>
      <c r="Y662">
        <v>0</v>
      </c>
      <c r="Z662">
        <v>3583</v>
      </c>
      <c r="AA662">
        <v>-1.3841766081357201E-2</v>
      </c>
      <c r="AB662">
        <v>-0.55438144894749608</v>
      </c>
      <c r="AC662">
        <v>-3.6255735786594002E-2</v>
      </c>
      <c r="AD662">
        <v>2.44830509953043E-2</v>
      </c>
      <c r="AE662">
        <v>0</v>
      </c>
      <c r="AF662" t="b">
        <v>0</v>
      </c>
    </row>
    <row r="663" spans="1:35" x14ac:dyDescent="0.3">
      <c r="A663" t="s">
        <v>1461</v>
      </c>
      <c r="B663" t="s">
        <v>1462</v>
      </c>
      <c r="C663" t="s">
        <v>474</v>
      </c>
      <c r="D663">
        <v>15143</v>
      </c>
      <c r="E663">
        <v>327557</v>
      </c>
      <c r="F663">
        <v>1114</v>
      </c>
      <c r="G663">
        <v>77</v>
      </c>
      <c r="H663">
        <v>1</v>
      </c>
      <c r="I663">
        <v>4.2239976553699002E-2</v>
      </c>
      <c r="J663">
        <v>0.26195895119545742</v>
      </c>
      <c r="K663" t="s">
        <v>86</v>
      </c>
      <c r="P663">
        <v>0</v>
      </c>
      <c r="R663">
        <v>0</v>
      </c>
      <c r="T663">
        <v>1</v>
      </c>
      <c r="U663" t="b">
        <v>1</v>
      </c>
      <c r="V663">
        <v>5.4401323424580594</v>
      </c>
      <c r="W663">
        <v>5.0284996774356987</v>
      </c>
      <c r="X663" t="b">
        <v>1</v>
      </c>
      <c r="Y663">
        <v>0</v>
      </c>
      <c r="Z663">
        <v>5145</v>
      </c>
      <c r="AA663">
        <v>2.1360990789889199E-2</v>
      </c>
      <c r="AB663">
        <v>2.8001692604240689</v>
      </c>
      <c r="AC663">
        <v>2.9735175770639201E-2</v>
      </c>
      <c r="AD663">
        <v>1.8821808255858798E-2</v>
      </c>
      <c r="AE663">
        <v>2</v>
      </c>
      <c r="AF663" t="b">
        <v>1</v>
      </c>
      <c r="AG663">
        <v>1.6509183307997E-2</v>
      </c>
      <c r="AH663">
        <v>1.612151611597787</v>
      </c>
      <c r="AI663" t="b">
        <v>1</v>
      </c>
    </row>
    <row r="664" spans="1:35" x14ac:dyDescent="0.3">
      <c r="A664" t="s">
        <v>1463</v>
      </c>
      <c r="B664" t="s">
        <v>1464</v>
      </c>
      <c r="C664" t="s">
        <v>474</v>
      </c>
      <c r="D664">
        <v>2853</v>
      </c>
      <c r="E664">
        <v>35298</v>
      </c>
      <c r="F664">
        <v>67</v>
      </c>
      <c r="G664">
        <v>120</v>
      </c>
      <c r="H664">
        <v>60</v>
      </c>
      <c r="I664">
        <v>0.99787523372429043</v>
      </c>
      <c r="J664">
        <v>0.99063919492057118</v>
      </c>
      <c r="K664" t="s">
        <v>86</v>
      </c>
      <c r="P664">
        <v>0</v>
      </c>
      <c r="R664">
        <v>0</v>
      </c>
      <c r="T664">
        <v>0</v>
      </c>
      <c r="U664" t="b">
        <v>0</v>
      </c>
      <c r="Y664">
        <v>0</v>
      </c>
      <c r="Z664">
        <v>121</v>
      </c>
      <c r="AA664">
        <v>-2.2049286640726E-3</v>
      </c>
      <c r="AB664">
        <v>-0.28099173553719009</v>
      </c>
      <c r="AC664">
        <v>-2.0833333333333301E-2</v>
      </c>
      <c r="AD664">
        <v>0</v>
      </c>
      <c r="AE664">
        <v>0</v>
      </c>
      <c r="AF664" t="b">
        <v>0</v>
      </c>
    </row>
    <row r="665" spans="1:35" x14ac:dyDescent="0.3">
      <c r="A665" t="s">
        <v>1465</v>
      </c>
      <c r="B665" t="s">
        <v>1466</v>
      </c>
      <c r="C665" t="s">
        <v>431</v>
      </c>
      <c r="D665">
        <v>12674</v>
      </c>
      <c r="E665">
        <v>434895</v>
      </c>
      <c r="F665">
        <v>591</v>
      </c>
      <c r="G665">
        <v>60</v>
      </c>
      <c r="H665">
        <v>1</v>
      </c>
      <c r="I665">
        <v>3.0738454109612599E-2</v>
      </c>
      <c r="J665">
        <v>0.20432603687922979</v>
      </c>
      <c r="K665" t="s">
        <v>432</v>
      </c>
      <c r="L665">
        <v>0.81039124693622655</v>
      </c>
      <c r="M665">
        <v>1</v>
      </c>
      <c r="N665">
        <v>1.8160714187248E-2</v>
      </c>
      <c r="O665" t="s">
        <v>433</v>
      </c>
      <c r="P665">
        <v>356119</v>
      </c>
      <c r="Q665">
        <v>0.99839660338257719</v>
      </c>
      <c r="R665">
        <v>0</v>
      </c>
      <c r="T665">
        <v>1</v>
      </c>
      <c r="U665" t="b">
        <v>1</v>
      </c>
      <c r="V665">
        <v>10.144561580108631</v>
      </c>
      <c r="W665">
        <v>0.81000000000000039</v>
      </c>
      <c r="X665" t="b">
        <v>1</v>
      </c>
      <c r="Y665">
        <v>0</v>
      </c>
      <c r="Z665">
        <v>7720</v>
      </c>
      <c r="AA665">
        <v>6.1318129959333098E-2</v>
      </c>
      <c r="AB665">
        <v>4.3217365875440672</v>
      </c>
      <c r="AC665">
        <v>4.7612477806820001E-4</v>
      </c>
      <c r="AD665">
        <v>0.124196339573035</v>
      </c>
      <c r="AE665">
        <v>1</v>
      </c>
      <c r="AF665" t="b">
        <v>1</v>
      </c>
      <c r="AG665">
        <v>-8.7777777777770004E-4</v>
      </c>
      <c r="AH665">
        <v>-0.13166666666666629</v>
      </c>
      <c r="AI665" t="b">
        <v>1</v>
      </c>
    </row>
    <row r="666" spans="1:35" x14ac:dyDescent="0.3">
      <c r="A666" t="s">
        <v>1467</v>
      </c>
      <c r="B666" t="s">
        <v>1468</v>
      </c>
      <c r="C666" t="s">
        <v>573</v>
      </c>
      <c r="D666">
        <v>3339</v>
      </c>
      <c r="E666">
        <v>53234</v>
      </c>
      <c r="F666">
        <v>244</v>
      </c>
      <c r="G666">
        <v>92</v>
      </c>
      <c r="H666">
        <v>1</v>
      </c>
      <c r="I666">
        <v>7.6342187323890698E-2</v>
      </c>
      <c r="J666">
        <v>7.8959927880791106E-2</v>
      </c>
      <c r="K666" t="s">
        <v>86</v>
      </c>
      <c r="P666">
        <v>0</v>
      </c>
      <c r="R666">
        <v>0</v>
      </c>
      <c r="T666">
        <v>0</v>
      </c>
      <c r="U666" t="b">
        <v>0</v>
      </c>
      <c r="V666">
        <v>0.20135654377435919</v>
      </c>
      <c r="Y666">
        <v>0</v>
      </c>
      <c r="Z666">
        <v>1151</v>
      </c>
      <c r="AA666">
        <v>-2.9908611031139999E-4</v>
      </c>
      <c r="AB666">
        <v>-3.1265542106776602E-2</v>
      </c>
      <c r="AC666">
        <v>-1.10675592403167E-5</v>
      </c>
      <c r="AD666">
        <v>-8.3213631185289998E-4</v>
      </c>
      <c r="AE666">
        <v>0</v>
      </c>
      <c r="AF666" t="b">
        <v>0</v>
      </c>
    </row>
    <row r="667" spans="1:35" x14ac:dyDescent="0.3">
      <c r="A667" t="s">
        <v>1469</v>
      </c>
      <c r="B667" t="s">
        <v>1470</v>
      </c>
      <c r="C667" t="s">
        <v>573</v>
      </c>
      <c r="D667">
        <v>3482</v>
      </c>
      <c r="E667">
        <v>55820</v>
      </c>
      <c r="F667">
        <v>353</v>
      </c>
      <c r="G667">
        <v>78</v>
      </c>
      <c r="H667">
        <v>1</v>
      </c>
      <c r="I667">
        <v>1.6839842350411999E-2</v>
      </c>
      <c r="J667">
        <v>9.0953380932381298E-2</v>
      </c>
      <c r="K667" t="s">
        <v>86</v>
      </c>
      <c r="P667">
        <v>0</v>
      </c>
      <c r="R667">
        <v>0</v>
      </c>
      <c r="T667">
        <v>0</v>
      </c>
      <c r="U667" t="b">
        <v>0</v>
      </c>
      <c r="V667">
        <v>9.0203606472608833</v>
      </c>
      <c r="Y667">
        <v>0</v>
      </c>
      <c r="Z667">
        <v>1061</v>
      </c>
      <c r="AA667">
        <v>-4.688085625854E-2</v>
      </c>
      <c r="AB667">
        <v>-4.3163373576763044</v>
      </c>
      <c r="AC667">
        <v>-8.5046098920299698E-2</v>
      </c>
      <c r="AD667">
        <v>-2.4295813696756399E-2</v>
      </c>
      <c r="AE667">
        <v>0</v>
      </c>
      <c r="AF667" t="b">
        <v>0</v>
      </c>
    </row>
    <row r="668" spans="1:35" x14ac:dyDescent="0.3">
      <c r="A668" t="s">
        <v>1471</v>
      </c>
      <c r="B668" t="s">
        <v>1472</v>
      </c>
      <c r="C668" t="s">
        <v>474</v>
      </c>
      <c r="D668">
        <v>9536</v>
      </c>
      <c r="E668">
        <v>281129</v>
      </c>
      <c r="F668">
        <v>490</v>
      </c>
      <c r="G668">
        <v>70</v>
      </c>
      <c r="H668">
        <v>1</v>
      </c>
      <c r="I668">
        <v>2.4796445759775701E-2</v>
      </c>
      <c r="J668">
        <v>0.1829845930522542</v>
      </c>
      <c r="K668" t="s">
        <v>432</v>
      </c>
      <c r="L668">
        <v>0.8305820517142336</v>
      </c>
      <c r="M668">
        <v>0.99975635507187521</v>
      </c>
      <c r="N668">
        <v>1.6383598179416099E-2</v>
      </c>
      <c r="O668" t="s">
        <v>518</v>
      </c>
      <c r="P668">
        <v>237505</v>
      </c>
      <c r="Q668">
        <v>3.3207721942695903E-2</v>
      </c>
      <c r="R668">
        <v>12</v>
      </c>
      <c r="S668">
        <v>0</v>
      </c>
      <c r="T668">
        <v>2</v>
      </c>
      <c r="U668" t="b">
        <v>1</v>
      </c>
      <c r="V668">
        <v>5.1360441317147334</v>
      </c>
      <c r="W668">
        <v>3.825977867731595</v>
      </c>
      <c r="X668" t="b">
        <v>1</v>
      </c>
      <c r="Y668">
        <v>0</v>
      </c>
      <c r="Z668">
        <v>6079</v>
      </c>
      <c r="AA668">
        <v>3.1535263678842997E-2</v>
      </c>
      <c r="AB668">
        <v>2.5107539627048769</v>
      </c>
      <c r="AC668">
        <v>1.7765622193839301E-2</v>
      </c>
      <c r="AD668">
        <v>5.4144260584076703E-2</v>
      </c>
      <c r="AE668">
        <v>2</v>
      </c>
      <c r="AF668" t="b">
        <v>1</v>
      </c>
      <c r="AG668">
        <v>3.2916874497883802E-2</v>
      </c>
      <c r="AH668">
        <v>3.2130347816875209</v>
      </c>
      <c r="AI668" t="b">
        <v>0</v>
      </c>
    </row>
    <row r="669" spans="1:35" x14ac:dyDescent="0.3">
      <c r="A669" t="s">
        <v>1473</v>
      </c>
      <c r="B669" t="s">
        <v>1474</v>
      </c>
      <c r="C669" t="s">
        <v>537</v>
      </c>
      <c r="D669">
        <v>6683</v>
      </c>
      <c r="E669">
        <v>252833</v>
      </c>
      <c r="F669">
        <v>491</v>
      </c>
      <c r="G669">
        <v>58</v>
      </c>
      <c r="H669">
        <v>1</v>
      </c>
      <c r="I669">
        <v>3.49005074495813E-2</v>
      </c>
      <c r="J669">
        <v>0.22919523053933721</v>
      </c>
      <c r="K669" t="s">
        <v>432</v>
      </c>
      <c r="L669">
        <v>0.78478116864110425</v>
      </c>
      <c r="M669">
        <v>0.99942736480440919</v>
      </c>
      <c r="N669">
        <v>1.7966334592923301E-2</v>
      </c>
      <c r="O669" t="s">
        <v>433</v>
      </c>
      <c r="P669">
        <v>200109</v>
      </c>
      <c r="Q669">
        <v>0.47057353742210489</v>
      </c>
      <c r="R669">
        <v>32</v>
      </c>
      <c r="S669">
        <v>0.21875</v>
      </c>
      <c r="T669">
        <v>0</v>
      </c>
      <c r="U669" t="b">
        <v>0</v>
      </c>
      <c r="V669">
        <v>8.8212011602771199</v>
      </c>
      <c r="Y669">
        <v>0</v>
      </c>
      <c r="Z669">
        <v>8121</v>
      </c>
      <c r="AA669">
        <v>-5.6957337914963997E-2</v>
      </c>
      <c r="AB669">
        <v>-4.3397266602153524</v>
      </c>
      <c r="AC669">
        <v>-0.13455247095572451</v>
      </c>
      <c r="AD669">
        <v>-3.6557943651766699E-2</v>
      </c>
      <c r="AE669">
        <v>0</v>
      </c>
      <c r="AF669" t="b">
        <v>0</v>
      </c>
    </row>
    <row r="670" spans="1:35" x14ac:dyDescent="0.3">
      <c r="A670" t="s">
        <v>1475</v>
      </c>
      <c r="B670" t="s">
        <v>1476</v>
      </c>
      <c r="C670" t="s">
        <v>428</v>
      </c>
      <c r="D670">
        <v>186</v>
      </c>
      <c r="E670">
        <v>2917</v>
      </c>
      <c r="F670">
        <v>9</v>
      </c>
      <c r="G670">
        <v>60</v>
      </c>
      <c r="H670">
        <v>60</v>
      </c>
      <c r="I670">
        <v>1</v>
      </c>
      <c r="J670">
        <v>1</v>
      </c>
      <c r="K670" t="s">
        <v>86</v>
      </c>
      <c r="P670">
        <v>0</v>
      </c>
      <c r="R670">
        <v>0</v>
      </c>
      <c r="T670">
        <v>0</v>
      </c>
      <c r="U670" t="b">
        <v>0</v>
      </c>
      <c r="V670">
        <v>4.3636363636363633</v>
      </c>
      <c r="Y670">
        <v>3.2206119162639997E-4</v>
      </c>
      <c r="Z670">
        <v>19</v>
      </c>
      <c r="AA670">
        <v>-1.3333333333333299E-2</v>
      </c>
      <c r="AB670">
        <v>-1.0526315789473679</v>
      </c>
      <c r="AC670">
        <v>0</v>
      </c>
      <c r="AD670">
        <v>0</v>
      </c>
      <c r="AE670">
        <v>0</v>
      </c>
      <c r="AF670" t="b">
        <v>0</v>
      </c>
    </row>
    <row r="671" spans="1:35" x14ac:dyDescent="0.3">
      <c r="A671" t="s">
        <v>1477</v>
      </c>
      <c r="B671" t="s">
        <v>1478</v>
      </c>
      <c r="C671" t="s">
        <v>431</v>
      </c>
      <c r="D671">
        <v>1455</v>
      </c>
      <c r="E671">
        <v>2913</v>
      </c>
      <c r="F671">
        <v>16</v>
      </c>
      <c r="G671">
        <v>1200</v>
      </c>
      <c r="H671">
        <v>60</v>
      </c>
      <c r="I671">
        <v>1</v>
      </c>
      <c r="J671">
        <v>1</v>
      </c>
      <c r="K671" t="s">
        <v>86</v>
      </c>
      <c r="P671">
        <v>0</v>
      </c>
      <c r="R671">
        <v>0</v>
      </c>
      <c r="T671">
        <v>0</v>
      </c>
      <c r="U671" t="b">
        <v>0</v>
      </c>
      <c r="Y671">
        <v>0</v>
      </c>
      <c r="Z671">
        <v>56</v>
      </c>
      <c r="AA671">
        <v>-7.6234788065752002E-3</v>
      </c>
      <c r="AB671">
        <v>-6.7900114591291043</v>
      </c>
      <c r="AC671">
        <v>-2.02138387547189E-2</v>
      </c>
      <c r="AD671">
        <v>6.7441508672849996E-4</v>
      </c>
      <c r="AE671">
        <v>0</v>
      </c>
      <c r="AF671" t="b">
        <v>0</v>
      </c>
    </row>
    <row r="672" spans="1:35" x14ac:dyDescent="0.3">
      <c r="A672" t="s">
        <v>1479</v>
      </c>
      <c r="B672" t="s">
        <v>1480</v>
      </c>
      <c r="C672" t="s">
        <v>573</v>
      </c>
      <c r="D672">
        <v>490</v>
      </c>
      <c r="E672">
        <v>2435</v>
      </c>
      <c r="F672">
        <v>27</v>
      </c>
      <c r="G672">
        <v>600</v>
      </c>
      <c r="H672">
        <v>60</v>
      </c>
      <c r="I672">
        <v>1</v>
      </c>
      <c r="J672">
        <v>1</v>
      </c>
      <c r="K672" t="s">
        <v>86</v>
      </c>
      <c r="P672">
        <v>0</v>
      </c>
      <c r="R672">
        <v>0</v>
      </c>
      <c r="T672">
        <v>0</v>
      </c>
      <c r="U672" t="b">
        <v>0</v>
      </c>
      <c r="V672">
        <v>0</v>
      </c>
      <c r="Y672">
        <v>0</v>
      </c>
      <c r="Z672">
        <v>9</v>
      </c>
      <c r="AA672">
        <v>0</v>
      </c>
      <c r="AB672">
        <v>0</v>
      </c>
      <c r="AC672">
        <v>0</v>
      </c>
      <c r="AD672">
        <v>0</v>
      </c>
      <c r="AE672">
        <v>0</v>
      </c>
      <c r="AF672" t="b">
        <v>0</v>
      </c>
    </row>
    <row r="673" spans="1:32" x14ac:dyDescent="0.3">
      <c r="A673" t="s">
        <v>1481</v>
      </c>
      <c r="B673" t="s">
        <v>1482</v>
      </c>
      <c r="C673" t="s">
        <v>573</v>
      </c>
      <c r="D673">
        <v>67</v>
      </c>
      <c r="E673">
        <v>2551</v>
      </c>
      <c r="F673">
        <v>279</v>
      </c>
      <c r="G673">
        <v>72</v>
      </c>
      <c r="H673">
        <v>1</v>
      </c>
      <c r="I673">
        <v>0.11916895335162681</v>
      </c>
      <c r="J673">
        <v>2.9389312977099201E-2</v>
      </c>
      <c r="K673" t="s">
        <v>432</v>
      </c>
      <c r="L673">
        <v>0.97519083969465636</v>
      </c>
      <c r="M673">
        <v>4.6153846153846101E-2</v>
      </c>
      <c r="N673">
        <v>2.8962818003913801E-2</v>
      </c>
      <c r="O673" t="s">
        <v>518</v>
      </c>
      <c r="P673">
        <v>0</v>
      </c>
      <c r="R673">
        <v>0</v>
      </c>
      <c r="T673">
        <v>0</v>
      </c>
      <c r="U673" t="b">
        <v>0</v>
      </c>
      <c r="Y673">
        <v>0</v>
      </c>
      <c r="Z673">
        <v>78</v>
      </c>
      <c r="AA673">
        <v>-5.6657845602559997E-4</v>
      </c>
      <c r="AB673">
        <v>-5.2528490028489999E-2</v>
      </c>
      <c r="AC673">
        <v>-3.6129048189349602E-2</v>
      </c>
      <c r="AD673">
        <v>2.9889825869725301E-2</v>
      </c>
      <c r="AE673">
        <v>0</v>
      </c>
      <c r="AF673" t="b">
        <v>0</v>
      </c>
    </row>
    <row r="674" spans="1:32" x14ac:dyDescent="0.3">
      <c r="A674" t="s">
        <v>1483</v>
      </c>
      <c r="B674" t="s">
        <v>1484</v>
      </c>
      <c r="C674" t="s">
        <v>431</v>
      </c>
      <c r="D674">
        <v>757</v>
      </c>
      <c r="E674">
        <v>907</v>
      </c>
      <c r="F674">
        <v>8</v>
      </c>
      <c r="G674">
        <v>420</v>
      </c>
      <c r="H674">
        <v>60</v>
      </c>
      <c r="I674">
        <v>1</v>
      </c>
      <c r="J674">
        <v>1</v>
      </c>
      <c r="K674" t="s">
        <v>86</v>
      </c>
      <c r="P674">
        <v>0</v>
      </c>
      <c r="R674">
        <v>0</v>
      </c>
      <c r="T674">
        <v>0</v>
      </c>
      <c r="U674" t="b">
        <v>0</v>
      </c>
      <c r="V674">
        <v>9.257142857142858</v>
      </c>
      <c r="Y674">
        <v>0</v>
      </c>
      <c r="Z674">
        <v>7</v>
      </c>
      <c r="AA674">
        <v>-1.7488076311605E-3</v>
      </c>
      <c r="AB674">
        <v>-0.79231692677071153</v>
      </c>
      <c r="AC674">
        <v>-2.09790209790209E-2</v>
      </c>
      <c r="AD674">
        <v>3.5842293906808999E-3</v>
      </c>
      <c r="AE674">
        <v>0</v>
      </c>
      <c r="AF674" t="b">
        <v>0</v>
      </c>
    </row>
    <row r="675" spans="1:32" x14ac:dyDescent="0.3">
      <c r="A675" t="s">
        <v>1485</v>
      </c>
      <c r="B675" t="s">
        <v>1486</v>
      </c>
      <c r="C675" t="s">
        <v>431</v>
      </c>
      <c r="D675">
        <v>279</v>
      </c>
      <c r="E675">
        <v>2703</v>
      </c>
      <c r="F675">
        <v>16</v>
      </c>
      <c r="G675">
        <v>60</v>
      </c>
      <c r="H675">
        <v>60</v>
      </c>
      <c r="I675">
        <v>1</v>
      </c>
      <c r="J675">
        <v>1</v>
      </c>
      <c r="K675" t="s">
        <v>432</v>
      </c>
      <c r="L675">
        <v>0.72444226526109345</v>
      </c>
      <c r="M675">
        <v>1</v>
      </c>
      <c r="N675">
        <v>1</v>
      </c>
      <c r="O675" t="s">
        <v>433</v>
      </c>
      <c r="P675">
        <v>0</v>
      </c>
      <c r="R675">
        <v>0</v>
      </c>
      <c r="T675">
        <v>0</v>
      </c>
      <c r="U675" t="b">
        <v>0</v>
      </c>
      <c r="V675">
        <v>4.7142857142857144</v>
      </c>
      <c r="Y675">
        <v>0</v>
      </c>
      <c r="Z675">
        <v>82</v>
      </c>
      <c r="AA675">
        <v>6.5104166666666002E-3</v>
      </c>
      <c r="AB675">
        <v>0.91463414634146345</v>
      </c>
      <c r="AC675">
        <v>0</v>
      </c>
      <c r="AD675">
        <v>3.125E-2</v>
      </c>
      <c r="AE675">
        <v>0</v>
      </c>
      <c r="AF675" t="b">
        <v>0</v>
      </c>
    </row>
    <row r="676" spans="1:32" x14ac:dyDescent="0.3">
      <c r="A676" t="s">
        <v>1487</v>
      </c>
      <c r="B676" t="s">
        <v>1488</v>
      </c>
      <c r="C676" t="s">
        <v>431</v>
      </c>
      <c r="D676">
        <v>1794</v>
      </c>
      <c r="E676">
        <v>61094</v>
      </c>
      <c r="F676">
        <v>430</v>
      </c>
      <c r="G676">
        <v>77</v>
      </c>
      <c r="H676">
        <v>1</v>
      </c>
      <c r="I676">
        <v>2.2653615739679799E-2</v>
      </c>
      <c r="J676">
        <v>0.176138531993385</v>
      </c>
      <c r="K676" t="s">
        <v>432</v>
      </c>
      <c r="L676">
        <v>0.62778272484416742</v>
      </c>
      <c r="M676">
        <v>0.44771018455228978</v>
      </c>
      <c r="N676">
        <v>1.51215805471124E-2</v>
      </c>
      <c r="O676" t="s">
        <v>433</v>
      </c>
      <c r="P676">
        <v>38883</v>
      </c>
      <c r="Q676">
        <v>1</v>
      </c>
      <c r="R676">
        <v>12928</v>
      </c>
      <c r="S676">
        <v>1</v>
      </c>
      <c r="T676">
        <v>0</v>
      </c>
      <c r="U676" t="b">
        <v>0</v>
      </c>
      <c r="V676">
        <v>15.146199695366359</v>
      </c>
      <c r="Y676">
        <v>0</v>
      </c>
      <c r="Z676">
        <v>1477</v>
      </c>
      <c r="AA676">
        <v>3.09387056045522E-2</v>
      </c>
      <c r="AB676">
        <v>3.1021247008950619</v>
      </c>
      <c r="AC676">
        <v>-3.3206703787576099E-2</v>
      </c>
      <c r="AD676">
        <v>8.7206176196056404E-2</v>
      </c>
      <c r="AE676">
        <v>0</v>
      </c>
      <c r="AF676" t="b">
        <v>0</v>
      </c>
    </row>
    <row r="677" spans="1:32" x14ac:dyDescent="0.3">
      <c r="A677" t="s">
        <v>1489</v>
      </c>
      <c r="B677" t="s">
        <v>1490</v>
      </c>
      <c r="C677" t="s">
        <v>573</v>
      </c>
      <c r="D677">
        <v>2092</v>
      </c>
      <c r="E677">
        <v>46474</v>
      </c>
      <c r="F677">
        <v>421</v>
      </c>
      <c r="G677">
        <v>98</v>
      </c>
      <c r="H677">
        <v>1</v>
      </c>
      <c r="I677">
        <v>1.91935275637991E-2</v>
      </c>
      <c r="J677">
        <v>9.8072725775233696E-2</v>
      </c>
      <c r="K677" t="s">
        <v>86</v>
      </c>
      <c r="P677">
        <v>0</v>
      </c>
      <c r="R677">
        <v>0</v>
      </c>
      <c r="T677">
        <v>0</v>
      </c>
      <c r="U677" t="b">
        <v>0</v>
      </c>
      <c r="V677">
        <v>8.6247729010403322</v>
      </c>
      <c r="Y677">
        <v>0</v>
      </c>
      <c r="Z677">
        <v>838</v>
      </c>
      <c r="AA677">
        <v>-5.0840163037222302E-2</v>
      </c>
      <c r="AB677">
        <v>-5.4415391510332176</v>
      </c>
      <c r="AC677">
        <v>-4.5888000504814598E-2</v>
      </c>
      <c r="AD677">
        <v>-4.7083532241980003E-2</v>
      </c>
      <c r="AE677">
        <v>0</v>
      </c>
      <c r="AF677" t="b">
        <v>0</v>
      </c>
    </row>
    <row r="678" spans="1:32" x14ac:dyDescent="0.3">
      <c r="A678" t="s">
        <v>1491</v>
      </c>
      <c r="B678" t="s">
        <v>1492</v>
      </c>
      <c r="C678" t="s">
        <v>573</v>
      </c>
      <c r="D678">
        <v>1002</v>
      </c>
      <c r="E678">
        <v>15676</v>
      </c>
      <c r="F678">
        <v>8</v>
      </c>
      <c r="G678">
        <v>120</v>
      </c>
      <c r="H678">
        <v>60</v>
      </c>
      <c r="I678">
        <v>1</v>
      </c>
      <c r="J678">
        <v>1</v>
      </c>
      <c r="K678" t="s">
        <v>86</v>
      </c>
      <c r="P678">
        <v>0</v>
      </c>
      <c r="R678">
        <v>0</v>
      </c>
      <c r="T678">
        <v>0</v>
      </c>
      <c r="U678" t="b">
        <v>0</v>
      </c>
      <c r="V678">
        <v>10.822812846068659</v>
      </c>
      <c r="Y678">
        <v>0</v>
      </c>
      <c r="Z678">
        <v>325</v>
      </c>
      <c r="AA678">
        <v>-1.0101445395563E-2</v>
      </c>
      <c r="AB678">
        <v>-1.141307922846384</v>
      </c>
      <c r="AC678">
        <v>6.1883102818776039E-5</v>
      </c>
      <c r="AD678">
        <v>-2.6694045174537901E-2</v>
      </c>
      <c r="AE678">
        <v>0</v>
      </c>
      <c r="AF678" t="b">
        <v>0</v>
      </c>
    </row>
    <row r="679" spans="1:32" x14ac:dyDescent="0.3">
      <c r="A679" t="s">
        <v>1493</v>
      </c>
      <c r="B679" t="s">
        <v>1494</v>
      </c>
      <c r="C679" t="s">
        <v>573</v>
      </c>
      <c r="D679">
        <v>1503</v>
      </c>
      <c r="E679">
        <v>31550</v>
      </c>
      <c r="F679">
        <v>17</v>
      </c>
      <c r="G679">
        <v>60</v>
      </c>
      <c r="H679">
        <v>1</v>
      </c>
      <c r="I679">
        <v>0.87090332805071313</v>
      </c>
      <c r="J679">
        <v>0.93713127401446161</v>
      </c>
      <c r="K679" t="s">
        <v>86</v>
      </c>
      <c r="P679">
        <v>0</v>
      </c>
      <c r="R679">
        <v>0</v>
      </c>
      <c r="T679">
        <v>0</v>
      </c>
      <c r="U679" t="b">
        <v>0</v>
      </c>
      <c r="V679">
        <v>8.5835340992128764</v>
      </c>
      <c r="Y679">
        <v>0</v>
      </c>
      <c r="Z679">
        <v>567</v>
      </c>
      <c r="AA679">
        <v>-1.6674963597707001E-3</v>
      </c>
      <c r="AB679">
        <v>-0.1555649680923881</v>
      </c>
      <c r="AC679">
        <v>-1.68136584311206E-2</v>
      </c>
      <c r="AD679">
        <v>1.04836893419517E-2</v>
      </c>
      <c r="AE679">
        <v>0</v>
      </c>
      <c r="AF679" t="b">
        <v>0</v>
      </c>
    </row>
    <row r="680" spans="1:32" x14ac:dyDescent="0.3">
      <c r="A680" t="s">
        <v>1495</v>
      </c>
      <c r="B680" t="s">
        <v>1496</v>
      </c>
      <c r="C680" t="s">
        <v>573</v>
      </c>
      <c r="D680">
        <v>111</v>
      </c>
      <c r="E680">
        <v>510</v>
      </c>
      <c r="F680">
        <v>34</v>
      </c>
      <c r="G680">
        <v>660</v>
      </c>
      <c r="H680">
        <v>60</v>
      </c>
      <c r="I680">
        <v>1</v>
      </c>
      <c r="J680">
        <v>1</v>
      </c>
      <c r="K680" t="s">
        <v>86</v>
      </c>
      <c r="P680">
        <v>0</v>
      </c>
      <c r="R680">
        <v>0</v>
      </c>
      <c r="T680">
        <v>0</v>
      </c>
      <c r="U680" t="b">
        <v>0</v>
      </c>
      <c r="Y680">
        <v>0</v>
      </c>
      <c r="Z680">
        <v>7</v>
      </c>
      <c r="AA680">
        <v>3.3018867924528301E-2</v>
      </c>
      <c r="AB680">
        <v>50</v>
      </c>
      <c r="AC680">
        <v>3.2051282051282E-2</v>
      </c>
      <c r="AD680">
        <v>0</v>
      </c>
      <c r="AE680">
        <v>0</v>
      </c>
      <c r="AF680" t="b">
        <v>0</v>
      </c>
    </row>
    <row r="681" spans="1:32" x14ac:dyDescent="0.3">
      <c r="A681" t="s">
        <v>1497</v>
      </c>
      <c r="B681" t="s">
        <v>1498</v>
      </c>
      <c r="C681" t="s">
        <v>573</v>
      </c>
      <c r="D681">
        <v>2714</v>
      </c>
      <c r="E681">
        <v>53338</v>
      </c>
      <c r="F681">
        <v>17</v>
      </c>
      <c r="G681">
        <v>120</v>
      </c>
      <c r="H681">
        <v>60</v>
      </c>
      <c r="I681">
        <v>1</v>
      </c>
      <c r="J681">
        <v>1</v>
      </c>
      <c r="K681" t="s">
        <v>86</v>
      </c>
      <c r="P681">
        <v>0</v>
      </c>
      <c r="R681">
        <v>0</v>
      </c>
      <c r="T681">
        <v>0</v>
      </c>
      <c r="U681" t="b">
        <v>0</v>
      </c>
      <c r="V681">
        <v>5.577628939310582</v>
      </c>
      <c r="Y681">
        <v>0</v>
      </c>
      <c r="Z681">
        <v>869</v>
      </c>
      <c r="AA681">
        <v>-6.2860601306071002E-3</v>
      </c>
      <c r="AB681">
        <v>-0.77807139083341292</v>
      </c>
      <c r="AC681">
        <v>-1.6286166068431199E-2</v>
      </c>
      <c r="AD681">
        <v>2.0846177422475E-3</v>
      </c>
      <c r="AE681">
        <v>0</v>
      </c>
      <c r="AF681" t="b">
        <v>0</v>
      </c>
    </row>
    <row r="682" spans="1:32" x14ac:dyDescent="0.3">
      <c r="A682" t="s">
        <v>1499</v>
      </c>
      <c r="B682" t="s">
        <v>1500</v>
      </c>
      <c r="C682" t="s">
        <v>573</v>
      </c>
      <c r="D682">
        <v>4259</v>
      </c>
      <c r="E682">
        <v>72023</v>
      </c>
      <c r="F682">
        <v>42</v>
      </c>
      <c r="G682">
        <v>120</v>
      </c>
      <c r="H682">
        <v>60</v>
      </c>
      <c r="I682">
        <v>1</v>
      </c>
      <c r="J682">
        <v>1</v>
      </c>
      <c r="K682" t="s">
        <v>86</v>
      </c>
      <c r="P682">
        <v>0</v>
      </c>
      <c r="R682">
        <v>0</v>
      </c>
      <c r="T682">
        <v>0</v>
      </c>
      <c r="U682" t="b">
        <v>0</v>
      </c>
      <c r="V682">
        <v>3.4176300578034682</v>
      </c>
      <c r="Y682">
        <v>0</v>
      </c>
      <c r="Z682">
        <v>2029</v>
      </c>
      <c r="AA682">
        <v>-2.8370705470493001E-3</v>
      </c>
      <c r="AB682">
        <v>-0.36289400594476989</v>
      </c>
      <c r="AC682">
        <v>-2.3510784753911999E-3</v>
      </c>
      <c r="AD682">
        <v>-2.3599582002295002E-3</v>
      </c>
      <c r="AE682">
        <v>0</v>
      </c>
      <c r="AF682" t="b">
        <v>0</v>
      </c>
    </row>
    <row r="683" spans="1:32" x14ac:dyDescent="0.3">
      <c r="A683" t="s">
        <v>1501</v>
      </c>
      <c r="B683" t="s">
        <v>1502</v>
      </c>
      <c r="C683" t="s">
        <v>573</v>
      </c>
      <c r="D683">
        <v>1016</v>
      </c>
      <c r="E683">
        <v>17255</v>
      </c>
      <c r="F683">
        <v>16</v>
      </c>
      <c r="G683">
        <v>60</v>
      </c>
      <c r="H683">
        <v>60</v>
      </c>
      <c r="I683">
        <v>1</v>
      </c>
      <c r="J683">
        <v>1</v>
      </c>
      <c r="K683" t="s">
        <v>86</v>
      </c>
      <c r="P683">
        <v>0</v>
      </c>
      <c r="R683">
        <v>0</v>
      </c>
      <c r="T683">
        <v>0</v>
      </c>
      <c r="U683" t="b">
        <v>0</v>
      </c>
      <c r="V683">
        <v>3.8917410714285721</v>
      </c>
      <c r="Y683">
        <v>0</v>
      </c>
      <c r="Z683">
        <v>496</v>
      </c>
      <c r="AA683">
        <v>-6.2242697033141996E-3</v>
      </c>
      <c r="AB683">
        <v>-0.61271373116131189</v>
      </c>
      <c r="AC683">
        <v>-3.4616459225926999E-3</v>
      </c>
      <c r="AD683">
        <v>-1.9046927234135699E-2</v>
      </c>
      <c r="AE683">
        <v>0</v>
      </c>
      <c r="AF683" t="b">
        <v>0</v>
      </c>
    </row>
    <row r="684" spans="1:32" x14ac:dyDescent="0.3">
      <c r="A684" t="s">
        <v>1503</v>
      </c>
      <c r="B684" t="s">
        <v>1504</v>
      </c>
      <c r="C684" t="s">
        <v>573</v>
      </c>
      <c r="D684">
        <v>263</v>
      </c>
      <c r="E684">
        <v>3534</v>
      </c>
      <c r="F684">
        <v>54</v>
      </c>
      <c r="G684">
        <v>72</v>
      </c>
      <c r="H684">
        <v>1</v>
      </c>
      <c r="I684">
        <v>0</v>
      </c>
      <c r="J684">
        <v>0</v>
      </c>
      <c r="K684" t="s">
        <v>86</v>
      </c>
      <c r="P684">
        <v>0</v>
      </c>
      <c r="R684">
        <v>0</v>
      </c>
      <c r="T684">
        <v>0</v>
      </c>
      <c r="U684" t="b">
        <v>0</v>
      </c>
      <c r="V684">
        <v>0</v>
      </c>
      <c r="Y684">
        <v>0</v>
      </c>
      <c r="Z684">
        <v>74</v>
      </c>
      <c r="AA684">
        <v>0</v>
      </c>
      <c r="AB684">
        <v>0</v>
      </c>
      <c r="AC684">
        <v>0</v>
      </c>
      <c r="AD684">
        <v>0</v>
      </c>
      <c r="AE684">
        <v>0</v>
      </c>
      <c r="AF684" t="b">
        <v>0</v>
      </c>
    </row>
    <row r="685" spans="1:32" x14ac:dyDescent="0.3">
      <c r="A685" t="s">
        <v>1505</v>
      </c>
      <c r="B685" t="s">
        <v>1506</v>
      </c>
      <c r="C685" t="s">
        <v>573</v>
      </c>
      <c r="D685">
        <v>153</v>
      </c>
      <c r="E685">
        <v>1778</v>
      </c>
      <c r="F685">
        <v>48</v>
      </c>
      <c r="G685">
        <v>58</v>
      </c>
      <c r="H685">
        <v>1</v>
      </c>
      <c r="I685">
        <v>0</v>
      </c>
      <c r="J685">
        <v>0</v>
      </c>
      <c r="K685" t="s">
        <v>86</v>
      </c>
      <c r="P685">
        <v>0</v>
      </c>
      <c r="R685">
        <v>0</v>
      </c>
      <c r="T685">
        <v>0</v>
      </c>
      <c r="U685" t="b">
        <v>0</v>
      </c>
      <c r="V685">
        <v>0</v>
      </c>
      <c r="Y685">
        <v>0</v>
      </c>
      <c r="Z685">
        <v>69</v>
      </c>
      <c r="AA685">
        <v>0</v>
      </c>
      <c r="AB685">
        <v>0</v>
      </c>
      <c r="AC685">
        <v>0</v>
      </c>
      <c r="AD685">
        <v>0</v>
      </c>
      <c r="AE685">
        <v>0</v>
      </c>
      <c r="AF685" t="b">
        <v>0</v>
      </c>
    </row>
    <row r="686" spans="1:32" x14ac:dyDescent="0.3">
      <c r="A686" t="s">
        <v>1507</v>
      </c>
      <c r="B686" t="s">
        <v>1508</v>
      </c>
      <c r="C686" t="s">
        <v>573</v>
      </c>
      <c r="D686">
        <v>1709</v>
      </c>
      <c r="E686">
        <v>45032</v>
      </c>
      <c r="F686">
        <v>446</v>
      </c>
      <c r="G686">
        <v>93</v>
      </c>
      <c r="H686">
        <v>1</v>
      </c>
      <c r="I686">
        <v>1.92529756617516E-2</v>
      </c>
      <c r="J686">
        <v>6.9082818082625494E-2</v>
      </c>
      <c r="K686" t="s">
        <v>86</v>
      </c>
      <c r="P686">
        <v>0</v>
      </c>
      <c r="R686">
        <v>0</v>
      </c>
      <c r="T686">
        <v>0</v>
      </c>
      <c r="U686" t="b">
        <v>0</v>
      </c>
      <c r="V686">
        <v>4.7458891993232664</v>
      </c>
      <c r="Y686">
        <v>0</v>
      </c>
      <c r="Z686">
        <v>862</v>
      </c>
      <c r="AA686">
        <v>4.7762898992251999E-3</v>
      </c>
      <c r="AB686">
        <v>0.48514724120325331</v>
      </c>
      <c r="AC686">
        <v>1.00809610189436E-2</v>
      </c>
      <c r="AD686">
        <v>-7.2186899186888996E-3</v>
      </c>
      <c r="AE686">
        <v>0</v>
      </c>
      <c r="AF686" t="b">
        <v>0</v>
      </c>
    </row>
    <row r="687" spans="1:32" x14ac:dyDescent="0.3">
      <c r="A687" t="s">
        <v>1509</v>
      </c>
      <c r="B687" t="s">
        <v>1510</v>
      </c>
      <c r="C687" t="s">
        <v>573</v>
      </c>
      <c r="D687">
        <v>1087</v>
      </c>
      <c r="E687">
        <v>18632</v>
      </c>
      <c r="F687">
        <v>143</v>
      </c>
      <c r="G687">
        <v>69</v>
      </c>
      <c r="H687">
        <v>1</v>
      </c>
      <c r="I687">
        <v>2.5279089738085E-2</v>
      </c>
      <c r="J687">
        <v>2.9058268674881999E-2</v>
      </c>
      <c r="K687" t="s">
        <v>86</v>
      </c>
      <c r="P687">
        <v>0</v>
      </c>
      <c r="R687">
        <v>0</v>
      </c>
      <c r="T687">
        <v>0</v>
      </c>
      <c r="U687" t="b">
        <v>0</v>
      </c>
      <c r="V687">
        <v>0</v>
      </c>
      <c r="Y687">
        <v>0</v>
      </c>
      <c r="Z687">
        <v>564</v>
      </c>
      <c r="AA687">
        <v>0</v>
      </c>
      <c r="AB687">
        <v>0</v>
      </c>
      <c r="AC687">
        <v>0</v>
      </c>
      <c r="AD687">
        <v>0</v>
      </c>
      <c r="AE687">
        <v>0</v>
      </c>
      <c r="AF687" t="b">
        <v>0</v>
      </c>
    </row>
    <row r="688" spans="1:32" x14ac:dyDescent="0.3">
      <c r="A688" t="s">
        <v>1511</v>
      </c>
      <c r="B688" t="s">
        <v>1512</v>
      </c>
      <c r="C688" t="s">
        <v>573</v>
      </c>
      <c r="D688">
        <v>298</v>
      </c>
      <c r="E688">
        <v>5611</v>
      </c>
      <c r="F688">
        <v>144</v>
      </c>
      <c r="G688">
        <v>67</v>
      </c>
      <c r="H688">
        <v>1</v>
      </c>
      <c r="I688">
        <v>1.5505257529852001E-2</v>
      </c>
      <c r="J688">
        <v>1.9969537992892101E-2</v>
      </c>
      <c r="K688" t="s">
        <v>86</v>
      </c>
      <c r="P688">
        <v>0</v>
      </c>
      <c r="R688">
        <v>0</v>
      </c>
      <c r="T688">
        <v>0</v>
      </c>
      <c r="U688" t="b">
        <v>0</v>
      </c>
      <c r="V688">
        <v>0</v>
      </c>
      <c r="Y688">
        <v>0</v>
      </c>
      <c r="Z688">
        <v>239</v>
      </c>
      <c r="AA688">
        <v>0</v>
      </c>
      <c r="AB688">
        <v>0</v>
      </c>
      <c r="AC688">
        <v>0</v>
      </c>
      <c r="AD688">
        <v>0</v>
      </c>
      <c r="AE688">
        <v>0</v>
      </c>
      <c r="AF688" t="b">
        <v>0</v>
      </c>
    </row>
    <row r="689" spans="1:32" x14ac:dyDescent="0.3">
      <c r="A689" t="s">
        <v>1513</v>
      </c>
      <c r="B689" t="s">
        <v>1514</v>
      </c>
      <c r="C689" t="s">
        <v>573</v>
      </c>
      <c r="D689">
        <v>55</v>
      </c>
      <c r="E689">
        <v>1707</v>
      </c>
      <c r="F689">
        <v>56</v>
      </c>
      <c r="G689">
        <v>67</v>
      </c>
      <c r="H689">
        <v>1</v>
      </c>
      <c r="I689">
        <v>0</v>
      </c>
      <c r="J689">
        <v>1.4755959137343899E-2</v>
      </c>
      <c r="K689" t="s">
        <v>86</v>
      </c>
      <c r="P689">
        <v>0</v>
      </c>
      <c r="R689">
        <v>0</v>
      </c>
      <c r="T689">
        <v>0</v>
      </c>
      <c r="U689" t="b">
        <v>0</v>
      </c>
      <c r="Y689">
        <v>0</v>
      </c>
      <c r="Z689">
        <v>65</v>
      </c>
      <c r="AA689">
        <v>0</v>
      </c>
      <c r="AB689">
        <v>0</v>
      </c>
      <c r="AD689">
        <v>0</v>
      </c>
      <c r="AE689">
        <v>0</v>
      </c>
      <c r="AF689" t="b">
        <v>0</v>
      </c>
    </row>
    <row r="690" spans="1:32" x14ac:dyDescent="0.3">
      <c r="A690" t="s">
        <v>1515</v>
      </c>
      <c r="B690" t="s">
        <v>1516</v>
      </c>
      <c r="C690" t="s">
        <v>573</v>
      </c>
      <c r="D690">
        <v>53</v>
      </c>
      <c r="E690">
        <v>724</v>
      </c>
      <c r="F690">
        <v>36</v>
      </c>
      <c r="G690">
        <v>72</v>
      </c>
      <c r="H690">
        <v>6</v>
      </c>
      <c r="I690">
        <v>3.4530386740331397E-2</v>
      </c>
      <c r="J690">
        <v>0</v>
      </c>
      <c r="K690" t="s">
        <v>86</v>
      </c>
      <c r="P690">
        <v>0</v>
      </c>
      <c r="R690">
        <v>0</v>
      </c>
      <c r="T690">
        <v>0</v>
      </c>
      <c r="U690" t="b">
        <v>0</v>
      </c>
      <c r="Y690">
        <v>0</v>
      </c>
      <c r="Z690">
        <v>33</v>
      </c>
      <c r="AA690">
        <v>0</v>
      </c>
      <c r="AB690">
        <v>0</v>
      </c>
      <c r="AC690">
        <v>0</v>
      </c>
      <c r="AE690">
        <v>0</v>
      </c>
      <c r="AF690" t="b">
        <v>0</v>
      </c>
    </row>
    <row r="691" spans="1:32" x14ac:dyDescent="0.3">
      <c r="A691" t="s">
        <v>1517</v>
      </c>
      <c r="B691" t="s">
        <v>1518</v>
      </c>
      <c r="C691" t="s">
        <v>573</v>
      </c>
      <c r="D691">
        <v>157</v>
      </c>
      <c r="E691">
        <v>3499</v>
      </c>
      <c r="F691">
        <v>90</v>
      </c>
      <c r="G691">
        <v>93</v>
      </c>
      <c r="H691">
        <v>1</v>
      </c>
      <c r="I691">
        <v>1.11460417262074E-2</v>
      </c>
      <c r="J691">
        <v>9.0262582056892006E-3</v>
      </c>
      <c r="K691" t="s">
        <v>86</v>
      </c>
      <c r="P691">
        <v>0</v>
      </c>
      <c r="R691">
        <v>0</v>
      </c>
      <c r="T691">
        <v>0</v>
      </c>
      <c r="U691" t="b">
        <v>0</v>
      </c>
      <c r="V691">
        <v>0</v>
      </c>
      <c r="Y691">
        <v>0</v>
      </c>
      <c r="Z691">
        <v>176</v>
      </c>
      <c r="AA691">
        <v>0</v>
      </c>
      <c r="AB691">
        <v>0</v>
      </c>
      <c r="AC691">
        <v>0</v>
      </c>
      <c r="AD691">
        <v>0</v>
      </c>
      <c r="AE691">
        <v>0</v>
      </c>
      <c r="AF691" t="b">
        <v>0</v>
      </c>
    </row>
    <row r="692" spans="1:32" x14ac:dyDescent="0.3">
      <c r="A692" t="s">
        <v>1519</v>
      </c>
      <c r="B692" t="s">
        <v>1520</v>
      </c>
      <c r="C692" t="s">
        <v>431</v>
      </c>
      <c r="D692">
        <v>77</v>
      </c>
      <c r="E692">
        <v>722</v>
      </c>
      <c r="F692">
        <v>14</v>
      </c>
      <c r="G692">
        <v>120</v>
      </c>
      <c r="H692">
        <v>60</v>
      </c>
      <c r="I692">
        <v>1</v>
      </c>
      <c r="J692">
        <v>1</v>
      </c>
      <c r="K692" t="s">
        <v>432</v>
      </c>
      <c r="L692">
        <v>0.71862667719021311</v>
      </c>
      <c r="M692">
        <v>1</v>
      </c>
      <c r="N692">
        <v>1</v>
      </c>
      <c r="O692" t="s">
        <v>433</v>
      </c>
      <c r="P692">
        <v>0</v>
      </c>
      <c r="R692">
        <v>0</v>
      </c>
      <c r="T692">
        <v>0</v>
      </c>
      <c r="U692" t="b">
        <v>0</v>
      </c>
      <c r="Y692">
        <v>0.50157853196527225</v>
      </c>
      <c r="Z692">
        <v>7</v>
      </c>
      <c r="AA692">
        <v>3.2110091743119198E-2</v>
      </c>
      <c r="AB692">
        <v>6</v>
      </c>
      <c r="AD692">
        <v>0</v>
      </c>
      <c r="AE692">
        <v>0</v>
      </c>
      <c r="AF692" t="b">
        <v>0</v>
      </c>
    </row>
    <row r="693" spans="1:32" x14ac:dyDescent="0.3">
      <c r="A693" t="s">
        <v>1521</v>
      </c>
      <c r="B693" t="s">
        <v>1522</v>
      </c>
      <c r="C693" t="s">
        <v>573</v>
      </c>
      <c r="D693">
        <v>486</v>
      </c>
      <c r="E693">
        <v>10854</v>
      </c>
      <c r="F693">
        <v>53</v>
      </c>
      <c r="G693">
        <v>60</v>
      </c>
      <c r="H693">
        <v>60</v>
      </c>
      <c r="I693">
        <v>0.99603832688409799</v>
      </c>
      <c r="J693">
        <v>0.99642401021711358</v>
      </c>
      <c r="K693" t="s">
        <v>86</v>
      </c>
      <c r="P693">
        <v>0</v>
      </c>
      <c r="R693">
        <v>0</v>
      </c>
      <c r="T693">
        <v>0</v>
      </c>
      <c r="U693" t="b">
        <v>0</v>
      </c>
      <c r="V693">
        <v>2.2564102564102559</v>
      </c>
      <c r="Y693">
        <v>0</v>
      </c>
      <c r="Z693">
        <v>144</v>
      </c>
      <c r="AA693">
        <v>-9.3834349960680002E-3</v>
      </c>
      <c r="AB693">
        <v>-0.83617424242424265</v>
      </c>
      <c r="AC693">
        <v>-2.30401220979718E-2</v>
      </c>
      <c r="AD693">
        <v>-2.1012105684112999E-3</v>
      </c>
      <c r="AE693">
        <v>0</v>
      </c>
      <c r="AF693" t="b">
        <v>0</v>
      </c>
    </row>
    <row r="694" spans="1:32" x14ac:dyDescent="0.3">
      <c r="A694" t="s">
        <v>1523</v>
      </c>
      <c r="B694" t="s">
        <v>1524</v>
      </c>
      <c r="C694" t="s">
        <v>573</v>
      </c>
      <c r="D694">
        <v>368</v>
      </c>
      <c r="E694">
        <v>2803</v>
      </c>
      <c r="F694">
        <v>12</v>
      </c>
      <c r="G694">
        <v>60</v>
      </c>
      <c r="H694">
        <v>60</v>
      </c>
      <c r="I694">
        <v>1</v>
      </c>
      <c r="J694">
        <v>1</v>
      </c>
      <c r="K694" t="s">
        <v>86</v>
      </c>
      <c r="P694">
        <v>0</v>
      </c>
      <c r="R694">
        <v>0</v>
      </c>
      <c r="T694">
        <v>0</v>
      </c>
      <c r="U694" t="b">
        <v>0</v>
      </c>
      <c r="V694">
        <v>0</v>
      </c>
      <c r="Y694">
        <v>0</v>
      </c>
      <c r="Z694">
        <v>99</v>
      </c>
      <c r="AA694">
        <v>8.7873462214409996E-4</v>
      </c>
      <c r="AB694">
        <v>0.1069518716577532</v>
      </c>
      <c r="AC694">
        <v>0</v>
      </c>
      <c r="AD694">
        <v>8.7873462214409996E-4</v>
      </c>
      <c r="AE694">
        <v>0</v>
      </c>
      <c r="AF694" t="b">
        <v>0</v>
      </c>
    </row>
    <row r="695" spans="1:32" x14ac:dyDescent="0.3">
      <c r="A695" t="s">
        <v>1525</v>
      </c>
      <c r="B695" t="s">
        <v>926</v>
      </c>
      <c r="C695" t="s">
        <v>431</v>
      </c>
      <c r="D695">
        <v>919</v>
      </c>
      <c r="E695">
        <v>20942</v>
      </c>
      <c r="F695">
        <v>221</v>
      </c>
      <c r="G695">
        <v>42</v>
      </c>
      <c r="H695">
        <v>1</v>
      </c>
      <c r="I695">
        <v>8.0221564320503997E-3</v>
      </c>
      <c r="J695">
        <v>0.1754265587118613</v>
      </c>
      <c r="K695" t="s">
        <v>432</v>
      </c>
      <c r="L695">
        <v>0.8373358949727826</v>
      </c>
      <c r="M695">
        <v>1</v>
      </c>
      <c r="N695">
        <v>1.5241737230264899E-2</v>
      </c>
      <c r="O695" t="s">
        <v>433</v>
      </c>
      <c r="P695">
        <v>18026</v>
      </c>
      <c r="Q695">
        <v>0.2923554865194718</v>
      </c>
      <c r="R695">
        <v>0</v>
      </c>
      <c r="T695">
        <v>0</v>
      </c>
      <c r="U695" t="b">
        <v>0</v>
      </c>
      <c r="V695">
        <v>3.49638196915777</v>
      </c>
      <c r="Y695">
        <v>0</v>
      </c>
      <c r="Z695">
        <v>695</v>
      </c>
      <c r="AA695">
        <v>1.9775929939672E-3</v>
      </c>
      <c r="AB695">
        <v>0.1219798446956719</v>
      </c>
      <c r="AC695">
        <v>-2.9323403045446499E-2</v>
      </c>
      <c r="AD695">
        <v>3.52473516879655E-2</v>
      </c>
      <c r="AE695">
        <v>0</v>
      </c>
      <c r="AF695" t="b">
        <v>0</v>
      </c>
    </row>
    <row r="696" spans="1:32" x14ac:dyDescent="0.3">
      <c r="A696" t="s">
        <v>1526</v>
      </c>
      <c r="B696" t="s">
        <v>1527</v>
      </c>
      <c r="C696" t="s">
        <v>573</v>
      </c>
      <c r="D696">
        <v>332</v>
      </c>
      <c r="E696">
        <v>4502</v>
      </c>
      <c r="F696">
        <v>11</v>
      </c>
      <c r="G696">
        <v>120</v>
      </c>
      <c r="H696">
        <v>60</v>
      </c>
      <c r="I696">
        <v>1</v>
      </c>
      <c r="J696">
        <v>1</v>
      </c>
      <c r="K696" t="s">
        <v>86</v>
      </c>
      <c r="P696">
        <v>0</v>
      </c>
      <c r="R696">
        <v>0</v>
      </c>
      <c r="T696">
        <v>0</v>
      </c>
      <c r="U696" t="b">
        <v>0</v>
      </c>
      <c r="V696">
        <v>0</v>
      </c>
      <c r="Y696">
        <v>0</v>
      </c>
      <c r="Z696">
        <v>169</v>
      </c>
      <c r="AA696">
        <v>-7.635428387719E-4</v>
      </c>
      <c r="AB696">
        <v>-0.1124260355029585</v>
      </c>
      <c r="AC696">
        <v>5.1401869158878002E-3</v>
      </c>
      <c r="AD696">
        <v>0</v>
      </c>
      <c r="AE696">
        <v>0</v>
      </c>
      <c r="AF696" t="b">
        <v>0</v>
      </c>
    </row>
    <row r="697" spans="1:32" x14ac:dyDescent="0.3">
      <c r="A697" t="s">
        <v>1528</v>
      </c>
      <c r="B697" t="s">
        <v>1529</v>
      </c>
      <c r="C697" t="s">
        <v>573</v>
      </c>
      <c r="D697">
        <v>739</v>
      </c>
      <c r="E697">
        <v>12392</v>
      </c>
      <c r="F697">
        <v>6</v>
      </c>
      <c r="G697">
        <v>60</v>
      </c>
      <c r="H697">
        <v>60</v>
      </c>
      <c r="I697">
        <v>1</v>
      </c>
      <c r="J697">
        <v>1</v>
      </c>
      <c r="K697" t="s">
        <v>86</v>
      </c>
      <c r="P697">
        <v>0</v>
      </c>
      <c r="R697">
        <v>0</v>
      </c>
      <c r="T697">
        <v>0</v>
      </c>
      <c r="U697" t="b">
        <v>0</v>
      </c>
      <c r="V697">
        <v>0.83281347473487211</v>
      </c>
      <c r="Y697">
        <v>0</v>
      </c>
      <c r="Z697">
        <v>272</v>
      </c>
      <c r="AA697">
        <v>8.9879106272539998E-4</v>
      </c>
      <c r="AB697">
        <v>8.39023109243697E-2</v>
      </c>
      <c r="AC697">
        <v>2.2370288408341001E-3</v>
      </c>
      <c r="AD697">
        <v>-1.716148961729E-4</v>
      </c>
      <c r="AE697">
        <v>0</v>
      </c>
      <c r="AF697" t="b">
        <v>0</v>
      </c>
    </row>
    <row r="698" spans="1:32" x14ac:dyDescent="0.3">
      <c r="A698" t="s">
        <v>1530</v>
      </c>
      <c r="B698" t="s">
        <v>1531</v>
      </c>
      <c r="C698" t="s">
        <v>573</v>
      </c>
      <c r="D698">
        <v>798</v>
      </c>
      <c r="E698">
        <v>14857</v>
      </c>
      <c r="F698">
        <v>27</v>
      </c>
      <c r="G698">
        <v>60</v>
      </c>
      <c r="H698">
        <v>60</v>
      </c>
      <c r="I698">
        <v>1</v>
      </c>
      <c r="J698">
        <v>1</v>
      </c>
      <c r="K698" t="s">
        <v>86</v>
      </c>
      <c r="P698">
        <v>0</v>
      </c>
      <c r="R698">
        <v>0</v>
      </c>
      <c r="T698">
        <v>0</v>
      </c>
      <c r="U698" t="b">
        <v>0</v>
      </c>
      <c r="V698">
        <v>0</v>
      </c>
      <c r="Y698">
        <v>0</v>
      </c>
      <c r="Z698">
        <v>212</v>
      </c>
      <c r="AA698">
        <v>-2.4038461538461502E-2</v>
      </c>
      <c r="AB698">
        <v>-2.476415094339623</v>
      </c>
      <c r="AC698">
        <v>0</v>
      </c>
      <c r="AD698">
        <v>-6.0137457044673499E-2</v>
      </c>
      <c r="AE698">
        <v>0</v>
      </c>
      <c r="AF698" t="b">
        <v>0</v>
      </c>
    </row>
    <row r="699" spans="1:32" x14ac:dyDescent="0.3">
      <c r="A699" t="s">
        <v>1532</v>
      </c>
      <c r="B699" t="s">
        <v>1533</v>
      </c>
      <c r="C699" t="s">
        <v>573</v>
      </c>
      <c r="D699">
        <v>1039</v>
      </c>
      <c r="E699">
        <v>18302</v>
      </c>
      <c r="F699">
        <v>7</v>
      </c>
      <c r="G699">
        <v>120</v>
      </c>
      <c r="H699">
        <v>60</v>
      </c>
      <c r="I699">
        <v>1</v>
      </c>
      <c r="J699">
        <v>1</v>
      </c>
      <c r="K699" t="s">
        <v>86</v>
      </c>
      <c r="P699">
        <v>0</v>
      </c>
      <c r="R699">
        <v>0</v>
      </c>
      <c r="T699">
        <v>0</v>
      </c>
      <c r="U699" t="b">
        <v>0</v>
      </c>
      <c r="V699">
        <v>9.8777979699481406</v>
      </c>
      <c r="Y699">
        <v>0</v>
      </c>
      <c r="Z699">
        <v>331</v>
      </c>
      <c r="AA699">
        <v>-2.9735964618231E-3</v>
      </c>
      <c r="AB699">
        <v>-0.29447488275694361</v>
      </c>
      <c r="AC699">
        <v>-3.3046342953787998E-3</v>
      </c>
      <c r="AD699">
        <v>7.6970665072694996E-3</v>
      </c>
      <c r="AE699">
        <v>0</v>
      </c>
      <c r="AF699" t="b">
        <v>0</v>
      </c>
    </row>
    <row r="700" spans="1:32" x14ac:dyDescent="0.3">
      <c r="A700" t="s">
        <v>1534</v>
      </c>
      <c r="B700" t="s">
        <v>1535</v>
      </c>
      <c r="C700" t="s">
        <v>573</v>
      </c>
      <c r="D700">
        <v>1204</v>
      </c>
      <c r="E700">
        <v>12522</v>
      </c>
      <c r="F700">
        <v>40</v>
      </c>
      <c r="G700">
        <v>120</v>
      </c>
      <c r="H700">
        <v>60</v>
      </c>
      <c r="I700">
        <v>1</v>
      </c>
      <c r="J700">
        <v>1</v>
      </c>
      <c r="K700" t="s">
        <v>86</v>
      </c>
      <c r="P700">
        <v>0</v>
      </c>
      <c r="R700">
        <v>0</v>
      </c>
      <c r="T700">
        <v>0</v>
      </c>
      <c r="U700" t="b">
        <v>0</v>
      </c>
      <c r="V700">
        <v>5.5719138512732824</v>
      </c>
      <c r="Y700">
        <v>0</v>
      </c>
      <c r="Z700">
        <v>419</v>
      </c>
      <c r="AA700">
        <v>-2.8596215622572001E-3</v>
      </c>
      <c r="AB700">
        <v>-0.42294440893863089</v>
      </c>
      <c r="AC700">
        <v>-4.1199996894909999E-3</v>
      </c>
      <c r="AD700">
        <v>-7.7197739082221998E-3</v>
      </c>
      <c r="AE700">
        <v>0</v>
      </c>
      <c r="AF700" t="b">
        <v>0</v>
      </c>
    </row>
    <row r="701" spans="1:32" x14ac:dyDescent="0.3">
      <c r="A701" t="s">
        <v>1536</v>
      </c>
      <c r="B701" t="s">
        <v>1537</v>
      </c>
      <c r="C701" t="s">
        <v>573</v>
      </c>
      <c r="D701">
        <v>362</v>
      </c>
      <c r="E701">
        <v>6932</v>
      </c>
      <c r="F701">
        <v>182</v>
      </c>
      <c r="G701">
        <v>91</v>
      </c>
      <c r="H701">
        <v>1</v>
      </c>
      <c r="I701">
        <v>3.1015579919215198E-2</v>
      </c>
      <c r="J701">
        <v>8.7743350699204005E-3</v>
      </c>
      <c r="K701" t="s">
        <v>86</v>
      </c>
      <c r="P701">
        <v>0</v>
      </c>
      <c r="R701">
        <v>0</v>
      </c>
      <c r="T701">
        <v>0</v>
      </c>
      <c r="U701" t="b">
        <v>0</v>
      </c>
      <c r="V701">
        <v>0</v>
      </c>
      <c r="Y701">
        <v>0</v>
      </c>
      <c r="Z701">
        <v>214</v>
      </c>
      <c r="AA701">
        <v>0</v>
      </c>
      <c r="AB701">
        <v>0</v>
      </c>
      <c r="AC701">
        <v>0</v>
      </c>
      <c r="AD701">
        <v>0</v>
      </c>
      <c r="AE701">
        <v>0</v>
      </c>
      <c r="AF701" t="b">
        <v>0</v>
      </c>
    </row>
    <row r="702" spans="1:32" x14ac:dyDescent="0.3">
      <c r="A702" t="s">
        <v>1538</v>
      </c>
      <c r="B702" t="s">
        <v>1539</v>
      </c>
      <c r="C702" t="s">
        <v>573</v>
      </c>
      <c r="D702">
        <v>672</v>
      </c>
      <c r="E702">
        <v>13449</v>
      </c>
      <c r="F702">
        <v>162</v>
      </c>
      <c r="G702">
        <v>78</v>
      </c>
      <c r="H702">
        <v>1</v>
      </c>
      <c r="I702">
        <v>2.1265521600118902E-2</v>
      </c>
      <c r="J702">
        <v>1.2888605622831201E-2</v>
      </c>
      <c r="K702" t="s">
        <v>86</v>
      </c>
      <c r="P702">
        <v>0</v>
      </c>
      <c r="R702">
        <v>0</v>
      </c>
      <c r="T702">
        <v>0</v>
      </c>
      <c r="U702" t="b">
        <v>0</v>
      </c>
      <c r="V702">
        <v>0</v>
      </c>
      <c r="Y702">
        <v>0</v>
      </c>
      <c r="Z702">
        <v>467</v>
      </c>
      <c r="AA702">
        <v>0</v>
      </c>
      <c r="AB702">
        <v>0</v>
      </c>
      <c r="AC702">
        <v>0</v>
      </c>
      <c r="AD702">
        <v>0</v>
      </c>
      <c r="AE702">
        <v>0</v>
      </c>
      <c r="AF702" t="b">
        <v>0</v>
      </c>
    </row>
    <row r="703" spans="1:32" x14ac:dyDescent="0.3">
      <c r="A703" t="s">
        <v>1540</v>
      </c>
      <c r="B703" t="s">
        <v>1541</v>
      </c>
      <c r="C703" t="s">
        <v>573</v>
      </c>
      <c r="D703">
        <v>152</v>
      </c>
      <c r="E703">
        <v>2686</v>
      </c>
      <c r="F703">
        <v>62</v>
      </c>
      <c r="G703">
        <v>45</v>
      </c>
      <c r="H703">
        <v>1</v>
      </c>
      <c r="I703">
        <v>0</v>
      </c>
      <c r="J703">
        <v>2.5722339675828002E-2</v>
      </c>
      <c r="K703" t="s">
        <v>86</v>
      </c>
      <c r="P703">
        <v>0</v>
      </c>
      <c r="R703">
        <v>0</v>
      </c>
      <c r="T703">
        <v>0</v>
      </c>
      <c r="U703" t="b">
        <v>0</v>
      </c>
      <c r="V703">
        <v>0</v>
      </c>
      <c r="Y703">
        <v>0</v>
      </c>
      <c r="Z703">
        <v>118</v>
      </c>
      <c r="AA703">
        <v>0</v>
      </c>
      <c r="AB703">
        <v>0</v>
      </c>
      <c r="AC703">
        <v>0</v>
      </c>
      <c r="AD703">
        <v>0</v>
      </c>
      <c r="AE703">
        <v>0</v>
      </c>
      <c r="AF703" t="b">
        <v>0</v>
      </c>
    </row>
    <row r="704" spans="1:32" x14ac:dyDescent="0.3">
      <c r="A704" t="s">
        <v>1542</v>
      </c>
      <c r="B704" t="s">
        <v>1543</v>
      </c>
      <c r="C704" t="s">
        <v>573</v>
      </c>
      <c r="D704">
        <v>1340</v>
      </c>
      <c r="E704">
        <v>38000</v>
      </c>
      <c r="F704">
        <v>294</v>
      </c>
      <c r="G704">
        <v>82</v>
      </c>
      <c r="H704">
        <v>1</v>
      </c>
      <c r="I704">
        <v>2.7421052631578902E-2</v>
      </c>
      <c r="J704">
        <v>0.1335536349771225</v>
      </c>
      <c r="K704" t="s">
        <v>86</v>
      </c>
      <c r="P704">
        <v>0</v>
      </c>
      <c r="R704">
        <v>0</v>
      </c>
      <c r="T704">
        <v>0</v>
      </c>
      <c r="U704" t="b">
        <v>0</v>
      </c>
      <c r="V704">
        <v>5.4730430034197148</v>
      </c>
      <c r="Y704">
        <v>0</v>
      </c>
      <c r="Z704">
        <v>941</v>
      </c>
      <c r="AA704">
        <v>-1.4313463965593401E-2</v>
      </c>
      <c r="AB704">
        <v>-1.318484494093449</v>
      </c>
      <c r="AC704">
        <v>-4.3391740658634097E-2</v>
      </c>
      <c r="AD704">
        <v>1.0130127055732199E-2</v>
      </c>
      <c r="AE704">
        <v>0</v>
      </c>
      <c r="AF704" t="b">
        <v>0</v>
      </c>
    </row>
    <row r="705" spans="1:35" x14ac:dyDescent="0.3">
      <c r="A705" t="s">
        <v>1544</v>
      </c>
      <c r="B705" t="s">
        <v>1545</v>
      </c>
      <c r="C705" t="s">
        <v>573</v>
      </c>
      <c r="D705">
        <v>564</v>
      </c>
      <c r="E705">
        <v>5428</v>
      </c>
      <c r="F705">
        <v>145</v>
      </c>
      <c r="G705">
        <v>120</v>
      </c>
      <c r="H705">
        <v>1</v>
      </c>
      <c r="I705">
        <v>0.50239498894620482</v>
      </c>
      <c r="J705">
        <v>0.71829105473965282</v>
      </c>
      <c r="K705" t="s">
        <v>86</v>
      </c>
      <c r="P705">
        <v>0</v>
      </c>
      <c r="R705">
        <v>0</v>
      </c>
      <c r="T705">
        <v>0</v>
      </c>
      <c r="U705" t="b">
        <v>0</v>
      </c>
      <c r="V705">
        <v>0.59313725490196079</v>
      </c>
      <c r="Y705">
        <v>0</v>
      </c>
      <c r="Z705">
        <v>171</v>
      </c>
      <c r="AA705">
        <v>-2.4971175751266499E-2</v>
      </c>
      <c r="AB705">
        <v>-4.8762461709830127</v>
      </c>
      <c r="AC705">
        <v>2.0578231292516999E-3</v>
      </c>
      <c r="AD705">
        <v>-1.10937292312096E-2</v>
      </c>
      <c r="AE705">
        <v>0</v>
      </c>
      <c r="AF705" t="b">
        <v>0</v>
      </c>
    </row>
    <row r="706" spans="1:35" x14ac:dyDescent="0.3">
      <c r="A706" t="s">
        <v>1546</v>
      </c>
      <c r="B706" t="s">
        <v>1547</v>
      </c>
      <c r="C706" t="s">
        <v>573</v>
      </c>
      <c r="D706">
        <v>636</v>
      </c>
      <c r="E706">
        <v>7802</v>
      </c>
      <c r="F706">
        <v>25</v>
      </c>
      <c r="G706">
        <v>180</v>
      </c>
      <c r="H706">
        <v>60</v>
      </c>
      <c r="I706">
        <v>1</v>
      </c>
      <c r="J706">
        <v>1</v>
      </c>
      <c r="K706" t="s">
        <v>86</v>
      </c>
      <c r="P706">
        <v>0</v>
      </c>
      <c r="R706">
        <v>0</v>
      </c>
      <c r="T706">
        <v>0</v>
      </c>
      <c r="U706" t="b">
        <v>0</v>
      </c>
      <c r="V706">
        <v>2.3255813953488369</v>
      </c>
      <c r="Y706">
        <v>0</v>
      </c>
      <c r="Z706">
        <v>196</v>
      </c>
      <c r="AA706">
        <v>1.7535794036515999E-3</v>
      </c>
      <c r="AB706">
        <v>0.58381924198250734</v>
      </c>
      <c r="AC706">
        <v>1.8030200585980999E-3</v>
      </c>
      <c r="AD706">
        <v>2.3935893433238999E-3</v>
      </c>
      <c r="AE706">
        <v>0</v>
      </c>
      <c r="AF706" t="b">
        <v>0</v>
      </c>
    </row>
    <row r="707" spans="1:35" x14ac:dyDescent="0.3">
      <c r="A707" t="s">
        <v>1548</v>
      </c>
      <c r="B707" t="s">
        <v>1549</v>
      </c>
      <c r="C707" t="s">
        <v>573</v>
      </c>
      <c r="D707">
        <v>421</v>
      </c>
      <c r="E707">
        <v>13487</v>
      </c>
      <c r="F707">
        <v>154</v>
      </c>
      <c r="G707">
        <v>52</v>
      </c>
      <c r="H707">
        <v>1</v>
      </c>
      <c r="I707">
        <v>2.21694965522354E-2</v>
      </c>
      <c r="J707">
        <v>4.7958009778544697E-2</v>
      </c>
      <c r="K707" t="s">
        <v>86</v>
      </c>
      <c r="P707">
        <v>0</v>
      </c>
      <c r="R707">
        <v>0</v>
      </c>
      <c r="T707">
        <v>0</v>
      </c>
      <c r="U707" t="b">
        <v>0</v>
      </c>
      <c r="V707">
        <v>0.15915151515151521</v>
      </c>
      <c r="Y707">
        <v>0</v>
      </c>
      <c r="Z707">
        <v>286</v>
      </c>
      <c r="AA707">
        <v>6.4746999844709997E-4</v>
      </c>
      <c r="AB707">
        <v>4.3591257227620701E-2</v>
      </c>
      <c r="AC707">
        <v>-8.0079295302200001E-4</v>
      </c>
      <c r="AD707">
        <v>7.5935710271429996E-4</v>
      </c>
      <c r="AE707">
        <v>0</v>
      </c>
      <c r="AF707" t="b">
        <v>0</v>
      </c>
    </row>
    <row r="708" spans="1:35" x14ac:dyDescent="0.3">
      <c r="A708" t="s">
        <v>1550</v>
      </c>
      <c r="B708" t="s">
        <v>1551</v>
      </c>
      <c r="C708" t="s">
        <v>573</v>
      </c>
      <c r="D708">
        <v>2083</v>
      </c>
      <c r="E708">
        <v>45481</v>
      </c>
      <c r="F708">
        <v>269</v>
      </c>
      <c r="G708">
        <v>87</v>
      </c>
      <c r="H708">
        <v>1</v>
      </c>
      <c r="I708">
        <v>1.5303093599524999E-2</v>
      </c>
      <c r="J708">
        <v>0.10512152047767211</v>
      </c>
      <c r="K708" t="s">
        <v>86</v>
      </c>
      <c r="P708">
        <v>0</v>
      </c>
      <c r="R708">
        <v>0</v>
      </c>
      <c r="T708">
        <v>0</v>
      </c>
      <c r="U708" t="b">
        <v>0</v>
      </c>
      <c r="V708">
        <v>8.8591903028277592</v>
      </c>
      <c r="Y708">
        <v>0</v>
      </c>
      <c r="Z708">
        <v>1054</v>
      </c>
      <c r="AA708">
        <v>-3.3872458033948498E-2</v>
      </c>
      <c r="AB708">
        <v>-3.2866775829838621</v>
      </c>
      <c r="AC708">
        <v>-7.6388684720920197E-2</v>
      </c>
      <c r="AD708">
        <v>1.9093838557525001E-3</v>
      </c>
      <c r="AE708">
        <v>0</v>
      </c>
      <c r="AF708" t="b">
        <v>0</v>
      </c>
    </row>
    <row r="709" spans="1:35" x14ac:dyDescent="0.3">
      <c r="A709" t="s">
        <v>1552</v>
      </c>
      <c r="B709" t="s">
        <v>1553</v>
      </c>
      <c r="C709" t="s">
        <v>573</v>
      </c>
      <c r="D709">
        <v>729</v>
      </c>
      <c r="E709">
        <v>10215</v>
      </c>
      <c r="F709">
        <v>6</v>
      </c>
      <c r="G709">
        <v>120</v>
      </c>
      <c r="H709">
        <v>60</v>
      </c>
      <c r="I709">
        <v>1</v>
      </c>
      <c r="J709">
        <v>1</v>
      </c>
      <c r="K709" t="s">
        <v>86</v>
      </c>
      <c r="P709">
        <v>0</v>
      </c>
      <c r="R709">
        <v>0</v>
      </c>
      <c r="T709">
        <v>0</v>
      </c>
      <c r="U709" t="b">
        <v>0</v>
      </c>
      <c r="V709">
        <v>7.445117029862792</v>
      </c>
      <c r="Y709">
        <v>0</v>
      </c>
      <c r="Z709">
        <v>220</v>
      </c>
      <c r="AA709">
        <v>-3.32011607953498E-2</v>
      </c>
      <c r="AB709">
        <v>-3.702061864160795</v>
      </c>
      <c r="AC709">
        <v>-6.5852238522118606E-2</v>
      </c>
      <c r="AD709">
        <v>-1.41250217232503E-2</v>
      </c>
      <c r="AE709">
        <v>0</v>
      </c>
      <c r="AF709" t="b">
        <v>0</v>
      </c>
    </row>
    <row r="710" spans="1:35" x14ac:dyDescent="0.3">
      <c r="A710" t="s">
        <v>1554</v>
      </c>
      <c r="B710" t="s">
        <v>1555</v>
      </c>
      <c r="C710" t="s">
        <v>573</v>
      </c>
      <c r="D710">
        <v>3072</v>
      </c>
      <c r="E710">
        <v>72153</v>
      </c>
      <c r="F710">
        <v>93</v>
      </c>
      <c r="G710">
        <v>66</v>
      </c>
      <c r="H710">
        <v>1</v>
      </c>
      <c r="I710">
        <v>0.72648399927930929</v>
      </c>
      <c r="J710">
        <v>0.7870388833499502</v>
      </c>
      <c r="K710" t="s">
        <v>86</v>
      </c>
      <c r="P710">
        <v>0</v>
      </c>
      <c r="R710">
        <v>0</v>
      </c>
      <c r="T710">
        <v>0</v>
      </c>
      <c r="U710" t="b">
        <v>0</v>
      </c>
      <c r="V710">
        <v>16.444446265557229</v>
      </c>
      <c r="Y710">
        <v>0</v>
      </c>
      <c r="Z710">
        <v>1037</v>
      </c>
      <c r="AA710">
        <v>-5.15589630805715E-2</v>
      </c>
      <c r="AB710">
        <v>-4.4915380550895376</v>
      </c>
      <c r="AC710">
        <v>-5.2538358482312003E-2</v>
      </c>
      <c r="AD710">
        <v>-6.0920611624632498E-2</v>
      </c>
      <c r="AE710">
        <v>0</v>
      </c>
      <c r="AF710" t="b">
        <v>0</v>
      </c>
    </row>
    <row r="711" spans="1:35" x14ac:dyDescent="0.3">
      <c r="A711" t="s">
        <v>1556</v>
      </c>
      <c r="B711" t="s">
        <v>1557</v>
      </c>
      <c r="C711" t="s">
        <v>573</v>
      </c>
      <c r="D711">
        <v>7268</v>
      </c>
      <c r="E711">
        <v>2366</v>
      </c>
      <c r="F711">
        <v>8</v>
      </c>
      <c r="G711">
        <v>240</v>
      </c>
      <c r="H711">
        <v>60</v>
      </c>
      <c r="I711">
        <v>1</v>
      </c>
      <c r="J711">
        <v>1</v>
      </c>
      <c r="K711" t="s">
        <v>86</v>
      </c>
      <c r="P711">
        <v>0</v>
      </c>
      <c r="R711">
        <v>0</v>
      </c>
      <c r="T711">
        <v>0</v>
      </c>
      <c r="U711" t="b">
        <v>0</v>
      </c>
      <c r="V711">
        <v>6.7011494252873574</v>
      </c>
      <c r="Y711">
        <v>0.74370364904254138</v>
      </c>
      <c r="Z711">
        <v>34</v>
      </c>
      <c r="AA711">
        <v>-1.09673993902455E-2</v>
      </c>
      <c r="AB711">
        <v>-2.6892099724140111</v>
      </c>
      <c r="AC711">
        <v>-2.4628044441262001E-3</v>
      </c>
      <c r="AD711">
        <v>-2.3175739607880799E-2</v>
      </c>
      <c r="AE711">
        <v>0</v>
      </c>
      <c r="AF711" t="b">
        <v>0</v>
      </c>
    </row>
    <row r="712" spans="1:35" x14ac:dyDescent="0.3">
      <c r="A712" t="s">
        <v>1558</v>
      </c>
      <c r="B712" t="s">
        <v>1559</v>
      </c>
      <c r="C712" t="s">
        <v>573</v>
      </c>
      <c r="D712">
        <v>1053</v>
      </c>
      <c r="E712">
        <v>17407</v>
      </c>
      <c r="F712">
        <v>12</v>
      </c>
      <c r="G712">
        <v>120</v>
      </c>
      <c r="H712">
        <v>60</v>
      </c>
      <c r="I712">
        <v>1</v>
      </c>
      <c r="J712">
        <v>1</v>
      </c>
      <c r="K712" t="s">
        <v>86</v>
      </c>
      <c r="P712">
        <v>0</v>
      </c>
      <c r="R712">
        <v>0</v>
      </c>
      <c r="T712">
        <v>0</v>
      </c>
      <c r="U712" t="b">
        <v>0</v>
      </c>
      <c r="V712">
        <v>11.09535452322738</v>
      </c>
      <c r="Y712">
        <v>0</v>
      </c>
      <c r="Z712">
        <v>522</v>
      </c>
      <c r="AA712">
        <v>-1.4446877566071999E-3</v>
      </c>
      <c r="AB712">
        <v>-0.18005111108559371</v>
      </c>
      <c r="AC712">
        <v>-2.5883754952943299E-2</v>
      </c>
      <c r="AD712">
        <v>2.4428459234867202E-2</v>
      </c>
      <c r="AE712">
        <v>0</v>
      </c>
      <c r="AF712" t="b">
        <v>0</v>
      </c>
    </row>
    <row r="713" spans="1:35" x14ac:dyDescent="0.3">
      <c r="A713" t="s">
        <v>1560</v>
      </c>
      <c r="B713" t="s">
        <v>1561</v>
      </c>
      <c r="C713" t="s">
        <v>573</v>
      </c>
      <c r="D713">
        <v>370</v>
      </c>
      <c r="E713">
        <v>9197</v>
      </c>
      <c r="F713">
        <v>145</v>
      </c>
      <c r="G713">
        <v>52</v>
      </c>
      <c r="H713">
        <v>1</v>
      </c>
      <c r="I713">
        <v>2.9683592475807302E-2</v>
      </c>
      <c r="J713">
        <v>0.28723737848855441</v>
      </c>
      <c r="K713" t="s">
        <v>86</v>
      </c>
      <c r="P713">
        <v>0</v>
      </c>
      <c r="R713">
        <v>0</v>
      </c>
      <c r="T713">
        <v>0</v>
      </c>
      <c r="U713" t="b">
        <v>0</v>
      </c>
      <c r="V713">
        <v>3.7846652522395101</v>
      </c>
      <c r="Y713">
        <v>0</v>
      </c>
      <c r="Z713">
        <v>296</v>
      </c>
      <c r="AA713">
        <v>-2.27786219288225E-2</v>
      </c>
      <c r="AB713">
        <v>-1.317074704574704</v>
      </c>
      <c r="AC713">
        <v>-1.15851746265088E-2</v>
      </c>
      <c r="AD713">
        <v>-3.9603580304859998E-2</v>
      </c>
      <c r="AE713">
        <v>0</v>
      </c>
      <c r="AF713" t="b">
        <v>0</v>
      </c>
    </row>
    <row r="714" spans="1:35" x14ac:dyDescent="0.3">
      <c r="A714" t="s">
        <v>1562</v>
      </c>
      <c r="B714" t="s">
        <v>1563</v>
      </c>
      <c r="C714" t="s">
        <v>573</v>
      </c>
      <c r="D714">
        <v>7217</v>
      </c>
      <c r="E714">
        <v>179862</v>
      </c>
      <c r="F714">
        <v>380</v>
      </c>
      <c r="G714">
        <v>88</v>
      </c>
      <c r="H714">
        <v>1</v>
      </c>
      <c r="I714">
        <v>1.8842223482447601E-2</v>
      </c>
      <c r="J714">
        <v>0.1599888822372359</v>
      </c>
      <c r="K714" t="s">
        <v>86</v>
      </c>
      <c r="P714">
        <v>0</v>
      </c>
      <c r="R714">
        <v>0</v>
      </c>
      <c r="T714">
        <v>1</v>
      </c>
      <c r="U714" t="b">
        <v>1</v>
      </c>
      <c r="V714">
        <v>5.9260145990955326</v>
      </c>
      <c r="W714">
        <v>0</v>
      </c>
      <c r="X714" t="b">
        <v>1</v>
      </c>
      <c r="Y714">
        <v>0</v>
      </c>
      <c r="Z714">
        <v>1579</v>
      </c>
      <c r="AA714">
        <v>9.9143427518747999E-3</v>
      </c>
      <c r="AB714">
        <v>0.93679298831859459</v>
      </c>
      <c r="AC714">
        <v>4.6506272415270002E-4</v>
      </c>
      <c r="AD714">
        <v>2.0175002914552299E-2</v>
      </c>
      <c r="AE714">
        <v>1</v>
      </c>
      <c r="AF714" t="b">
        <v>1</v>
      </c>
      <c r="AG714">
        <v>0</v>
      </c>
      <c r="AH714">
        <v>0</v>
      </c>
      <c r="AI714" t="b">
        <v>1</v>
      </c>
    </row>
    <row r="715" spans="1:35" x14ac:dyDescent="0.3">
      <c r="A715" t="s">
        <v>1564</v>
      </c>
      <c r="B715" t="s">
        <v>1565</v>
      </c>
      <c r="C715" t="s">
        <v>573</v>
      </c>
      <c r="D715">
        <v>52</v>
      </c>
      <c r="E715">
        <v>736</v>
      </c>
      <c r="F715">
        <v>14</v>
      </c>
      <c r="G715">
        <v>180</v>
      </c>
      <c r="H715">
        <v>60</v>
      </c>
      <c r="I715">
        <v>1</v>
      </c>
      <c r="J715">
        <v>1</v>
      </c>
      <c r="K715" t="s">
        <v>86</v>
      </c>
      <c r="P715">
        <v>0</v>
      </c>
      <c r="R715">
        <v>0</v>
      </c>
      <c r="T715">
        <v>0</v>
      </c>
      <c r="U715" t="b">
        <v>0</v>
      </c>
      <c r="Y715">
        <v>0</v>
      </c>
      <c r="Z715">
        <v>39</v>
      </c>
      <c r="AA715">
        <v>-3.5825545171339498E-2</v>
      </c>
      <c r="AB715">
        <v>-5.8974358974358978</v>
      </c>
      <c r="AE715">
        <v>0</v>
      </c>
      <c r="AF715" t="b">
        <v>0</v>
      </c>
    </row>
    <row r="716" spans="1:35" x14ac:dyDescent="0.3">
      <c r="A716" t="s">
        <v>1566</v>
      </c>
      <c r="B716" t="s">
        <v>1567</v>
      </c>
      <c r="C716" t="s">
        <v>573</v>
      </c>
      <c r="D716">
        <v>534</v>
      </c>
      <c r="E716">
        <v>6648</v>
      </c>
      <c r="F716">
        <v>25</v>
      </c>
      <c r="G716">
        <v>60</v>
      </c>
      <c r="H716">
        <v>60</v>
      </c>
      <c r="I716">
        <v>1</v>
      </c>
      <c r="J716">
        <v>1</v>
      </c>
      <c r="K716" t="s">
        <v>86</v>
      </c>
      <c r="P716">
        <v>0</v>
      </c>
      <c r="R716">
        <v>0</v>
      </c>
      <c r="T716">
        <v>0</v>
      </c>
      <c r="U716" t="b">
        <v>0</v>
      </c>
      <c r="V716">
        <v>0</v>
      </c>
      <c r="Y716">
        <v>0</v>
      </c>
      <c r="Z716">
        <v>224</v>
      </c>
      <c r="AA716">
        <v>-8.6634528051421009E-3</v>
      </c>
      <c r="AB716">
        <v>-1.186224489795918</v>
      </c>
      <c r="AC716">
        <v>-1.30446849847349E-2</v>
      </c>
      <c r="AD716">
        <v>-1.79856115107913E-2</v>
      </c>
      <c r="AE716">
        <v>0</v>
      </c>
      <c r="AF716" t="b">
        <v>0</v>
      </c>
    </row>
    <row r="717" spans="1:35" x14ac:dyDescent="0.3">
      <c r="A717" t="s">
        <v>1568</v>
      </c>
      <c r="B717" t="s">
        <v>1569</v>
      </c>
      <c r="C717" t="s">
        <v>573</v>
      </c>
      <c r="D717">
        <v>1411</v>
      </c>
      <c r="E717">
        <v>15258</v>
      </c>
      <c r="F717">
        <v>230</v>
      </c>
      <c r="G717">
        <v>131</v>
      </c>
      <c r="H717">
        <v>1</v>
      </c>
      <c r="I717">
        <v>6.1082710709136102E-2</v>
      </c>
      <c r="J717">
        <v>2.9815825784390099E-2</v>
      </c>
      <c r="K717" t="s">
        <v>86</v>
      </c>
      <c r="P717">
        <v>0</v>
      </c>
      <c r="R717">
        <v>0</v>
      </c>
      <c r="T717">
        <v>0</v>
      </c>
      <c r="U717" t="b">
        <v>0</v>
      </c>
      <c r="V717">
        <v>0</v>
      </c>
      <c r="Y717">
        <v>0</v>
      </c>
      <c r="Z717">
        <v>338</v>
      </c>
      <c r="AA717">
        <v>0</v>
      </c>
      <c r="AB717">
        <v>0</v>
      </c>
      <c r="AC717">
        <v>0</v>
      </c>
      <c r="AD717">
        <v>0</v>
      </c>
      <c r="AE717">
        <v>0</v>
      </c>
      <c r="AF717" t="b">
        <v>0</v>
      </c>
    </row>
    <row r="718" spans="1:35" x14ac:dyDescent="0.3">
      <c r="A718" t="s">
        <v>1570</v>
      </c>
      <c r="B718" t="s">
        <v>1571</v>
      </c>
      <c r="C718" t="s">
        <v>573</v>
      </c>
      <c r="D718">
        <v>591</v>
      </c>
      <c r="E718">
        <v>12179</v>
      </c>
      <c r="F718">
        <v>9</v>
      </c>
      <c r="G718">
        <v>60</v>
      </c>
      <c r="H718">
        <v>60</v>
      </c>
      <c r="I718">
        <v>1</v>
      </c>
      <c r="J718">
        <v>1</v>
      </c>
      <c r="K718" t="s">
        <v>86</v>
      </c>
      <c r="P718">
        <v>0</v>
      </c>
      <c r="R718">
        <v>0</v>
      </c>
      <c r="T718">
        <v>0</v>
      </c>
      <c r="U718" t="b">
        <v>0</v>
      </c>
      <c r="V718">
        <v>11.55097402597403</v>
      </c>
      <c r="Y718">
        <v>0</v>
      </c>
      <c r="Z718">
        <v>279</v>
      </c>
      <c r="AA718">
        <v>-2.9801940685052899E-2</v>
      </c>
      <c r="AB718">
        <v>-2.8589359880181808</v>
      </c>
      <c r="AC718">
        <v>-5.9037422321865797E-2</v>
      </c>
      <c r="AD718">
        <v>-6.4340802467150997E-3</v>
      </c>
      <c r="AE718">
        <v>0</v>
      </c>
      <c r="AF718" t="b">
        <v>0</v>
      </c>
    </row>
    <row r="719" spans="1:35" x14ac:dyDescent="0.3">
      <c r="A719" t="s">
        <v>1572</v>
      </c>
      <c r="B719" t="s">
        <v>1573</v>
      </c>
      <c r="C719" t="s">
        <v>573</v>
      </c>
      <c r="D719">
        <v>249</v>
      </c>
      <c r="E719">
        <v>5084</v>
      </c>
      <c r="F719">
        <v>29</v>
      </c>
      <c r="G719">
        <v>60</v>
      </c>
      <c r="H719">
        <v>60</v>
      </c>
      <c r="I719">
        <v>1</v>
      </c>
      <c r="J719">
        <v>1</v>
      </c>
      <c r="K719" t="s">
        <v>432</v>
      </c>
      <c r="L719">
        <v>0.56554576515015287</v>
      </c>
      <c r="M719">
        <v>1</v>
      </c>
      <c r="N719">
        <v>1</v>
      </c>
      <c r="O719" t="s">
        <v>518</v>
      </c>
      <c r="P719">
        <v>0</v>
      </c>
      <c r="R719">
        <v>0</v>
      </c>
      <c r="T719">
        <v>0</v>
      </c>
      <c r="U719" t="b">
        <v>0</v>
      </c>
      <c r="V719">
        <v>19.405521307960331</v>
      </c>
      <c r="Y719">
        <v>0</v>
      </c>
      <c r="Z719">
        <v>60</v>
      </c>
      <c r="AA719">
        <v>6.7900489725846599E-2</v>
      </c>
      <c r="AB719">
        <v>9.4981344018300558</v>
      </c>
      <c r="AC719">
        <v>0.1258809560983403</v>
      </c>
      <c r="AD719">
        <v>3.3869380671069697E-2</v>
      </c>
      <c r="AE719">
        <v>0</v>
      </c>
      <c r="AF719" t="b">
        <v>0</v>
      </c>
    </row>
    <row r="720" spans="1:35" x14ac:dyDescent="0.3">
      <c r="A720" t="s">
        <v>1574</v>
      </c>
      <c r="B720" t="s">
        <v>1575</v>
      </c>
      <c r="C720" t="s">
        <v>573</v>
      </c>
      <c r="D720">
        <v>100</v>
      </c>
      <c r="E720">
        <v>1095</v>
      </c>
      <c r="F720">
        <v>17</v>
      </c>
      <c r="G720">
        <v>120</v>
      </c>
      <c r="H720">
        <v>60</v>
      </c>
      <c r="I720">
        <v>1</v>
      </c>
      <c r="J720">
        <v>1</v>
      </c>
      <c r="K720" t="s">
        <v>86</v>
      </c>
      <c r="P720">
        <v>0</v>
      </c>
      <c r="R720">
        <v>0</v>
      </c>
      <c r="T720">
        <v>0</v>
      </c>
      <c r="U720" t="b">
        <v>0</v>
      </c>
      <c r="Y720">
        <v>0</v>
      </c>
      <c r="Z720">
        <v>0</v>
      </c>
      <c r="AE720">
        <v>0</v>
      </c>
      <c r="AF720" t="b">
        <v>0</v>
      </c>
    </row>
    <row r="721" spans="1:32" x14ac:dyDescent="0.3">
      <c r="A721" t="s">
        <v>1576</v>
      </c>
      <c r="B721" t="s">
        <v>1577</v>
      </c>
      <c r="C721" t="s">
        <v>573</v>
      </c>
      <c r="D721">
        <v>130</v>
      </c>
      <c r="E721">
        <v>2979</v>
      </c>
      <c r="F721">
        <v>4</v>
      </c>
      <c r="G721">
        <v>60</v>
      </c>
      <c r="H721">
        <v>60</v>
      </c>
      <c r="I721">
        <v>1</v>
      </c>
      <c r="J721">
        <v>1</v>
      </c>
      <c r="K721" t="s">
        <v>86</v>
      </c>
      <c r="P721">
        <v>0</v>
      </c>
      <c r="R721">
        <v>0</v>
      </c>
      <c r="T721">
        <v>0</v>
      </c>
      <c r="U721" t="b">
        <v>0</v>
      </c>
      <c r="V721">
        <v>0</v>
      </c>
      <c r="Y721">
        <v>0</v>
      </c>
      <c r="Z721">
        <v>81</v>
      </c>
      <c r="AA721">
        <v>0</v>
      </c>
      <c r="AB721">
        <v>0</v>
      </c>
      <c r="AC721">
        <v>0</v>
      </c>
      <c r="AD721">
        <v>0</v>
      </c>
      <c r="AE721">
        <v>0</v>
      </c>
      <c r="AF721" t="b">
        <v>0</v>
      </c>
    </row>
    <row r="722" spans="1:32" x14ac:dyDescent="0.3">
      <c r="A722" t="s">
        <v>1578</v>
      </c>
      <c r="B722" t="s">
        <v>1579</v>
      </c>
      <c r="C722" t="s">
        <v>431</v>
      </c>
      <c r="D722">
        <v>427</v>
      </c>
      <c r="E722">
        <v>5110</v>
      </c>
      <c r="F722">
        <v>22</v>
      </c>
      <c r="G722">
        <v>60</v>
      </c>
      <c r="H722">
        <v>60</v>
      </c>
      <c r="I722">
        <v>1</v>
      </c>
      <c r="J722">
        <v>1</v>
      </c>
      <c r="K722" t="s">
        <v>432</v>
      </c>
      <c r="L722">
        <v>0.65622400887163845</v>
      </c>
      <c r="M722">
        <v>1</v>
      </c>
      <c r="N722">
        <v>1</v>
      </c>
      <c r="O722" t="s">
        <v>433</v>
      </c>
      <c r="P722">
        <v>0</v>
      </c>
      <c r="R722">
        <v>0</v>
      </c>
      <c r="T722">
        <v>0</v>
      </c>
      <c r="U722" t="b">
        <v>0</v>
      </c>
      <c r="V722">
        <v>5.1388888888888893</v>
      </c>
      <c r="Y722">
        <v>0</v>
      </c>
      <c r="Z722">
        <v>132</v>
      </c>
      <c r="AA722">
        <v>-6.5274151436029999E-4</v>
      </c>
      <c r="AB722">
        <v>-5.6818181818181802E-2</v>
      </c>
      <c r="AC722">
        <v>-6.2695924764890002E-3</v>
      </c>
      <c r="AD722">
        <v>4.2735042735042002E-3</v>
      </c>
      <c r="AE722">
        <v>0</v>
      </c>
      <c r="AF722" t="b">
        <v>0</v>
      </c>
    </row>
    <row r="723" spans="1:32" x14ac:dyDescent="0.3">
      <c r="A723" t="s">
        <v>1580</v>
      </c>
      <c r="B723" t="s">
        <v>1581</v>
      </c>
      <c r="C723" t="s">
        <v>573</v>
      </c>
      <c r="D723">
        <v>79</v>
      </c>
      <c r="E723">
        <v>1593</v>
      </c>
      <c r="F723">
        <v>4</v>
      </c>
      <c r="G723">
        <v>60</v>
      </c>
      <c r="H723">
        <v>60</v>
      </c>
      <c r="I723">
        <v>1</v>
      </c>
      <c r="J723">
        <v>1</v>
      </c>
      <c r="K723" t="s">
        <v>86</v>
      </c>
      <c r="P723">
        <v>0</v>
      </c>
      <c r="R723">
        <v>0</v>
      </c>
      <c r="T723">
        <v>0</v>
      </c>
      <c r="U723" t="b">
        <v>0</v>
      </c>
      <c r="V723">
        <v>0</v>
      </c>
      <c r="Y723">
        <v>0</v>
      </c>
      <c r="Z723">
        <v>38</v>
      </c>
      <c r="AA723">
        <v>0</v>
      </c>
      <c r="AB723">
        <v>0</v>
      </c>
      <c r="AC723">
        <v>0</v>
      </c>
      <c r="AD723">
        <v>0</v>
      </c>
      <c r="AE723">
        <v>0</v>
      </c>
      <c r="AF723" t="b">
        <v>0</v>
      </c>
    </row>
    <row r="724" spans="1:32" x14ac:dyDescent="0.3">
      <c r="A724" t="s">
        <v>1582</v>
      </c>
      <c r="B724" t="s">
        <v>1583</v>
      </c>
      <c r="C724" t="s">
        <v>573</v>
      </c>
      <c r="D724">
        <v>199</v>
      </c>
      <c r="E724">
        <v>2736</v>
      </c>
      <c r="F724">
        <v>4</v>
      </c>
      <c r="G724">
        <v>60</v>
      </c>
      <c r="H724">
        <v>60</v>
      </c>
      <c r="I724">
        <v>1</v>
      </c>
      <c r="J724">
        <v>1</v>
      </c>
      <c r="K724" t="s">
        <v>86</v>
      </c>
      <c r="P724">
        <v>0</v>
      </c>
      <c r="R724">
        <v>0</v>
      </c>
      <c r="T724">
        <v>0</v>
      </c>
      <c r="U724" t="b">
        <v>0</v>
      </c>
      <c r="V724">
        <v>4.5515527950310553</v>
      </c>
      <c r="Y724">
        <v>0</v>
      </c>
      <c r="Z724">
        <v>26</v>
      </c>
      <c r="AA724">
        <v>2.09790209790209E-2</v>
      </c>
      <c r="AB724">
        <v>1.5976331360946749</v>
      </c>
      <c r="AC724">
        <v>-4.4642857142857002E-3</v>
      </c>
      <c r="AD724">
        <v>5.0505050505050497E-2</v>
      </c>
      <c r="AE724">
        <v>0</v>
      </c>
      <c r="AF724" t="b">
        <v>0</v>
      </c>
    </row>
    <row r="725" spans="1:32" x14ac:dyDescent="0.3">
      <c r="A725" t="s">
        <v>1584</v>
      </c>
      <c r="B725" t="s">
        <v>1585</v>
      </c>
      <c r="C725" t="s">
        <v>573</v>
      </c>
      <c r="D725">
        <v>283</v>
      </c>
      <c r="E725">
        <v>5375</v>
      </c>
      <c r="F725">
        <v>23</v>
      </c>
      <c r="G725">
        <v>60</v>
      </c>
      <c r="H725">
        <v>60</v>
      </c>
      <c r="I725">
        <v>1</v>
      </c>
      <c r="J725">
        <v>1</v>
      </c>
      <c r="K725" t="s">
        <v>86</v>
      </c>
      <c r="P725">
        <v>0</v>
      </c>
      <c r="R725">
        <v>0</v>
      </c>
      <c r="T725">
        <v>0</v>
      </c>
      <c r="U725" t="b">
        <v>0</v>
      </c>
      <c r="Y725">
        <v>0</v>
      </c>
      <c r="Z725">
        <v>45</v>
      </c>
      <c r="AA725">
        <v>-7.3529411764705802E-2</v>
      </c>
      <c r="AB725">
        <v>-11.66666666666667</v>
      </c>
      <c r="AC725">
        <v>0</v>
      </c>
      <c r="AD725">
        <v>-0.29914529914529908</v>
      </c>
      <c r="AE725">
        <v>0</v>
      </c>
      <c r="AF725" t="b">
        <v>0</v>
      </c>
    </row>
    <row r="726" spans="1:32" x14ac:dyDescent="0.3">
      <c r="A726" t="s">
        <v>1586</v>
      </c>
      <c r="B726" t="s">
        <v>1587</v>
      </c>
      <c r="C726" t="s">
        <v>573</v>
      </c>
      <c r="D726">
        <v>656</v>
      </c>
      <c r="E726">
        <v>11583</v>
      </c>
      <c r="F726">
        <v>17</v>
      </c>
      <c r="G726">
        <v>120</v>
      </c>
      <c r="H726">
        <v>60</v>
      </c>
      <c r="I726">
        <v>1</v>
      </c>
      <c r="J726">
        <v>1</v>
      </c>
      <c r="K726" t="s">
        <v>86</v>
      </c>
      <c r="P726">
        <v>0</v>
      </c>
      <c r="R726">
        <v>0</v>
      </c>
      <c r="T726">
        <v>0</v>
      </c>
      <c r="U726" t="b">
        <v>0</v>
      </c>
      <c r="V726">
        <v>4.9019607843137199E-2</v>
      </c>
      <c r="Y726">
        <v>0</v>
      </c>
      <c r="Z726">
        <v>369</v>
      </c>
      <c r="AA726">
        <v>-1.2129702395189E-3</v>
      </c>
      <c r="AB726">
        <v>-0.13743708865660079</v>
      </c>
      <c r="AC726">
        <v>3.8008361839600002E-4</v>
      </c>
      <c r="AD726">
        <v>0</v>
      </c>
      <c r="AE726">
        <v>0</v>
      </c>
      <c r="AF726" t="b">
        <v>0</v>
      </c>
    </row>
    <row r="727" spans="1:32" x14ac:dyDescent="0.3">
      <c r="A727" t="s">
        <v>1588</v>
      </c>
      <c r="B727" t="s">
        <v>1589</v>
      </c>
      <c r="C727" t="s">
        <v>573</v>
      </c>
      <c r="D727">
        <v>149</v>
      </c>
      <c r="E727">
        <v>1924</v>
      </c>
      <c r="F727">
        <v>151</v>
      </c>
      <c r="G727">
        <v>77</v>
      </c>
      <c r="H727">
        <v>1</v>
      </c>
      <c r="I727">
        <v>1.24740124740124E-2</v>
      </c>
      <c r="J727">
        <v>8.4418716835504101E-2</v>
      </c>
      <c r="K727" t="s">
        <v>432</v>
      </c>
      <c r="L727">
        <v>0.9281234925229136</v>
      </c>
      <c r="M727">
        <v>1</v>
      </c>
      <c r="N727">
        <v>1.35135135135135E-2</v>
      </c>
      <c r="O727" t="s">
        <v>433</v>
      </c>
      <c r="P727">
        <v>0</v>
      </c>
      <c r="R727">
        <v>0</v>
      </c>
      <c r="T727">
        <v>0</v>
      </c>
      <c r="U727" t="b">
        <v>0</v>
      </c>
      <c r="V727">
        <v>10.017731829573931</v>
      </c>
      <c r="Y727">
        <v>0</v>
      </c>
      <c r="Z727">
        <v>38</v>
      </c>
      <c r="AA727">
        <v>-6.6535742086494404E-2</v>
      </c>
      <c r="AB727">
        <v>-6.1431020733652328</v>
      </c>
      <c r="AC727">
        <v>-0.1153705076676942</v>
      </c>
      <c r="AD727">
        <v>-2.2291367290951599E-2</v>
      </c>
      <c r="AE727">
        <v>0</v>
      </c>
      <c r="AF727" t="b">
        <v>0</v>
      </c>
    </row>
    <row r="728" spans="1:32" x14ac:dyDescent="0.3">
      <c r="A728" t="s">
        <v>1590</v>
      </c>
      <c r="B728" t="s">
        <v>1591</v>
      </c>
      <c r="C728" t="s">
        <v>431</v>
      </c>
      <c r="D728">
        <v>495</v>
      </c>
      <c r="E728">
        <v>12824</v>
      </c>
      <c r="F728">
        <v>188</v>
      </c>
      <c r="G728">
        <v>56</v>
      </c>
      <c r="H728">
        <v>1</v>
      </c>
      <c r="I728">
        <v>4.8580786026200799E-2</v>
      </c>
      <c r="J728">
        <v>0.2422355588897224</v>
      </c>
      <c r="K728" t="s">
        <v>432</v>
      </c>
      <c r="L728">
        <v>0.78297074268567146</v>
      </c>
      <c r="M728">
        <v>0.9951607328033184</v>
      </c>
      <c r="N728">
        <v>3.35345405767941E-2</v>
      </c>
      <c r="O728" t="s">
        <v>433</v>
      </c>
      <c r="P728">
        <v>10035</v>
      </c>
      <c r="Q728">
        <v>1</v>
      </c>
      <c r="R728">
        <v>14</v>
      </c>
      <c r="S728">
        <v>1</v>
      </c>
      <c r="T728">
        <v>0</v>
      </c>
      <c r="U728" t="b">
        <v>0</v>
      </c>
      <c r="V728">
        <v>0</v>
      </c>
      <c r="Y728">
        <v>0</v>
      </c>
      <c r="Z728">
        <v>772</v>
      </c>
      <c r="AA728">
        <v>0</v>
      </c>
      <c r="AB728">
        <v>0</v>
      </c>
      <c r="AC728">
        <v>0</v>
      </c>
      <c r="AD728">
        <v>0</v>
      </c>
      <c r="AE728">
        <v>0</v>
      </c>
      <c r="AF728" t="b">
        <v>0</v>
      </c>
    </row>
    <row r="729" spans="1:32" x14ac:dyDescent="0.3">
      <c r="A729" t="s">
        <v>1592</v>
      </c>
      <c r="B729" t="s">
        <v>1593</v>
      </c>
      <c r="C729" t="s">
        <v>431</v>
      </c>
      <c r="D729">
        <v>304</v>
      </c>
      <c r="E729">
        <v>7645</v>
      </c>
      <c r="F729">
        <v>207</v>
      </c>
      <c r="G729">
        <v>60</v>
      </c>
      <c r="H729">
        <v>1</v>
      </c>
      <c r="I729">
        <v>7.56049705689993E-2</v>
      </c>
      <c r="J729">
        <v>0.29734824682669347</v>
      </c>
      <c r="K729" t="s">
        <v>432</v>
      </c>
      <c r="L729">
        <v>0.7138368731934146</v>
      </c>
      <c r="M729">
        <v>1</v>
      </c>
      <c r="N729">
        <v>1.5669014084507001E-2</v>
      </c>
      <c r="O729" t="s">
        <v>433</v>
      </c>
      <c r="P729">
        <v>5591</v>
      </c>
      <c r="Q729">
        <v>0.98819531389733495</v>
      </c>
      <c r="R729">
        <v>0</v>
      </c>
      <c r="T729">
        <v>0</v>
      </c>
      <c r="U729" t="b">
        <v>0</v>
      </c>
      <c r="V729">
        <v>2.6969696969696968</v>
      </c>
      <c r="Y729">
        <v>0</v>
      </c>
      <c r="Z729">
        <v>402</v>
      </c>
      <c r="AA729">
        <v>1.7464851845628E-3</v>
      </c>
      <c r="AB729">
        <v>0.12927031509121051</v>
      </c>
      <c r="AC729">
        <v>1.14538019127686E-2</v>
      </c>
      <c r="AD729">
        <v>3.1234604394521599E-2</v>
      </c>
      <c r="AE729">
        <v>0</v>
      </c>
      <c r="AF729" t="b">
        <v>0</v>
      </c>
    </row>
    <row r="730" spans="1:32" x14ac:dyDescent="0.3">
      <c r="A730" t="s">
        <v>1594</v>
      </c>
      <c r="B730" t="s">
        <v>1595</v>
      </c>
      <c r="C730" t="s">
        <v>573</v>
      </c>
      <c r="D730">
        <v>256</v>
      </c>
      <c r="E730">
        <v>2176</v>
      </c>
      <c r="F730">
        <v>25</v>
      </c>
      <c r="G730">
        <v>300</v>
      </c>
      <c r="H730">
        <v>60</v>
      </c>
      <c r="I730">
        <v>0.97977941176470584</v>
      </c>
      <c r="J730">
        <v>1.3157894736842099E-2</v>
      </c>
      <c r="K730" t="s">
        <v>86</v>
      </c>
      <c r="P730">
        <v>0</v>
      </c>
      <c r="R730">
        <v>0</v>
      </c>
      <c r="T730">
        <v>0</v>
      </c>
      <c r="U730" t="b">
        <v>0</v>
      </c>
      <c r="Y730">
        <v>0</v>
      </c>
      <c r="Z730">
        <v>1</v>
      </c>
      <c r="AA730">
        <v>0</v>
      </c>
      <c r="AB730">
        <v>0</v>
      </c>
      <c r="AD730">
        <v>0</v>
      </c>
      <c r="AE730">
        <v>0</v>
      </c>
      <c r="AF730" t="b">
        <v>0</v>
      </c>
    </row>
    <row r="731" spans="1:32" x14ac:dyDescent="0.3">
      <c r="A731" t="s">
        <v>1596</v>
      </c>
      <c r="B731" t="s">
        <v>1597</v>
      </c>
      <c r="C731" t="s">
        <v>573</v>
      </c>
      <c r="D731">
        <v>912</v>
      </c>
      <c r="E731">
        <v>11370</v>
      </c>
      <c r="F731">
        <v>176</v>
      </c>
      <c r="G731">
        <v>77</v>
      </c>
      <c r="H731">
        <v>1</v>
      </c>
      <c r="I731">
        <v>5.6816182937554902E-2</v>
      </c>
      <c r="J731">
        <v>0.28521413450578081</v>
      </c>
      <c r="K731" t="s">
        <v>86</v>
      </c>
      <c r="P731">
        <v>0</v>
      </c>
      <c r="R731">
        <v>0</v>
      </c>
      <c r="T731">
        <v>0</v>
      </c>
      <c r="U731" t="b">
        <v>0</v>
      </c>
      <c r="V731">
        <v>0.69303503010399559</v>
      </c>
      <c r="Y731">
        <v>0</v>
      </c>
      <c r="Z731">
        <v>274</v>
      </c>
      <c r="AA731">
        <v>-8.0050983137320002E-4</v>
      </c>
      <c r="AB731">
        <v>-7.7628089671885003E-2</v>
      </c>
      <c r="AC731">
        <v>-2.1932028036961999E-3</v>
      </c>
      <c r="AD731">
        <v>2.6235799873317289E-5</v>
      </c>
      <c r="AE731">
        <v>0</v>
      </c>
      <c r="AF731" t="b">
        <v>0</v>
      </c>
    </row>
    <row r="732" spans="1:32" x14ac:dyDescent="0.3">
      <c r="A732" t="s">
        <v>1598</v>
      </c>
      <c r="B732" t="s">
        <v>1599</v>
      </c>
      <c r="C732" t="s">
        <v>573</v>
      </c>
      <c r="D732">
        <v>100</v>
      </c>
      <c r="E732">
        <v>2253</v>
      </c>
      <c r="F732">
        <v>134</v>
      </c>
      <c r="G732">
        <v>70</v>
      </c>
      <c r="H732">
        <v>1</v>
      </c>
      <c r="I732">
        <v>0.14469596094096759</v>
      </c>
      <c r="J732">
        <v>0.35316617084572888</v>
      </c>
      <c r="K732" t="s">
        <v>86</v>
      </c>
      <c r="P732">
        <v>0</v>
      </c>
      <c r="R732">
        <v>0</v>
      </c>
      <c r="T732">
        <v>0</v>
      </c>
      <c r="U732" t="b">
        <v>0</v>
      </c>
      <c r="V732">
        <v>6.4202020202020202</v>
      </c>
      <c r="Y732">
        <v>0</v>
      </c>
      <c r="Z732">
        <v>80</v>
      </c>
      <c r="AA732">
        <v>-1.30153112334925E-2</v>
      </c>
      <c r="AB732">
        <v>-1.066458333333334</v>
      </c>
      <c r="AC732">
        <v>-4.3854746125114197E-2</v>
      </c>
      <c r="AD732">
        <v>1.3827649299619001E-2</v>
      </c>
      <c r="AE732">
        <v>0</v>
      </c>
      <c r="AF732" t="b">
        <v>0</v>
      </c>
    </row>
    <row r="733" spans="1:32" x14ac:dyDescent="0.3">
      <c r="A733" t="s">
        <v>1600</v>
      </c>
      <c r="B733" t="s">
        <v>1601</v>
      </c>
      <c r="C733" t="s">
        <v>573</v>
      </c>
      <c r="D733">
        <v>62</v>
      </c>
      <c r="E733">
        <v>1754</v>
      </c>
      <c r="F733">
        <v>30</v>
      </c>
      <c r="G733">
        <v>60</v>
      </c>
      <c r="H733">
        <v>2</v>
      </c>
      <c r="I733">
        <v>0.69726339794754844</v>
      </c>
      <c r="J733">
        <v>0.80660888407367282</v>
      </c>
      <c r="K733" t="s">
        <v>86</v>
      </c>
      <c r="P733">
        <v>0</v>
      </c>
      <c r="R733">
        <v>0</v>
      </c>
      <c r="T733">
        <v>0</v>
      </c>
      <c r="U733" t="b">
        <v>0</v>
      </c>
      <c r="V733">
        <v>0</v>
      </c>
      <c r="Y733">
        <v>1.8607123870281701E-2</v>
      </c>
      <c r="Z733">
        <v>57</v>
      </c>
      <c r="AA733">
        <v>-7.6335877862595001E-3</v>
      </c>
      <c r="AB733">
        <v>-0.63157894736842102</v>
      </c>
      <c r="AC733">
        <v>-7.6335877862595001E-3</v>
      </c>
      <c r="AD733">
        <v>-7.8328981723237E-3</v>
      </c>
      <c r="AE733">
        <v>0</v>
      </c>
      <c r="AF733" t="b">
        <v>0</v>
      </c>
    </row>
    <row r="734" spans="1:32" x14ac:dyDescent="0.3">
      <c r="A734" t="s">
        <v>1602</v>
      </c>
      <c r="B734" t="s">
        <v>1603</v>
      </c>
      <c r="C734" t="s">
        <v>573</v>
      </c>
      <c r="D734">
        <v>7893</v>
      </c>
      <c r="E734">
        <v>172676</v>
      </c>
      <c r="F734">
        <v>434</v>
      </c>
      <c r="G734">
        <v>67</v>
      </c>
      <c r="H734">
        <v>1</v>
      </c>
      <c r="I734">
        <v>0.1478896893604206</v>
      </c>
      <c r="J734">
        <v>0.29885453119920441</v>
      </c>
      <c r="K734" t="s">
        <v>86</v>
      </c>
      <c r="P734">
        <v>0</v>
      </c>
      <c r="R734">
        <v>0</v>
      </c>
      <c r="T734">
        <v>0</v>
      </c>
      <c r="U734" t="b">
        <v>0</v>
      </c>
      <c r="V734">
        <v>3.5747287433594699</v>
      </c>
      <c r="Y734">
        <v>0</v>
      </c>
      <c r="Z734">
        <v>3129</v>
      </c>
      <c r="AA734">
        <v>-4.5647882594003E-3</v>
      </c>
      <c r="AB734">
        <v>-0.38911160427433777</v>
      </c>
      <c r="AC734">
        <v>-1.3233944029276599E-2</v>
      </c>
      <c r="AD734">
        <v>9.7476709992009008E-3</v>
      </c>
      <c r="AE734">
        <v>0</v>
      </c>
      <c r="AF734" t="b">
        <v>0</v>
      </c>
    </row>
    <row r="735" spans="1:32" x14ac:dyDescent="0.3">
      <c r="A735" t="s">
        <v>1604</v>
      </c>
      <c r="B735" t="s">
        <v>1605</v>
      </c>
      <c r="C735" t="s">
        <v>573</v>
      </c>
      <c r="D735">
        <v>6673</v>
      </c>
      <c r="E735">
        <v>126990</v>
      </c>
      <c r="F735">
        <v>53</v>
      </c>
      <c r="G735">
        <v>120</v>
      </c>
      <c r="H735">
        <v>60</v>
      </c>
      <c r="I735">
        <v>1</v>
      </c>
      <c r="J735">
        <v>1</v>
      </c>
      <c r="K735" t="s">
        <v>86</v>
      </c>
      <c r="P735">
        <v>0</v>
      </c>
      <c r="R735">
        <v>0</v>
      </c>
      <c r="T735">
        <v>0</v>
      </c>
      <c r="U735" t="b">
        <v>0</v>
      </c>
      <c r="V735">
        <v>2.5061728395061729</v>
      </c>
      <c r="Y735">
        <v>0</v>
      </c>
      <c r="Z735">
        <v>1591</v>
      </c>
      <c r="AA735">
        <v>7.9913552634885004E-3</v>
      </c>
      <c r="AB735">
        <v>0.85660411241806589</v>
      </c>
      <c r="AC735">
        <v>1.3161696253730999E-3</v>
      </c>
      <c r="AD735">
        <v>1.52491377412489E-2</v>
      </c>
      <c r="AE735">
        <v>0</v>
      </c>
      <c r="AF735" t="b">
        <v>0</v>
      </c>
    </row>
    <row r="736" spans="1:32" x14ac:dyDescent="0.3">
      <c r="A736" t="s">
        <v>1606</v>
      </c>
      <c r="B736" t="s">
        <v>1607</v>
      </c>
      <c r="C736" t="s">
        <v>573</v>
      </c>
      <c r="D736">
        <v>1987</v>
      </c>
      <c r="E736">
        <v>49299</v>
      </c>
      <c r="F736">
        <v>323</v>
      </c>
      <c r="G736">
        <v>71</v>
      </c>
      <c r="H736">
        <v>1</v>
      </c>
      <c r="I736">
        <v>1.5375565427290599E-2</v>
      </c>
      <c r="J736">
        <v>5.4179055170135403E-2</v>
      </c>
      <c r="K736" t="s">
        <v>86</v>
      </c>
      <c r="P736">
        <v>0</v>
      </c>
      <c r="R736">
        <v>0</v>
      </c>
      <c r="T736">
        <v>0</v>
      </c>
      <c r="U736" t="b">
        <v>0</v>
      </c>
      <c r="V736">
        <v>11.83280694739878</v>
      </c>
      <c r="Y736">
        <v>0</v>
      </c>
      <c r="Z736">
        <v>843</v>
      </c>
      <c r="AA736">
        <v>-9.2179445835011295E-2</v>
      </c>
      <c r="AB736">
        <v>-7.7950305806170661</v>
      </c>
      <c r="AC736">
        <v>-0.13268540864696809</v>
      </c>
      <c r="AD736">
        <v>-6.1756588651770798E-2</v>
      </c>
      <c r="AE736">
        <v>0</v>
      </c>
      <c r="AF736" t="b">
        <v>0</v>
      </c>
    </row>
    <row r="737" spans="1:35" x14ac:dyDescent="0.3">
      <c r="A737" t="s">
        <v>1608</v>
      </c>
      <c r="B737" t="s">
        <v>1609</v>
      </c>
      <c r="C737" t="s">
        <v>573</v>
      </c>
      <c r="D737">
        <v>1810</v>
      </c>
      <c r="E737">
        <v>33664</v>
      </c>
      <c r="F737">
        <v>8</v>
      </c>
      <c r="G737">
        <v>120</v>
      </c>
      <c r="H737">
        <v>60</v>
      </c>
      <c r="I737">
        <v>1</v>
      </c>
      <c r="J737">
        <v>1</v>
      </c>
      <c r="K737" t="s">
        <v>86</v>
      </c>
      <c r="P737">
        <v>0</v>
      </c>
      <c r="R737">
        <v>0</v>
      </c>
      <c r="T737">
        <v>0</v>
      </c>
      <c r="U737" t="b">
        <v>0</v>
      </c>
      <c r="V737">
        <v>6.4175248727880314</v>
      </c>
      <c r="Y737">
        <v>0</v>
      </c>
      <c r="Z737">
        <v>580</v>
      </c>
      <c r="AA737">
        <v>-3.1942948019651001E-3</v>
      </c>
      <c r="AB737">
        <v>-0.3381225216918049</v>
      </c>
      <c r="AC737">
        <v>-7.7146697636056999E-3</v>
      </c>
      <c r="AD737">
        <v>1.2579252481030999E-3</v>
      </c>
      <c r="AE737">
        <v>0</v>
      </c>
      <c r="AF737" t="b">
        <v>0</v>
      </c>
    </row>
    <row r="738" spans="1:35" x14ac:dyDescent="0.3">
      <c r="A738" t="s">
        <v>1610</v>
      </c>
      <c r="B738" t="s">
        <v>1611</v>
      </c>
      <c r="C738" t="s">
        <v>573</v>
      </c>
      <c r="D738">
        <v>1049</v>
      </c>
      <c r="E738">
        <v>12088</v>
      </c>
      <c r="F738">
        <v>386</v>
      </c>
      <c r="G738">
        <v>191</v>
      </c>
      <c r="H738">
        <v>1</v>
      </c>
      <c r="I738">
        <v>0.38484447385837189</v>
      </c>
      <c r="J738">
        <v>0.41273779983457398</v>
      </c>
      <c r="K738" t="s">
        <v>432</v>
      </c>
      <c r="L738">
        <v>0.9211218888638244</v>
      </c>
      <c r="M738">
        <v>1</v>
      </c>
      <c r="N738">
        <v>0.3624489795918367</v>
      </c>
      <c r="O738" t="s">
        <v>433</v>
      </c>
      <c r="P738">
        <v>0</v>
      </c>
      <c r="R738">
        <v>0</v>
      </c>
      <c r="T738">
        <v>0</v>
      </c>
      <c r="U738" t="b">
        <v>0</v>
      </c>
      <c r="V738">
        <v>0</v>
      </c>
      <c r="Y738">
        <v>0</v>
      </c>
      <c r="Z738">
        <v>167</v>
      </c>
      <c r="AA738">
        <v>7.9843025330000005E-4</v>
      </c>
      <c r="AB738">
        <v>0.22335329341317409</v>
      </c>
      <c r="AC738">
        <v>-4.5062755179192003E-3</v>
      </c>
      <c r="AD738">
        <v>-3.234780358413756E-5</v>
      </c>
      <c r="AE738">
        <v>0</v>
      </c>
      <c r="AF738" t="b">
        <v>0</v>
      </c>
    </row>
    <row r="739" spans="1:35" x14ac:dyDescent="0.3">
      <c r="A739" t="s">
        <v>1612</v>
      </c>
      <c r="B739" t="s">
        <v>1613</v>
      </c>
      <c r="C739" t="s">
        <v>573</v>
      </c>
      <c r="D739">
        <v>10487</v>
      </c>
      <c r="E739">
        <v>190276</v>
      </c>
      <c r="F739">
        <v>52</v>
      </c>
      <c r="G739">
        <v>60</v>
      </c>
      <c r="H739">
        <v>60</v>
      </c>
      <c r="I739">
        <v>1</v>
      </c>
      <c r="J739">
        <v>1</v>
      </c>
      <c r="K739" t="s">
        <v>86</v>
      </c>
      <c r="P739">
        <v>0</v>
      </c>
      <c r="R739">
        <v>0</v>
      </c>
      <c r="T739">
        <v>0</v>
      </c>
      <c r="U739" t="b">
        <v>0</v>
      </c>
      <c r="V739">
        <v>3.7378494170529568</v>
      </c>
      <c r="Y739">
        <v>0</v>
      </c>
      <c r="Z739">
        <v>4684</v>
      </c>
      <c r="AA739">
        <v>-3.7433189646682002E-3</v>
      </c>
      <c r="AB739">
        <v>-0.4438580234336752</v>
      </c>
      <c r="AC739">
        <v>-1.29351013644894E-2</v>
      </c>
      <c r="AD739">
        <v>1.4086767236938999E-3</v>
      </c>
      <c r="AE739">
        <v>0</v>
      </c>
      <c r="AF739" t="b">
        <v>0</v>
      </c>
    </row>
    <row r="740" spans="1:35" x14ac:dyDescent="0.3">
      <c r="A740" t="s">
        <v>1614</v>
      </c>
      <c r="B740" t="s">
        <v>1615</v>
      </c>
      <c r="C740" t="s">
        <v>573</v>
      </c>
      <c r="D740">
        <v>48178</v>
      </c>
      <c r="E740">
        <v>619936</v>
      </c>
      <c r="F740">
        <v>662</v>
      </c>
      <c r="G740">
        <v>92</v>
      </c>
      <c r="H740">
        <v>1</v>
      </c>
      <c r="I740">
        <v>0.56786184380323135</v>
      </c>
      <c r="J740">
        <v>0.33941318122502789</v>
      </c>
      <c r="K740" t="s">
        <v>86</v>
      </c>
      <c r="P740">
        <v>0</v>
      </c>
      <c r="R740">
        <v>0</v>
      </c>
      <c r="T740">
        <v>3</v>
      </c>
      <c r="U740" t="b">
        <v>1</v>
      </c>
      <c r="V740">
        <v>5.7447161863271834</v>
      </c>
      <c r="W740">
        <v>1.6933028919330291</v>
      </c>
      <c r="X740" t="b">
        <v>1</v>
      </c>
      <c r="Y740">
        <v>0.25999926331434869</v>
      </c>
      <c r="Z740">
        <v>13424</v>
      </c>
      <c r="AA740">
        <v>4.9258397365123004E-3</v>
      </c>
      <c r="AB740">
        <v>0.72352379773718212</v>
      </c>
      <c r="AC740">
        <v>3.1023588048287999E-3</v>
      </c>
      <c r="AD740">
        <v>4.640854202843E-3</v>
      </c>
      <c r="AE740">
        <v>3</v>
      </c>
      <c r="AF740" t="b">
        <v>1</v>
      </c>
      <c r="AG740">
        <v>8.2654742292304004E-3</v>
      </c>
      <c r="AH740">
        <v>0.78322925958965206</v>
      </c>
      <c r="AI740" t="b">
        <v>0</v>
      </c>
    </row>
    <row r="741" spans="1:35" x14ac:dyDescent="0.3">
      <c r="A741" t="s">
        <v>1616</v>
      </c>
      <c r="B741" t="s">
        <v>1617</v>
      </c>
      <c r="C741" t="s">
        <v>573</v>
      </c>
      <c r="D741">
        <v>13130</v>
      </c>
      <c r="E741">
        <v>189912</v>
      </c>
      <c r="F741">
        <v>47</v>
      </c>
      <c r="G741">
        <v>120</v>
      </c>
      <c r="H741">
        <v>60</v>
      </c>
      <c r="I741">
        <v>1</v>
      </c>
      <c r="J741">
        <v>1</v>
      </c>
      <c r="K741" t="s">
        <v>86</v>
      </c>
      <c r="P741">
        <v>0</v>
      </c>
      <c r="R741">
        <v>0</v>
      </c>
      <c r="T741">
        <v>0</v>
      </c>
      <c r="U741" t="b">
        <v>0</v>
      </c>
      <c r="V741">
        <v>0</v>
      </c>
      <c r="Y741">
        <v>0</v>
      </c>
      <c r="Z741">
        <v>2724</v>
      </c>
      <c r="AA741">
        <v>0</v>
      </c>
      <c r="AB741">
        <v>0</v>
      </c>
      <c r="AC741">
        <v>0</v>
      </c>
      <c r="AD741">
        <v>0</v>
      </c>
      <c r="AE741">
        <v>0</v>
      </c>
      <c r="AF741" t="b">
        <v>0</v>
      </c>
    </row>
    <row r="742" spans="1:35" x14ac:dyDescent="0.3">
      <c r="A742" t="s">
        <v>1618</v>
      </c>
      <c r="B742" t="s">
        <v>1619</v>
      </c>
      <c r="C742" t="s">
        <v>573</v>
      </c>
      <c r="D742">
        <v>398</v>
      </c>
      <c r="E742">
        <v>12388</v>
      </c>
      <c r="F742">
        <v>7</v>
      </c>
      <c r="G742">
        <v>60</v>
      </c>
      <c r="H742">
        <v>60</v>
      </c>
      <c r="I742">
        <v>1</v>
      </c>
      <c r="J742">
        <v>1</v>
      </c>
      <c r="K742" t="s">
        <v>86</v>
      </c>
      <c r="P742">
        <v>0</v>
      </c>
      <c r="R742">
        <v>0</v>
      </c>
      <c r="T742">
        <v>0</v>
      </c>
      <c r="U742" t="b">
        <v>0</v>
      </c>
      <c r="V742">
        <v>8.1034482758620694</v>
      </c>
      <c r="Y742">
        <v>0</v>
      </c>
      <c r="Z742">
        <v>351</v>
      </c>
      <c r="AA742">
        <v>6.4222988751290004E-3</v>
      </c>
      <c r="AB742">
        <v>0.58184929979801792</v>
      </c>
      <c r="AC742">
        <v>2.0650058388477999E-2</v>
      </c>
      <c r="AD742">
        <v>-2.3046823186098901E-2</v>
      </c>
      <c r="AE742">
        <v>0</v>
      </c>
      <c r="AF742" t="b">
        <v>0</v>
      </c>
    </row>
    <row r="743" spans="1:35" x14ac:dyDescent="0.3">
      <c r="A743" t="s">
        <v>1620</v>
      </c>
      <c r="B743" t="s">
        <v>1621</v>
      </c>
      <c r="C743" t="s">
        <v>431</v>
      </c>
      <c r="D743">
        <v>424</v>
      </c>
      <c r="E743">
        <v>3086</v>
      </c>
      <c r="F743">
        <v>111</v>
      </c>
      <c r="G743">
        <v>60</v>
      </c>
      <c r="H743">
        <v>1</v>
      </c>
      <c r="I743">
        <v>0.22650680492546979</v>
      </c>
      <c r="J743">
        <v>0.49446874196038071</v>
      </c>
      <c r="K743" t="s">
        <v>432</v>
      </c>
      <c r="L743">
        <v>0.85092440908027145</v>
      </c>
      <c r="M743">
        <v>0.94976452119309263</v>
      </c>
      <c r="N743">
        <v>0.40523076923076923</v>
      </c>
      <c r="O743" t="s">
        <v>433</v>
      </c>
      <c r="P743">
        <v>490</v>
      </c>
      <c r="Q743">
        <v>0.98163265306122438</v>
      </c>
      <c r="R743">
        <v>16</v>
      </c>
      <c r="S743">
        <v>0</v>
      </c>
      <c r="T743">
        <v>0</v>
      </c>
      <c r="U743" t="b">
        <v>0</v>
      </c>
      <c r="V743">
        <v>0</v>
      </c>
      <c r="Y743">
        <v>9.0334659489819794E-2</v>
      </c>
      <c r="Z743">
        <v>87</v>
      </c>
      <c r="AA743">
        <v>8.8555718022110001E-4</v>
      </c>
      <c r="AB743">
        <v>8.2375478927202997E-2</v>
      </c>
      <c r="AC743">
        <v>0</v>
      </c>
      <c r="AD743">
        <v>0</v>
      </c>
      <c r="AE743">
        <v>0</v>
      </c>
      <c r="AF743" t="b">
        <v>0</v>
      </c>
    </row>
    <row r="744" spans="1:35" x14ac:dyDescent="0.3">
      <c r="A744" t="s">
        <v>1622</v>
      </c>
      <c r="B744" t="s">
        <v>1623</v>
      </c>
      <c r="C744" t="s">
        <v>462</v>
      </c>
      <c r="D744">
        <v>1637</v>
      </c>
      <c r="E744">
        <v>49028</v>
      </c>
      <c r="F744">
        <v>221</v>
      </c>
      <c r="G744">
        <v>57</v>
      </c>
      <c r="H744">
        <v>1</v>
      </c>
      <c r="I744">
        <v>5.89867014767071E-2</v>
      </c>
      <c r="J744">
        <v>0.24178769188326399</v>
      </c>
      <c r="K744" t="s">
        <v>86</v>
      </c>
      <c r="P744">
        <v>0</v>
      </c>
      <c r="R744">
        <v>0</v>
      </c>
      <c r="T744">
        <v>0</v>
      </c>
      <c r="U744" t="b">
        <v>0</v>
      </c>
      <c r="V744">
        <v>7.8740157480314904E-2</v>
      </c>
      <c r="Y744">
        <v>0</v>
      </c>
      <c r="Z744">
        <v>2293</v>
      </c>
      <c r="AA744">
        <v>2.0268352292001999E-3</v>
      </c>
      <c r="AB744">
        <v>0.12767117313563009</v>
      </c>
      <c r="AC744">
        <v>9.3080110574679997E-4</v>
      </c>
      <c r="AD744">
        <v>2.3746736463703998E-3</v>
      </c>
      <c r="AE744">
        <v>0</v>
      </c>
      <c r="AF744" t="b">
        <v>0</v>
      </c>
    </row>
    <row r="745" spans="1:35" x14ac:dyDescent="0.3">
      <c r="A745" t="s">
        <v>1624</v>
      </c>
      <c r="B745" t="s">
        <v>1625</v>
      </c>
      <c r="C745" t="s">
        <v>462</v>
      </c>
      <c r="D745">
        <v>488</v>
      </c>
      <c r="E745">
        <v>14347</v>
      </c>
      <c r="F745">
        <v>19</v>
      </c>
      <c r="G745">
        <v>60</v>
      </c>
      <c r="H745">
        <v>60</v>
      </c>
      <c r="I745">
        <v>0.9993726911549452</v>
      </c>
      <c r="J745">
        <v>0.99968336059950402</v>
      </c>
      <c r="K745" t="s">
        <v>432</v>
      </c>
      <c r="L745">
        <v>0.722360018998364</v>
      </c>
      <c r="M745">
        <v>1</v>
      </c>
      <c r="N745">
        <v>0.99956165984804202</v>
      </c>
      <c r="O745" t="s">
        <v>433</v>
      </c>
      <c r="P745">
        <v>6</v>
      </c>
      <c r="Q745">
        <v>1</v>
      </c>
      <c r="R745">
        <v>0</v>
      </c>
      <c r="T745">
        <v>0</v>
      </c>
      <c r="U745" t="b">
        <v>0</v>
      </c>
      <c r="V745">
        <v>0.1027397260273972</v>
      </c>
      <c r="Y745">
        <v>0</v>
      </c>
      <c r="Z745">
        <v>175</v>
      </c>
      <c r="AA745">
        <v>-4.7823218997360998E-3</v>
      </c>
      <c r="AB745">
        <v>-0.41428571428571431</v>
      </c>
      <c r="AC745">
        <v>1.2437810945273001E-3</v>
      </c>
      <c r="AD745">
        <v>0</v>
      </c>
      <c r="AE745">
        <v>0</v>
      </c>
      <c r="AF745" t="b">
        <v>0</v>
      </c>
    </row>
    <row r="746" spans="1:35" x14ac:dyDescent="0.3">
      <c r="A746" t="s">
        <v>1626</v>
      </c>
      <c r="B746" t="s">
        <v>1627</v>
      </c>
      <c r="C746" t="s">
        <v>462</v>
      </c>
      <c r="D746">
        <v>982</v>
      </c>
      <c r="E746">
        <v>27841</v>
      </c>
      <c r="F746">
        <v>8</v>
      </c>
      <c r="G746">
        <v>60</v>
      </c>
      <c r="H746">
        <v>60</v>
      </c>
      <c r="I746">
        <v>1</v>
      </c>
      <c r="J746">
        <v>1</v>
      </c>
      <c r="K746" t="s">
        <v>86</v>
      </c>
      <c r="P746">
        <v>0</v>
      </c>
      <c r="R746">
        <v>0</v>
      </c>
      <c r="T746">
        <v>0</v>
      </c>
      <c r="U746" t="b">
        <v>0</v>
      </c>
      <c r="V746">
        <v>0.88812785388127857</v>
      </c>
      <c r="Y746">
        <v>0</v>
      </c>
      <c r="Z746">
        <v>1080</v>
      </c>
      <c r="AA746">
        <v>5.1592921878916001E-3</v>
      </c>
      <c r="AB746">
        <v>0.33455664705664701</v>
      </c>
      <c r="AC746">
        <v>1.3149487380558199E-2</v>
      </c>
      <c r="AD746">
        <v>3.0284762888965E-3</v>
      </c>
      <c r="AE746">
        <v>0</v>
      </c>
      <c r="AF746" t="b">
        <v>0</v>
      </c>
    </row>
    <row r="747" spans="1:35" x14ac:dyDescent="0.3">
      <c r="A747" t="s">
        <v>1628</v>
      </c>
      <c r="B747" t="s">
        <v>1629</v>
      </c>
      <c r="C747" t="s">
        <v>532</v>
      </c>
      <c r="D747">
        <v>729</v>
      </c>
      <c r="E747">
        <v>21118</v>
      </c>
      <c r="F747">
        <v>151</v>
      </c>
      <c r="G747">
        <v>45</v>
      </c>
      <c r="H747">
        <v>1</v>
      </c>
      <c r="I747">
        <v>0.295624585661521</v>
      </c>
      <c r="J747">
        <v>0.50464594681191921</v>
      </c>
      <c r="K747" t="s">
        <v>432</v>
      </c>
      <c r="L747">
        <v>0.89820112601272484</v>
      </c>
      <c r="M747">
        <v>0.97122302158273377</v>
      </c>
      <c r="N747">
        <v>0.45176578504815779</v>
      </c>
      <c r="O747" t="s">
        <v>433</v>
      </c>
      <c r="P747">
        <v>9881</v>
      </c>
      <c r="Q747">
        <v>3.5421516040886503E-2</v>
      </c>
      <c r="R747">
        <v>64</v>
      </c>
      <c r="S747">
        <v>3.125E-2</v>
      </c>
      <c r="T747">
        <v>0</v>
      </c>
      <c r="U747" t="b">
        <v>0</v>
      </c>
      <c r="V747">
        <v>1.7792321116928449</v>
      </c>
      <c r="Y747">
        <v>0</v>
      </c>
      <c r="Z747">
        <v>656</v>
      </c>
      <c r="AA747">
        <v>-3.6800413537705998E-3</v>
      </c>
      <c r="AB747">
        <v>-0.198442944250871</v>
      </c>
      <c r="AC747">
        <v>2.04459069921685E-2</v>
      </c>
      <c r="AD747">
        <v>-1.04888502860595E-2</v>
      </c>
      <c r="AE747">
        <v>0</v>
      </c>
      <c r="AF747" t="b">
        <v>0</v>
      </c>
    </row>
    <row r="748" spans="1:35" x14ac:dyDescent="0.3">
      <c r="A748" t="s">
        <v>1630</v>
      </c>
      <c r="B748" t="s">
        <v>1631</v>
      </c>
      <c r="C748" t="s">
        <v>431</v>
      </c>
      <c r="D748">
        <v>1109</v>
      </c>
      <c r="E748">
        <v>22157</v>
      </c>
      <c r="F748">
        <v>268</v>
      </c>
      <c r="G748">
        <v>54</v>
      </c>
      <c r="H748">
        <v>1</v>
      </c>
      <c r="I748">
        <v>3.1051135081463999E-2</v>
      </c>
      <c r="J748">
        <v>0.24378922032149919</v>
      </c>
      <c r="K748" t="s">
        <v>432</v>
      </c>
      <c r="L748">
        <v>0.77297343763431614</v>
      </c>
      <c r="M748">
        <v>1</v>
      </c>
      <c r="N748">
        <v>2.1685943060498199E-2</v>
      </c>
      <c r="O748" t="s">
        <v>433</v>
      </c>
      <c r="P748">
        <v>17594</v>
      </c>
      <c r="Q748">
        <v>0.1189041718767761</v>
      </c>
      <c r="R748">
        <v>0</v>
      </c>
      <c r="T748">
        <v>0</v>
      </c>
      <c r="U748" t="b">
        <v>0</v>
      </c>
      <c r="V748">
        <v>6.8858108108108116</v>
      </c>
      <c r="Y748">
        <v>0</v>
      </c>
      <c r="Z748">
        <v>1008</v>
      </c>
      <c r="AA748">
        <v>1.1944300828314999E-3</v>
      </c>
      <c r="AB748">
        <v>7.3064794099457903E-2</v>
      </c>
      <c r="AC748">
        <v>-2.6663621461342699E-2</v>
      </c>
      <c r="AD748">
        <v>1.7386850992200598E-2</v>
      </c>
      <c r="AE748">
        <v>0</v>
      </c>
      <c r="AF748" t="b">
        <v>0</v>
      </c>
    </row>
    <row r="749" spans="1:35" x14ac:dyDescent="0.3">
      <c r="A749" t="s">
        <v>1632</v>
      </c>
      <c r="B749" t="s">
        <v>1633</v>
      </c>
      <c r="C749" t="s">
        <v>1081</v>
      </c>
      <c r="D749">
        <v>11026</v>
      </c>
      <c r="E749">
        <v>260329</v>
      </c>
      <c r="F749">
        <v>12</v>
      </c>
      <c r="G749">
        <v>60</v>
      </c>
      <c r="H749">
        <v>60</v>
      </c>
      <c r="I749">
        <v>1</v>
      </c>
      <c r="J749">
        <v>1</v>
      </c>
      <c r="K749" t="s">
        <v>86</v>
      </c>
      <c r="P749">
        <v>0</v>
      </c>
      <c r="R749">
        <v>0</v>
      </c>
      <c r="T749">
        <v>0</v>
      </c>
      <c r="U749" t="b">
        <v>0</v>
      </c>
      <c r="Y749">
        <v>0</v>
      </c>
      <c r="Z749">
        <v>4887</v>
      </c>
      <c r="AA749">
        <v>-7.4602084696880002E-4</v>
      </c>
      <c r="AB749">
        <v>-7.2405906580197604E-2</v>
      </c>
      <c r="AC749">
        <v>-5.8560285652443003E-3</v>
      </c>
      <c r="AD749">
        <v>3.9575191061444002E-3</v>
      </c>
      <c r="AE749">
        <v>2</v>
      </c>
      <c r="AF749" t="b">
        <v>1</v>
      </c>
      <c r="AG749">
        <v>6.2524395941281003E-3</v>
      </c>
      <c r="AH749">
        <v>0.78919071088813586</v>
      </c>
      <c r="AI749" t="b">
        <v>0</v>
      </c>
    </row>
    <row r="750" spans="1:35" x14ac:dyDescent="0.3">
      <c r="A750" t="s">
        <v>1634</v>
      </c>
      <c r="B750" t="s">
        <v>1635</v>
      </c>
      <c r="C750" t="s">
        <v>431</v>
      </c>
      <c r="D750">
        <v>52</v>
      </c>
      <c r="E750">
        <v>1441</v>
      </c>
      <c r="F750">
        <v>6</v>
      </c>
      <c r="G750">
        <v>60</v>
      </c>
      <c r="H750">
        <v>60</v>
      </c>
      <c r="I750">
        <v>1</v>
      </c>
      <c r="J750">
        <v>1</v>
      </c>
      <c r="K750" t="s">
        <v>86</v>
      </c>
      <c r="P750">
        <v>0</v>
      </c>
      <c r="R750">
        <v>0</v>
      </c>
      <c r="T750">
        <v>0</v>
      </c>
      <c r="U750" t="b">
        <v>0</v>
      </c>
      <c r="Y750">
        <v>0</v>
      </c>
      <c r="Z750">
        <v>111</v>
      </c>
      <c r="AA750">
        <v>1.3888888888888E-3</v>
      </c>
      <c r="AB750">
        <v>0.13513513513513509</v>
      </c>
      <c r="AE750">
        <v>0</v>
      </c>
      <c r="AF750" t="b">
        <v>0</v>
      </c>
    </row>
    <row r="751" spans="1:35" x14ac:dyDescent="0.3">
      <c r="A751" t="s">
        <v>1636</v>
      </c>
      <c r="B751" t="s">
        <v>1637</v>
      </c>
      <c r="C751" t="s">
        <v>431</v>
      </c>
      <c r="D751">
        <v>107</v>
      </c>
      <c r="E751">
        <v>82</v>
      </c>
      <c r="F751">
        <v>7</v>
      </c>
      <c r="G751">
        <v>510</v>
      </c>
      <c r="H751">
        <v>60</v>
      </c>
      <c r="I751">
        <v>0.85365853658536583</v>
      </c>
      <c r="J751">
        <v>0.61516452074391992</v>
      </c>
      <c r="K751" t="s">
        <v>432</v>
      </c>
      <c r="L751">
        <v>0.6788016685627607</v>
      </c>
      <c r="M751">
        <v>1</v>
      </c>
      <c r="N751">
        <v>2.35934664246823E-2</v>
      </c>
      <c r="O751" t="s">
        <v>433</v>
      </c>
      <c r="P751">
        <v>538</v>
      </c>
      <c r="Q751">
        <v>1</v>
      </c>
      <c r="R751">
        <v>0</v>
      </c>
      <c r="T751">
        <v>0</v>
      </c>
      <c r="U751" t="b">
        <v>0</v>
      </c>
      <c r="Y751">
        <v>0.46985210466439131</v>
      </c>
      <c r="Z751">
        <v>3</v>
      </c>
      <c r="AA751">
        <v>0</v>
      </c>
      <c r="AB751">
        <v>0</v>
      </c>
      <c r="AE751">
        <v>0</v>
      </c>
      <c r="AF751" t="b">
        <v>0</v>
      </c>
    </row>
    <row r="752" spans="1:35" x14ac:dyDescent="0.3">
      <c r="A752" t="s">
        <v>1638</v>
      </c>
      <c r="B752" t="s">
        <v>1639</v>
      </c>
      <c r="C752" t="s">
        <v>431</v>
      </c>
      <c r="D752">
        <v>193</v>
      </c>
      <c r="E752">
        <v>2826</v>
      </c>
      <c r="F752">
        <v>8</v>
      </c>
      <c r="G752">
        <v>60</v>
      </c>
      <c r="H752">
        <v>60</v>
      </c>
      <c r="I752">
        <v>1</v>
      </c>
      <c r="J752">
        <v>1</v>
      </c>
      <c r="K752" t="s">
        <v>432</v>
      </c>
      <c r="L752">
        <v>0.83092485549132944</v>
      </c>
      <c r="M752">
        <v>1</v>
      </c>
      <c r="N752">
        <v>1</v>
      </c>
      <c r="O752" t="s">
        <v>433</v>
      </c>
      <c r="P752">
        <v>0</v>
      </c>
      <c r="R752">
        <v>0</v>
      </c>
      <c r="T752">
        <v>0</v>
      </c>
      <c r="U752" t="b">
        <v>0</v>
      </c>
      <c r="Y752">
        <v>0</v>
      </c>
      <c r="Z752">
        <v>199</v>
      </c>
      <c r="AA752">
        <v>-7.7567298105681998E-3</v>
      </c>
      <c r="AB752">
        <v>-0.65159128978224468</v>
      </c>
      <c r="AD752">
        <v>1.99999999999999E-2</v>
      </c>
      <c r="AE752">
        <v>0</v>
      </c>
      <c r="AF752" t="b">
        <v>0</v>
      </c>
    </row>
    <row r="753" spans="1:35" x14ac:dyDescent="0.3">
      <c r="A753" t="s">
        <v>1640</v>
      </c>
      <c r="B753" t="s">
        <v>1641</v>
      </c>
      <c r="C753" t="s">
        <v>935</v>
      </c>
      <c r="D753">
        <v>3032</v>
      </c>
      <c r="E753">
        <v>37725</v>
      </c>
      <c r="F753">
        <v>29</v>
      </c>
      <c r="G753">
        <v>120</v>
      </c>
      <c r="H753">
        <v>60</v>
      </c>
      <c r="I753">
        <v>1</v>
      </c>
      <c r="J753">
        <v>1</v>
      </c>
      <c r="K753" t="s">
        <v>432</v>
      </c>
      <c r="L753">
        <v>0.91836038407174536</v>
      </c>
      <c r="M753">
        <v>1</v>
      </c>
      <c r="N753">
        <v>1</v>
      </c>
      <c r="O753" t="s">
        <v>518</v>
      </c>
      <c r="P753">
        <v>0</v>
      </c>
      <c r="R753">
        <v>0</v>
      </c>
      <c r="T753">
        <v>1</v>
      </c>
      <c r="U753" t="b">
        <v>1</v>
      </c>
      <c r="V753">
        <v>9.7040925633158643</v>
      </c>
      <c r="W753">
        <v>0</v>
      </c>
      <c r="X753" t="b">
        <v>1</v>
      </c>
      <c r="Y753">
        <v>0</v>
      </c>
      <c r="Z753">
        <v>811</v>
      </c>
      <c r="AA753">
        <v>7.3739044754220301E-2</v>
      </c>
      <c r="AB753">
        <v>8.8821843460154533</v>
      </c>
      <c r="AC753">
        <v>8.5519501051246297E-2</v>
      </c>
      <c r="AD753">
        <v>7.3030164946337905E-2</v>
      </c>
      <c r="AE753">
        <v>1</v>
      </c>
      <c r="AF753" t="b">
        <v>1</v>
      </c>
      <c r="AG753">
        <v>0</v>
      </c>
      <c r="AH753">
        <v>0</v>
      </c>
      <c r="AI753" t="b">
        <v>1</v>
      </c>
    </row>
    <row r="754" spans="1:35" x14ac:dyDescent="0.3">
      <c r="A754" t="s">
        <v>1642</v>
      </c>
      <c r="B754" t="s">
        <v>1643</v>
      </c>
      <c r="C754" t="s">
        <v>431</v>
      </c>
      <c r="D754">
        <v>2253</v>
      </c>
      <c r="E754">
        <v>50082</v>
      </c>
      <c r="F754">
        <v>39</v>
      </c>
      <c r="G754">
        <v>60</v>
      </c>
      <c r="H754">
        <v>60</v>
      </c>
      <c r="I754">
        <v>1</v>
      </c>
      <c r="J754">
        <v>1</v>
      </c>
      <c r="K754" t="s">
        <v>432</v>
      </c>
      <c r="L754">
        <v>0.88750562230932339</v>
      </c>
      <c r="M754">
        <v>1</v>
      </c>
      <c r="N754">
        <v>1</v>
      </c>
      <c r="O754" t="s">
        <v>433</v>
      </c>
      <c r="P754">
        <v>0</v>
      </c>
      <c r="R754">
        <v>0</v>
      </c>
      <c r="T754">
        <v>0</v>
      </c>
      <c r="U754" t="b">
        <v>0</v>
      </c>
      <c r="V754">
        <v>18.904983101530981</v>
      </c>
      <c r="Y754">
        <v>0</v>
      </c>
      <c r="Z754">
        <v>1500</v>
      </c>
      <c r="AA754">
        <v>5.3447172328523397E-2</v>
      </c>
      <c r="AB754">
        <v>5.7221579053228666</v>
      </c>
      <c r="AC754">
        <v>-3.6408489462177E-3</v>
      </c>
      <c r="AD754">
        <v>0.12795071557700499</v>
      </c>
      <c r="AE754">
        <v>0</v>
      </c>
      <c r="AF754" t="b">
        <v>0</v>
      </c>
    </row>
    <row r="755" spans="1:35" x14ac:dyDescent="0.3">
      <c r="A755" t="s">
        <v>1644</v>
      </c>
      <c r="B755" t="s">
        <v>1645</v>
      </c>
      <c r="C755" t="s">
        <v>85</v>
      </c>
      <c r="D755">
        <v>806</v>
      </c>
      <c r="E755">
        <v>30268</v>
      </c>
      <c r="F755">
        <v>30</v>
      </c>
      <c r="G755">
        <v>60</v>
      </c>
      <c r="H755">
        <v>60</v>
      </c>
      <c r="I755">
        <v>1</v>
      </c>
      <c r="J755">
        <v>1</v>
      </c>
      <c r="K755" t="s">
        <v>86</v>
      </c>
      <c r="P755">
        <v>0</v>
      </c>
      <c r="R755">
        <v>0</v>
      </c>
      <c r="T755">
        <v>0</v>
      </c>
      <c r="U755" t="b">
        <v>0</v>
      </c>
      <c r="Y755">
        <v>0</v>
      </c>
      <c r="Z755">
        <v>962</v>
      </c>
      <c r="AA755">
        <v>6.7733666461552997E-3</v>
      </c>
      <c r="AB755">
        <v>0.65057915057915061</v>
      </c>
      <c r="AC755">
        <v>1.2786483589403199E-2</v>
      </c>
      <c r="AD755">
        <v>1.6551525618883099E-2</v>
      </c>
      <c r="AE755">
        <v>0</v>
      </c>
      <c r="AF755" t="b">
        <v>0</v>
      </c>
    </row>
    <row r="756" spans="1:35" x14ac:dyDescent="0.3">
      <c r="A756" t="s">
        <v>1646</v>
      </c>
      <c r="B756" t="s">
        <v>1647</v>
      </c>
      <c r="C756" t="s">
        <v>431</v>
      </c>
      <c r="D756">
        <v>88</v>
      </c>
      <c r="E756">
        <v>1496</v>
      </c>
      <c r="F756">
        <v>8</v>
      </c>
      <c r="G756">
        <v>180</v>
      </c>
      <c r="H756">
        <v>60</v>
      </c>
      <c r="I756">
        <v>1</v>
      </c>
      <c r="J756">
        <v>1</v>
      </c>
      <c r="K756" t="s">
        <v>432</v>
      </c>
      <c r="L756">
        <v>5.5555555555555497E-2</v>
      </c>
      <c r="M756">
        <v>1</v>
      </c>
      <c r="N756">
        <v>1</v>
      </c>
      <c r="O756" t="s">
        <v>433</v>
      </c>
      <c r="P756">
        <v>0</v>
      </c>
      <c r="R756">
        <v>0</v>
      </c>
      <c r="T756">
        <v>0</v>
      </c>
      <c r="U756" t="b">
        <v>0</v>
      </c>
      <c r="Y756">
        <v>0</v>
      </c>
      <c r="Z756">
        <v>27</v>
      </c>
      <c r="AA756">
        <v>0</v>
      </c>
      <c r="AB756">
        <v>0</v>
      </c>
      <c r="AD756">
        <v>0</v>
      </c>
      <c r="AE756">
        <v>0</v>
      </c>
      <c r="AF756" t="b">
        <v>0</v>
      </c>
    </row>
    <row r="757" spans="1:35" x14ac:dyDescent="0.3">
      <c r="A757" t="s">
        <v>1648</v>
      </c>
      <c r="B757" t="s">
        <v>1649</v>
      </c>
      <c r="C757" t="s">
        <v>431</v>
      </c>
      <c r="D757">
        <v>70</v>
      </c>
      <c r="E757">
        <v>761</v>
      </c>
      <c r="F757">
        <v>20</v>
      </c>
      <c r="G757">
        <v>180</v>
      </c>
      <c r="H757">
        <v>60</v>
      </c>
      <c r="I757">
        <v>0.96320630749014458</v>
      </c>
      <c r="J757">
        <v>0.98315282791817082</v>
      </c>
      <c r="K757" t="s">
        <v>432</v>
      </c>
      <c r="L757">
        <v>0.69554753309265949</v>
      </c>
      <c r="M757">
        <v>0.97628458498023718</v>
      </c>
      <c r="N757">
        <v>0.98615916955017302</v>
      </c>
      <c r="O757" t="s">
        <v>433</v>
      </c>
      <c r="P757">
        <v>8</v>
      </c>
      <c r="Q757">
        <v>0.25</v>
      </c>
      <c r="R757">
        <v>6</v>
      </c>
      <c r="S757">
        <v>0</v>
      </c>
      <c r="T757">
        <v>0</v>
      </c>
      <c r="U757" t="b">
        <v>0</v>
      </c>
      <c r="Y757">
        <v>0</v>
      </c>
      <c r="Z757">
        <v>4</v>
      </c>
      <c r="AA757">
        <v>7.1428571428571397E-2</v>
      </c>
      <c r="AB757">
        <v>10</v>
      </c>
      <c r="AC757">
        <v>7.1428571428571397E-2</v>
      </c>
      <c r="AE757">
        <v>0</v>
      </c>
      <c r="AF757" t="b">
        <v>0</v>
      </c>
    </row>
    <row r="758" spans="1:35" x14ac:dyDescent="0.3">
      <c r="A758" t="s">
        <v>1650</v>
      </c>
      <c r="B758" t="s">
        <v>1651</v>
      </c>
      <c r="C758" t="s">
        <v>431</v>
      </c>
      <c r="D758">
        <v>51</v>
      </c>
      <c r="E758">
        <v>396</v>
      </c>
      <c r="F758">
        <v>82</v>
      </c>
      <c r="G758">
        <v>240</v>
      </c>
      <c r="H758">
        <v>1</v>
      </c>
      <c r="I758">
        <v>0.68434343434343436</v>
      </c>
      <c r="J758">
        <v>0.86850649350649356</v>
      </c>
      <c r="K758" t="s">
        <v>432</v>
      </c>
      <c r="L758">
        <v>0.34260429835651068</v>
      </c>
      <c r="M758">
        <v>0.99807692307692319</v>
      </c>
      <c r="N758">
        <v>0.1666666666666666</v>
      </c>
      <c r="O758" t="s">
        <v>433</v>
      </c>
      <c r="P758">
        <v>75</v>
      </c>
      <c r="Q758">
        <v>1</v>
      </c>
      <c r="R758">
        <v>1</v>
      </c>
      <c r="S758">
        <v>0</v>
      </c>
      <c r="T758">
        <v>0</v>
      </c>
      <c r="U758" t="b">
        <v>0</v>
      </c>
      <c r="Y758">
        <v>0.2212389380530973</v>
      </c>
      <c r="Z758">
        <v>13</v>
      </c>
      <c r="AA758">
        <v>7.4074074074073999E-3</v>
      </c>
      <c r="AB758">
        <v>1.5384615384615381</v>
      </c>
      <c r="AE758">
        <v>0</v>
      </c>
      <c r="AF758" t="b">
        <v>0</v>
      </c>
    </row>
    <row r="759" spans="1:35" x14ac:dyDescent="0.3">
      <c r="A759" t="s">
        <v>1652</v>
      </c>
      <c r="B759" t="s">
        <v>1653</v>
      </c>
      <c r="C759" t="s">
        <v>431</v>
      </c>
      <c r="D759">
        <v>192</v>
      </c>
      <c r="E759">
        <v>758</v>
      </c>
      <c r="F759">
        <v>47</v>
      </c>
      <c r="G759">
        <v>180</v>
      </c>
      <c r="H759">
        <v>60</v>
      </c>
      <c r="I759">
        <v>0.91292875989445921</v>
      </c>
      <c r="J759">
        <v>0.55702917771883287</v>
      </c>
      <c r="K759" t="s">
        <v>432</v>
      </c>
      <c r="L759">
        <v>0.82937211777225972</v>
      </c>
      <c r="M759">
        <v>1</v>
      </c>
      <c r="N759">
        <v>0.4052706552706552</v>
      </c>
      <c r="O759" t="s">
        <v>433</v>
      </c>
      <c r="P759">
        <v>807</v>
      </c>
      <c r="Q759">
        <v>0.74225526641883521</v>
      </c>
      <c r="R759">
        <v>0</v>
      </c>
      <c r="T759">
        <v>0</v>
      </c>
      <c r="U759" t="b">
        <v>0</v>
      </c>
      <c r="V759">
        <v>10</v>
      </c>
      <c r="Y759">
        <v>0.33132316424263919</v>
      </c>
      <c r="Z759">
        <v>34</v>
      </c>
      <c r="AA759">
        <v>-3.2568752963489801E-2</v>
      </c>
      <c r="AB759">
        <v>-5.3872549019607829</v>
      </c>
      <c r="AE759">
        <v>0</v>
      </c>
      <c r="AF759" t="b">
        <v>0</v>
      </c>
    </row>
    <row r="760" spans="1:35" x14ac:dyDescent="0.3">
      <c r="A760" t="s">
        <v>1654</v>
      </c>
      <c r="B760" t="s">
        <v>1655</v>
      </c>
      <c r="C760" t="s">
        <v>431</v>
      </c>
      <c r="D760">
        <v>113</v>
      </c>
      <c r="E760">
        <v>5437</v>
      </c>
      <c r="F760">
        <v>10</v>
      </c>
      <c r="G760">
        <v>60</v>
      </c>
      <c r="H760">
        <v>60</v>
      </c>
      <c r="I760">
        <v>1</v>
      </c>
      <c r="J760">
        <v>1</v>
      </c>
      <c r="K760" t="s">
        <v>432</v>
      </c>
      <c r="L760">
        <v>3.3463469046291099E-2</v>
      </c>
      <c r="M760">
        <v>1</v>
      </c>
      <c r="O760" t="s">
        <v>518</v>
      </c>
      <c r="P760">
        <v>0</v>
      </c>
      <c r="R760">
        <v>0</v>
      </c>
      <c r="T760">
        <v>0</v>
      </c>
      <c r="U760" t="b">
        <v>0</v>
      </c>
      <c r="Y760">
        <v>3.3463469046291099E-2</v>
      </c>
      <c r="Z760">
        <v>199</v>
      </c>
      <c r="AA760">
        <v>-1.00330500472143E-2</v>
      </c>
      <c r="AB760">
        <v>-0.76274228284278534</v>
      </c>
      <c r="AC760">
        <v>-3.2173309537973399E-2</v>
      </c>
      <c r="AD760">
        <v>1.1517615176151699E-2</v>
      </c>
      <c r="AE760">
        <v>0</v>
      </c>
      <c r="AF760" t="b">
        <v>0</v>
      </c>
    </row>
    <row r="761" spans="1:35" x14ac:dyDescent="0.3">
      <c r="A761" t="s">
        <v>1656</v>
      </c>
      <c r="B761" t="s">
        <v>1657</v>
      </c>
      <c r="C761" t="s">
        <v>1658</v>
      </c>
      <c r="D761">
        <v>144059</v>
      </c>
      <c r="E761">
        <v>2007861</v>
      </c>
      <c r="F761">
        <v>55</v>
      </c>
      <c r="G761">
        <v>60</v>
      </c>
      <c r="H761">
        <v>60</v>
      </c>
      <c r="I761">
        <v>1</v>
      </c>
      <c r="J761">
        <v>1</v>
      </c>
      <c r="K761" t="s">
        <v>86</v>
      </c>
      <c r="P761">
        <v>0</v>
      </c>
      <c r="R761">
        <v>0</v>
      </c>
      <c r="T761">
        <v>2</v>
      </c>
      <c r="U761" t="b">
        <v>1</v>
      </c>
      <c r="V761">
        <v>3.2953928475482721</v>
      </c>
      <c r="W761">
        <v>6.1908423769824497</v>
      </c>
      <c r="X761" t="b">
        <v>0</v>
      </c>
      <c r="Y761">
        <v>0</v>
      </c>
      <c r="Z761">
        <v>48937</v>
      </c>
      <c r="AA761">
        <v>1.2104706405388301E-2</v>
      </c>
      <c r="AB761">
        <v>1.1470616325666001</v>
      </c>
      <c r="AC761">
        <v>1.0765324415544401E-2</v>
      </c>
      <c r="AD761">
        <v>2.1046750357550999E-2</v>
      </c>
      <c r="AE761">
        <v>3</v>
      </c>
      <c r="AF761" t="b">
        <v>1</v>
      </c>
      <c r="AG761">
        <v>9.3600124260749002E-3</v>
      </c>
      <c r="AH761">
        <v>0.7601395592434822</v>
      </c>
      <c r="AI761" t="b">
        <v>1</v>
      </c>
    </row>
    <row r="762" spans="1:35" x14ac:dyDescent="0.3">
      <c r="A762" t="s">
        <v>1659</v>
      </c>
      <c r="B762" t="s">
        <v>1660</v>
      </c>
      <c r="C762" t="s">
        <v>431</v>
      </c>
      <c r="D762">
        <v>13396</v>
      </c>
      <c r="E762">
        <v>755548</v>
      </c>
      <c r="F762">
        <v>29</v>
      </c>
      <c r="G762">
        <v>60</v>
      </c>
      <c r="H762">
        <v>60</v>
      </c>
      <c r="I762">
        <v>1</v>
      </c>
      <c r="J762">
        <v>1</v>
      </c>
      <c r="K762" t="s">
        <v>432</v>
      </c>
      <c r="L762">
        <v>0.89150515850245338</v>
      </c>
      <c r="M762">
        <v>1</v>
      </c>
      <c r="N762">
        <v>1</v>
      </c>
      <c r="O762" t="s">
        <v>518</v>
      </c>
      <c r="P762">
        <v>0</v>
      </c>
      <c r="R762">
        <v>0</v>
      </c>
      <c r="T762">
        <v>0</v>
      </c>
      <c r="U762" t="b">
        <v>0</v>
      </c>
      <c r="V762">
        <v>14.529703586985979</v>
      </c>
      <c r="Y762">
        <v>0</v>
      </c>
      <c r="Z762">
        <v>13050</v>
      </c>
      <c r="AA762">
        <v>2.8709867000889601E-2</v>
      </c>
      <c r="AB762">
        <v>2.3902829108558792</v>
      </c>
      <c r="AC762">
        <v>-2.11806685596371E-2</v>
      </c>
      <c r="AD762">
        <v>7.6187485774362698E-2</v>
      </c>
      <c r="AE762">
        <v>0</v>
      </c>
      <c r="AF762" t="b">
        <v>0</v>
      </c>
    </row>
    <row r="763" spans="1:35" x14ac:dyDescent="0.3">
      <c r="A763" t="s">
        <v>1661</v>
      </c>
      <c r="B763" t="s">
        <v>1662</v>
      </c>
      <c r="C763" t="s">
        <v>431</v>
      </c>
      <c r="D763">
        <v>2877</v>
      </c>
      <c r="E763">
        <v>75519</v>
      </c>
      <c r="F763">
        <v>307</v>
      </c>
      <c r="G763">
        <v>48</v>
      </c>
      <c r="H763">
        <v>1</v>
      </c>
      <c r="I763">
        <v>2.2285782385889599E-2</v>
      </c>
      <c r="J763">
        <v>0.217230470942395</v>
      </c>
      <c r="K763" t="s">
        <v>432</v>
      </c>
      <c r="L763">
        <v>0.79302515434460941</v>
      </c>
      <c r="M763">
        <v>0.9998151115493652</v>
      </c>
      <c r="N763">
        <v>1.29805372366092E-2</v>
      </c>
      <c r="O763" t="s">
        <v>433</v>
      </c>
      <c r="P763">
        <v>47889</v>
      </c>
      <c r="Q763">
        <v>0.45747457662511221</v>
      </c>
      <c r="R763">
        <v>2</v>
      </c>
      <c r="S763">
        <v>0</v>
      </c>
      <c r="T763">
        <v>0</v>
      </c>
      <c r="U763" t="b">
        <v>0</v>
      </c>
      <c r="V763">
        <v>5.6187358439731856</v>
      </c>
      <c r="Y763">
        <v>0</v>
      </c>
      <c r="Z763">
        <v>1863</v>
      </c>
      <c r="AA763">
        <v>2.7126153435831201E-2</v>
      </c>
      <c r="AB763">
        <v>1.643076738823791</v>
      </c>
      <c r="AC763">
        <v>-1.18587803922894E-2</v>
      </c>
      <c r="AD763">
        <v>6.7379323680372999E-2</v>
      </c>
      <c r="AE763">
        <v>0</v>
      </c>
      <c r="AF763" t="b">
        <v>0</v>
      </c>
    </row>
    <row r="764" spans="1:35" x14ac:dyDescent="0.3">
      <c r="A764" t="s">
        <v>1663</v>
      </c>
      <c r="B764" t="s">
        <v>1664</v>
      </c>
      <c r="C764" t="s">
        <v>537</v>
      </c>
      <c r="D764">
        <v>738</v>
      </c>
      <c r="E764">
        <v>2694</v>
      </c>
      <c r="F764">
        <v>42</v>
      </c>
      <c r="G764">
        <v>1410</v>
      </c>
      <c r="H764">
        <v>60</v>
      </c>
      <c r="I764">
        <v>1</v>
      </c>
      <c r="J764">
        <v>1</v>
      </c>
      <c r="K764" t="s">
        <v>86</v>
      </c>
      <c r="P764">
        <v>0</v>
      </c>
      <c r="R764">
        <v>0</v>
      </c>
      <c r="T764">
        <v>0</v>
      </c>
      <c r="U764" t="b">
        <v>0</v>
      </c>
      <c r="V764">
        <v>59.375</v>
      </c>
      <c r="Y764">
        <v>0</v>
      </c>
      <c r="Z764">
        <v>39</v>
      </c>
      <c r="AA764">
        <v>3.2816649976052499E-2</v>
      </c>
      <c r="AB764">
        <v>41.412087912087912</v>
      </c>
      <c r="AC764">
        <v>7.8366445916114705E-2</v>
      </c>
      <c r="AD764">
        <v>7.0350404312668396E-2</v>
      </c>
      <c r="AE764">
        <v>0</v>
      </c>
      <c r="AF764" t="b">
        <v>0</v>
      </c>
    </row>
    <row r="765" spans="1:35" x14ac:dyDescent="0.3">
      <c r="A765" t="s">
        <v>1665</v>
      </c>
      <c r="B765" t="s">
        <v>1666</v>
      </c>
      <c r="C765" t="s">
        <v>826</v>
      </c>
      <c r="D765">
        <v>28248</v>
      </c>
      <c r="E765">
        <v>432441</v>
      </c>
      <c r="F765">
        <v>31</v>
      </c>
      <c r="G765">
        <v>60</v>
      </c>
      <c r="H765">
        <v>60</v>
      </c>
      <c r="I765">
        <v>1</v>
      </c>
      <c r="J765">
        <v>1</v>
      </c>
      <c r="K765" t="s">
        <v>86</v>
      </c>
      <c r="P765">
        <v>0</v>
      </c>
      <c r="R765">
        <v>0</v>
      </c>
      <c r="T765">
        <v>2</v>
      </c>
      <c r="U765" t="b">
        <v>1</v>
      </c>
      <c r="V765">
        <v>1.2108313782844089</v>
      </c>
      <c r="W765">
        <v>12.54060960570933</v>
      </c>
      <c r="X765" t="b">
        <v>0</v>
      </c>
      <c r="Y765">
        <v>0</v>
      </c>
      <c r="Z765">
        <v>10513</v>
      </c>
      <c r="AA765">
        <v>-4.9614784889680003E-4</v>
      </c>
      <c r="AB765">
        <v>-4.9556283071438202E-2</v>
      </c>
      <c r="AC765">
        <v>2.8486110559788999E-3</v>
      </c>
      <c r="AD765">
        <v>-4.5355517402888004E-3</v>
      </c>
      <c r="AE765">
        <v>2</v>
      </c>
      <c r="AF765" t="b">
        <v>1</v>
      </c>
      <c r="AG765">
        <v>6.2715194190419998E-4</v>
      </c>
      <c r="AH765">
        <v>5.8495238095238003E-2</v>
      </c>
      <c r="AI765" t="b">
        <v>0</v>
      </c>
    </row>
    <row r="766" spans="1:35" x14ac:dyDescent="0.3">
      <c r="A766" t="s">
        <v>1667</v>
      </c>
      <c r="B766" t="s">
        <v>1668</v>
      </c>
      <c r="C766" t="s">
        <v>537</v>
      </c>
      <c r="D766">
        <v>1070</v>
      </c>
      <c r="E766">
        <v>37588</v>
      </c>
      <c r="F766">
        <v>10</v>
      </c>
      <c r="G766">
        <v>60</v>
      </c>
      <c r="H766">
        <v>60</v>
      </c>
      <c r="I766">
        <v>1</v>
      </c>
      <c r="J766">
        <v>1</v>
      </c>
      <c r="K766" t="s">
        <v>86</v>
      </c>
      <c r="P766">
        <v>0</v>
      </c>
      <c r="R766">
        <v>0</v>
      </c>
      <c r="T766">
        <v>0</v>
      </c>
      <c r="U766" t="b">
        <v>0</v>
      </c>
      <c r="V766">
        <v>8.6219253604749788</v>
      </c>
      <c r="Y766">
        <v>0</v>
      </c>
      <c r="Z766">
        <v>814</v>
      </c>
      <c r="AA766">
        <v>5.0461506075030797E-2</v>
      </c>
      <c r="AB766">
        <v>3.5765005710826139</v>
      </c>
      <c r="AC766">
        <v>1.74363589584044E-2</v>
      </c>
      <c r="AD766">
        <v>8.8827690386556898E-2</v>
      </c>
      <c r="AE766">
        <v>0</v>
      </c>
      <c r="AF766" t="b">
        <v>0</v>
      </c>
    </row>
    <row r="767" spans="1:35" x14ac:dyDescent="0.3">
      <c r="A767" t="s">
        <v>1669</v>
      </c>
      <c r="B767" t="s">
        <v>1670</v>
      </c>
      <c r="C767" t="s">
        <v>537</v>
      </c>
      <c r="D767">
        <v>2275</v>
      </c>
      <c r="E767">
        <v>86593</v>
      </c>
      <c r="F767">
        <v>15</v>
      </c>
      <c r="G767">
        <v>60</v>
      </c>
      <c r="H767">
        <v>60</v>
      </c>
      <c r="I767">
        <v>1</v>
      </c>
      <c r="J767">
        <v>1</v>
      </c>
      <c r="K767" t="s">
        <v>86</v>
      </c>
      <c r="P767">
        <v>0</v>
      </c>
      <c r="R767">
        <v>0</v>
      </c>
      <c r="T767">
        <v>0</v>
      </c>
      <c r="U767" t="b">
        <v>0</v>
      </c>
      <c r="V767">
        <v>10.918130403116439</v>
      </c>
      <c r="Y767">
        <v>0</v>
      </c>
      <c r="Z767">
        <v>1836</v>
      </c>
      <c r="AA767">
        <v>8.3285201106418502E-2</v>
      </c>
      <c r="AB767">
        <v>6.3871463724093127</v>
      </c>
      <c r="AC767">
        <v>6.0642109108902602E-2</v>
      </c>
      <c r="AD767">
        <v>9.8680021974610801E-2</v>
      </c>
      <c r="AE767">
        <v>0</v>
      </c>
      <c r="AF767" t="b">
        <v>0</v>
      </c>
    </row>
    <row r="768" spans="1:35" x14ac:dyDescent="0.3">
      <c r="A768" t="s">
        <v>1671</v>
      </c>
      <c r="B768" t="s">
        <v>1672</v>
      </c>
      <c r="C768" t="s">
        <v>537</v>
      </c>
      <c r="D768">
        <v>260</v>
      </c>
      <c r="E768">
        <v>4404</v>
      </c>
      <c r="F768">
        <v>25</v>
      </c>
      <c r="G768">
        <v>60</v>
      </c>
      <c r="H768">
        <v>60</v>
      </c>
      <c r="I768">
        <v>1</v>
      </c>
      <c r="J768">
        <v>1</v>
      </c>
      <c r="K768" t="s">
        <v>86</v>
      </c>
      <c r="P768">
        <v>0</v>
      </c>
      <c r="R768">
        <v>0</v>
      </c>
      <c r="T768">
        <v>0</v>
      </c>
      <c r="U768" t="b">
        <v>0</v>
      </c>
      <c r="V768">
        <v>0</v>
      </c>
      <c r="Y768">
        <v>0</v>
      </c>
      <c r="Z768">
        <v>68</v>
      </c>
      <c r="AA768">
        <v>-2.4600246002459999E-3</v>
      </c>
      <c r="AB768">
        <v>-0.29411764705882348</v>
      </c>
      <c r="AC768">
        <v>0</v>
      </c>
      <c r="AD768">
        <v>0</v>
      </c>
      <c r="AE768">
        <v>0</v>
      </c>
      <c r="AF768" t="b">
        <v>0</v>
      </c>
    </row>
    <row r="769" spans="1:32" x14ac:dyDescent="0.3">
      <c r="A769" t="s">
        <v>1673</v>
      </c>
      <c r="B769" t="s">
        <v>1674</v>
      </c>
      <c r="C769" t="s">
        <v>537</v>
      </c>
      <c r="D769">
        <v>132</v>
      </c>
      <c r="E769">
        <v>2846</v>
      </c>
      <c r="F769">
        <v>16</v>
      </c>
      <c r="G769">
        <v>120</v>
      </c>
      <c r="H769">
        <v>60</v>
      </c>
      <c r="I769">
        <v>1</v>
      </c>
      <c r="J769">
        <v>1</v>
      </c>
      <c r="K769" t="s">
        <v>86</v>
      </c>
      <c r="P769">
        <v>0</v>
      </c>
      <c r="R769">
        <v>0</v>
      </c>
      <c r="T769">
        <v>0</v>
      </c>
      <c r="U769" t="b">
        <v>0</v>
      </c>
      <c r="Y769">
        <v>0</v>
      </c>
      <c r="Z769">
        <v>76</v>
      </c>
      <c r="AA769">
        <v>3.6467889908256799E-2</v>
      </c>
      <c r="AB769">
        <v>6.2763157894736841</v>
      </c>
      <c r="AC769">
        <v>0.13207547169811321</v>
      </c>
      <c r="AE769">
        <v>0</v>
      </c>
      <c r="AF769" t="b">
        <v>0</v>
      </c>
    </row>
    <row r="770" spans="1:32" x14ac:dyDescent="0.3">
      <c r="A770" t="s">
        <v>1675</v>
      </c>
      <c r="B770" t="s">
        <v>1676</v>
      </c>
      <c r="C770" t="s">
        <v>431</v>
      </c>
      <c r="D770">
        <v>63</v>
      </c>
      <c r="E770">
        <v>1774</v>
      </c>
      <c r="F770">
        <v>6</v>
      </c>
      <c r="G770">
        <v>60</v>
      </c>
      <c r="H770">
        <v>60</v>
      </c>
      <c r="I770">
        <v>1</v>
      </c>
      <c r="J770">
        <v>1</v>
      </c>
      <c r="K770" t="s">
        <v>86</v>
      </c>
      <c r="P770">
        <v>0</v>
      </c>
      <c r="R770">
        <v>0</v>
      </c>
      <c r="T770">
        <v>0</v>
      </c>
      <c r="U770" t="b">
        <v>0</v>
      </c>
      <c r="V770">
        <v>0</v>
      </c>
      <c r="Y770">
        <v>0</v>
      </c>
      <c r="Z770">
        <v>114</v>
      </c>
      <c r="AA770">
        <v>0</v>
      </c>
      <c r="AB770">
        <v>0</v>
      </c>
      <c r="AC770">
        <v>0</v>
      </c>
      <c r="AD770">
        <v>0</v>
      </c>
      <c r="AE770">
        <v>0</v>
      </c>
      <c r="AF770" t="b">
        <v>0</v>
      </c>
    </row>
    <row r="771" spans="1:32" x14ac:dyDescent="0.3">
      <c r="A771" t="s">
        <v>1677</v>
      </c>
      <c r="B771" t="s">
        <v>1678</v>
      </c>
      <c r="C771" t="s">
        <v>1679</v>
      </c>
      <c r="D771">
        <v>240</v>
      </c>
      <c r="E771">
        <v>3553</v>
      </c>
      <c r="F771">
        <v>12</v>
      </c>
      <c r="G771">
        <v>60</v>
      </c>
      <c r="H771">
        <v>60</v>
      </c>
      <c r="I771">
        <v>1</v>
      </c>
      <c r="J771">
        <v>1</v>
      </c>
      <c r="K771" t="s">
        <v>86</v>
      </c>
      <c r="P771">
        <v>0</v>
      </c>
      <c r="R771">
        <v>0</v>
      </c>
      <c r="T771">
        <v>0</v>
      </c>
      <c r="U771" t="b">
        <v>0</v>
      </c>
      <c r="Y771">
        <v>0</v>
      </c>
      <c r="Z771">
        <v>118</v>
      </c>
      <c r="AA771">
        <v>-4.0000000000000001E-3</v>
      </c>
      <c r="AB771">
        <v>-0.50847457627118642</v>
      </c>
      <c r="AE771">
        <v>0</v>
      </c>
      <c r="AF771" t="b">
        <v>0</v>
      </c>
    </row>
    <row r="772" spans="1:32" x14ac:dyDescent="0.3">
      <c r="A772" t="s">
        <v>1680</v>
      </c>
      <c r="B772" t="s">
        <v>1681</v>
      </c>
      <c r="C772" t="s">
        <v>537</v>
      </c>
      <c r="D772">
        <v>1553</v>
      </c>
      <c r="E772">
        <v>46263</v>
      </c>
      <c r="F772">
        <v>21</v>
      </c>
      <c r="G772">
        <v>60</v>
      </c>
      <c r="H772">
        <v>60</v>
      </c>
      <c r="I772">
        <v>1</v>
      </c>
      <c r="J772">
        <v>1</v>
      </c>
      <c r="K772" t="s">
        <v>86</v>
      </c>
      <c r="P772">
        <v>0</v>
      </c>
      <c r="R772">
        <v>0</v>
      </c>
      <c r="T772">
        <v>0</v>
      </c>
      <c r="U772" t="b">
        <v>0</v>
      </c>
      <c r="V772">
        <v>4.8367898320918457</v>
      </c>
      <c r="Y772">
        <v>0</v>
      </c>
      <c r="Z772">
        <v>1652</v>
      </c>
      <c r="AA772">
        <v>9.5397081339012001E-3</v>
      </c>
      <c r="AB772">
        <v>0.79727109791180251</v>
      </c>
      <c r="AC772">
        <v>-1.38343047171243E-2</v>
      </c>
      <c r="AD772">
        <v>1.6741537391991398E-2</v>
      </c>
      <c r="AE772">
        <v>0</v>
      </c>
      <c r="AF772" t="b">
        <v>0</v>
      </c>
    </row>
    <row r="773" spans="1:32" x14ac:dyDescent="0.3">
      <c r="A773" t="s">
        <v>1682</v>
      </c>
      <c r="B773" t="s">
        <v>1683</v>
      </c>
      <c r="C773" t="s">
        <v>537</v>
      </c>
      <c r="D773">
        <v>282</v>
      </c>
      <c r="E773">
        <v>8021</v>
      </c>
      <c r="F773">
        <v>17</v>
      </c>
      <c r="G773">
        <v>60</v>
      </c>
      <c r="H773">
        <v>60</v>
      </c>
      <c r="I773">
        <v>1</v>
      </c>
      <c r="J773">
        <v>1</v>
      </c>
      <c r="K773" t="s">
        <v>86</v>
      </c>
      <c r="P773">
        <v>0</v>
      </c>
      <c r="R773">
        <v>0</v>
      </c>
      <c r="T773">
        <v>0</v>
      </c>
      <c r="U773" t="b">
        <v>0</v>
      </c>
      <c r="V773">
        <v>10</v>
      </c>
      <c r="Y773">
        <v>0</v>
      </c>
      <c r="Z773">
        <v>288</v>
      </c>
      <c r="AA773">
        <v>-1.21180604799949E-2</v>
      </c>
      <c r="AB773">
        <v>-1.2714947089947091</v>
      </c>
      <c r="AC773">
        <v>-2.1216768916155399E-2</v>
      </c>
      <c r="AD773">
        <v>-1.1069825050317301E-2</v>
      </c>
      <c r="AE773">
        <v>0</v>
      </c>
      <c r="AF773" t="b">
        <v>0</v>
      </c>
    </row>
    <row r="774" spans="1:32" x14ac:dyDescent="0.3">
      <c r="A774" t="s">
        <v>1684</v>
      </c>
      <c r="B774" t="s">
        <v>1685</v>
      </c>
      <c r="C774" t="s">
        <v>1120</v>
      </c>
      <c r="D774">
        <v>2240</v>
      </c>
      <c r="E774">
        <v>36827</v>
      </c>
      <c r="F774">
        <v>24</v>
      </c>
      <c r="G774">
        <v>120</v>
      </c>
      <c r="H774">
        <v>60</v>
      </c>
      <c r="I774">
        <v>1</v>
      </c>
      <c r="J774">
        <v>1</v>
      </c>
      <c r="K774" t="s">
        <v>86</v>
      </c>
      <c r="P774">
        <v>0</v>
      </c>
      <c r="R774">
        <v>0</v>
      </c>
      <c r="T774">
        <v>0</v>
      </c>
      <c r="U774" t="b">
        <v>0</v>
      </c>
      <c r="Y774">
        <v>0</v>
      </c>
      <c r="Z774">
        <v>1163</v>
      </c>
      <c r="AA774">
        <v>9.3634762743809007E-3</v>
      </c>
      <c r="AB774">
        <v>1.2332320874883209</v>
      </c>
      <c r="AC774">
        <v>2.18391218146941E-2</v>
      </c>
      <c r="AD774">
        <v>7.2768963836813997E-3</v>
      </c>
      <c r="AE774">
        <v>0</v>
      </c>
      <c r="AF774" t="b">
        <v>0</v>
      </c>
    </row>
    <row r="775" spans="1:32" x14ac:dyDescent="0.3">
      <c r="A775" t="s">
        <v>1686</v>
      </c>
      <c r="B775" t="s">
        <v>1687</v>
      </c>
      <c r="C775" t="s">
        <v>431</v>
      </c>
      <c r="D775">
        <v>594</v>
      </c>
      <c r="E775">
        <v>10642</v>
      </c>
      <c r="F775">
        <v>156</v>
      </c>
      <c r="G775">
        <v>65</v>
      </c>
      <c r="H775">
        <v>1</v>
      </c>
      <c r="I775">
        <v>1.8417590678443899E-2</v>
      </c>
      <c r="J775">
        <v>0.2664649341402634</v>
      </c>
      <c r="K775" t="s">
        <v>432</v>
      </c>
      <c r="L775">
        <v>0.75516197935208262</v>
      </c>
      <c r="M775">
        <v>1</v>
      </c>
      <c r="N775">
        <v>2.8638774307601599E-2</v>
      </c>
      <c r="O775" t="s">
        <v>433</v>
      </c>
      <c r="P775">
        <v>8242</v>
      </c>
      <c r="Q775">
        <v>0.1762921620965785</v>
      </c>
      <c r="R775">
        <v>0</v>
      </c>
      <c r="T775">
        <v>0</v>
      </c>
      <c r="U775" t="b">
        <v>0</v>
      </c>
      <c r="V775">
        <v>0</v>
      </c>
      <c r="Y775">
        <v>0</v>
      </c>
      <c r="Z775">
        <v>372</v>
      </c>
      <c r="AA775">
        <v>-3.6307053941907999E-3</v>
      </c>
      <c r="AB775">
        <v>-0.282258064516129</v>
      </c>
      <c r="AC775">
        <v>0</v>
      </c>
      <c r="AD775">
        <v>0</v>
      </c>
      <c r="AE775">
        <v>0</v>
      </c>
      <c r="AF775" t="b">
        <v>0</v>
      </c>
    </row>
    <row r="776" spans="1:32" x14ac:dyDescent="0.3">
      <c r="A776" t="s">
        <v>1688</v>
      </c>
      <c r="B776" t="s">
        <v>1689</v>
      </c>
      <c r="C776" t="s">
        <v>558</v>
      </c>
      <c r="D776">
        <v>7265</v>
      </c>
      <c r="E776">
        <v>77656</v>
      </c>
      <c r="F776">
        <v>33</v>
      </c>
      <c r="G776">
        <v>1800</v>
      </c>
      <c r="H776">
        <v>60</v>
      </c>
      <c r="I776">
        <v>1</v>
      </c>
      <c r="J776">
        <v>1</v>
      </c>
      <c r="K776" t="s">
        <v>86</v>
      </c>
      <c r="P776">
        <v>0</v>
      </c>
      <c r="R776">
        <v>0</v>
      </c>
      <c r="T776">
        <v>0</v>
      </c>
      <c r="U776" t="b">
        <v>0</v>
      </c>
      <c r="V776">
        <v>15</v>
      </c>
      <c r="Y776">
        <v>0</v>
      </c>
      <c r="Z776">
        <v>102</v>
      </c>
      <c r="AA776">
        <v>6.0315799412829997E-4</v>
      </c>
      <c r="AB776">
        <v>1.2323556873729899</v>
      </c>
      <c r="AC776">
        <v>4.4473687416991996E-3</v>
      </c>
      <c r="AD776">
        <v>-7.6893502499038254E-5</v>
      </c>
      <c r="AE776">
        <v>0</v>
      </c>
      <c r="AF776" t="b">
        <v>0</v>
      </c>
    </row>
    <row r="777" spans="1:32" x14ac:dyDescent="0.3">
      <c r="A777" t="s">
        <v>1690</v>
      </c>
      <c r="B777" t="s">
        <v>1691</v>
      </c>
      <c r="C777" t="s">
        <v>454</v>
      </c>
      <c r="D777">
        <v>2544</v>
      </c>
      <c r="E777">
        <v>48547</v>
      </c>
      <c r="F777">
        <v>15</v>
      </c>
      <c r="G777">
        <v>60</v>
      </c>
      <c r="H777">
        <v>60</v>
      </c>
      <c r="I777">
        <v>1</v>
      </c>
      <c r="J777">
        <v>1</v>
      </c>
      <c r="K777" t="s">
        <v>86</v>
      </c>
      <c r="P777">
        <v>0</v>
      </c>
      <c r="R777">
        <v>0</v>
      </c>
      <c r="T777">
        <v>0</v>
      </c>
      <c r="U777" t="b">
        <v>0</v>
      </c>
      <c r="V777">
        <v>4.6856886003643679</v>
      </c>
      <c r="Y777">
        <v>0</v>
      </c>
      <c r="Z777">
        <v>856</v>
      </c>
      <c r="AA777">
        <v>-1.3768742143490001E-3</v>
      </c>
      <c r="AB777">
        <v>-0.1415289303243476</v>
      </c>
      <c r="AC777">
        <v>-1.7467283878976999E-2</v>
      </c>
      <c r="AD777">
        <v>1.0610944836411999E-2</v>
      </c>
      <c r="AE777">
        <v>0</v>
      </c>
      <c r="AF777" t="b">
        <v>0</v>
      </c>
    </row>
    <row r="778" spans="1:32" x14ac:dyDescent="0.3">
      <c r="A778" t="s">
        <v>1692</v>
      </c>
      <c r="B778" t="s">
        <v>1693</v>
      </c>
      <c r="C778" t="s">
        <v>431</v>
      </c>
      <c r="D778">
        <v>96</v>
      </c>
      <c r="E778">
        <v>1387</v>
      </c>
      <c r="F778">
        <v>56</v>
      </c>
      <c r="G778">
        <v>56</v>
      </c>
      <c r="H778">
        <v>1</v>
      </c>
      <c r="I778">
        <v>2.7397260273972601E-2</v>
      </c>
      <c r="J778">
        <v>0.26635198921105868</v>
      </c>
      <c r="K778" t="s">
        <v>432</v>
      </c>
      <c r="L778">
        <v>0.76534052596089008</v>
      </c>
      <c r="M778">
        <v>1</v>
      </c>
      <c r="N778">
        <v>4.1409691629955898E-2</v>
      </c>
      <c r="O778" t="s">
        <v>433</v>
      </c>
      <c r="P778">
        <v>1088</v>
      </c>
      <c r="Q778">
        <v>0.60845588235294112</v>
      </c>
      <c r="R778">
        <v>0</v>
      </c>
      <c r="T778">
        <v>0</v>
      </c>
      <c r="U778" t="b">
        <v>0</v>
      </c>
      <c r="V778">
        <v>1.097560975609756</v>
      </c>
      <c r="Y778">
        <v>0</v>
      </c>
      <c r="Z778">
        <v>28</v>
      </c>
      <c r="AA778">
        <v>0</v>
      </c>
      <c r="AB778">
        <v>0</v>
      </c>
      <c r="AC778">
        <v>0</v>
      </c>
      <c r="AD778">
        <v>0</v>
      </c>
      <c r="AE778">
        <v>0</v>
      </c>
      <c r="AF778" t="b">
        <v>0</v>
      </c>
    </row>
    <row r="779" spans="1:32" x14ac:dyDescent="0.3">
      <c r="A779" t="s">
        <v>1694</v>
      </c>
      <c r="B779" t="s">
        <v>1695</v>
      </c>
      <c r="C779" t="s">
        <v>1278</v>
      </c>
      <c r="D779">
        <v>1400</v>
      </c>
      <c r="E779">
        <v>25950</v>
      </c>
      <c r="F779">
        <v>17</v>
      </c>
      <c r="G779">
        <v>60</v>
      </c>
      <c r="H779">
        <v>60</v>
      </c>
      <c r="I779">
        <v>1</v>
      </c>
      <c r="J779">
        <v>1</v>
      </c>
      <c r="K779" t="s">
        <v>86</v>
      </c>
      <c r="P779">
        <v>0</v>
      </c>
      <c r="R779">
        <v>0</v>
      </c>
      <c r="T779">
        <v>0</v>
      </c>
      <c r="U779" t="b">
        <v>0</v>
      </c>
      <c r="V779">
        <v>5.1036271942585589</v>
      </c>
      <c r="Y779">
        <v>0</v>
      </c>
      <c r="Z779">
        <v>587</v>
      </c>
      <c r="AA779">
        <v>3.9038007190220002E-3</v>
      </c>
      <c r="AB779">
        <v>0.41098226021565032</v>
      </c>
      <c r="AC779">
        <v>-1.8285262024099001E-3</v>
      </c>
      <c r="AD779">
        <v>9.8065481894372003E-3</v>
      </c>
      <c r="AE779">
        <v>0</v>
      </c>
      <c r="AF779" t="b">
        <v>0</v>
      </c>
    </row>
    <row r="780" spans="1:32" x14ac:dyDescent="0.3">
      <c r="A780" t="s">
        <v>1696</v>
      </c>
      <c r="B780" t="s">
        <v>1697</v>
      </c>
      <c r="C780" t="s">
        <v>1278</v>
      </c>
      <c r="D780">
        <v>800</v>
      </c>
      <c r="E780">
        <v>9918</v>
      </c>
      <c r="F780">
        <v>33</v>
      </c>
      <c r="G780">
        <v>120</v>
      </c>
      <c r="H780">
        <v>60</v>
      </c>
      <c r="I780">
        <v>1</v>
      </c>
      <c r="J780">
        <v>1</v>
      </c>
      <c r="K780" t="s">
        <v>86</v>
      </c>
      <c r="P780">
        <v>0</v>
      </c>
      <c r="R780">
        <v>0</v>
      </c>
      <c r="T780">
        <v>0</v>
      </c>
      <c r="U780" t="b">
        <v>0</v>
      </c>
      <c r="V780">
        <v>1.9810744810744809</v>
      </c>
      <c r="Y780">
        <v>0</v>
      </c>
      <c r="Z780">
        <v>176</v>
      </c>
      <c r="AA780">
        <v>-9.0620732798341996E-3</v>
      </c>
      <c r="AB780">
        <v>-0.95087168266516098</v>
      </c>
      <c r="AC780">
        <v>2.8954477526152E-3</v>
      </c>
      <c r="AD780">
        <v>1.2507442982913199E-2</v>
      </c>
      <c r="AE780">
        <v>0</v>
      </c>
      <c r="AF780" t="b">
        <v>0</v>
      </c>
    </row>
    <row r="781" spans="1:32" x14ac:dyDescent="0.3">
      <c r="A781" t="s">
        <v>1698</v>
      </c>
      <c r="B781" t="s">
        <v>1699</v>
      </c>
      <c r="C781" t="s">
        <v>1700</v>
      </c>
      <c r="D781">
        <v>2611</v>
      </c>
      <c r="E781">
        <v>51933</v>
      </c>
      <c r="F781">
        <v>932</v>
      </c>
      <c r="G781">
        <v>104</v>
      </c>
      <c r="H781">
        <v>1</v>
      </c>
      <c r="I781">
        <v>2.6245354591492801E-2</v>
      </c>
      <c r="J781">
        <v>6.6527380690565199E-2</v>
      </c>
      <c r="K781" t="s">
        <v>86</v>
      </c>
      <c r="P781">
        <v>0</v>
      </c>
      <c r="R781">
        <v>0</v>
      </c>
      <c r="T781">
        <v>0</v>
      </c>
      <c r="U781" t="b">
        <v>0</v>
      </c>
      <c r="Y781">
        <v>0</v>
      </c>
      <c r="Z781">
        <v>0</v>
      </c>
      <c r="AE781">
        <v>0</v>
      </c>
      <c r="AF781" t="b">
        <v>0</v>
      </c>
    </row>
    <row r="782" spans="1:32" x14ac:dyDescent="0.3">
      <c r="A782" t="s">
        <v>1701</v>
      </c>
      <c r="B782" t="s">
        <v>1702</v>
      </c>
      <c r="C782" t="s">
        <v>754</v>
      </c>
      <c r="D782">
        <v>13204</v>
      </c>
      <c r="E782">
        <v>247151</v>
      </c>
      <c r="F782">
        <v>16</v>
      </c>
      <c r="G782">
        <v>60</v>
      </c>
      <c r="H782">
        <v>60</v>
      </c>
      <c r="I782">
        <v>1</v>
      </c>
      <c r="J782">
        <v>1</v>
      </c>
      <c r="K782" t="s">
        <v>86</v>
      </c>
      <c r="P782">
        <v>0</v>
      </c>
      <c r="R782">
        <v>0</v>
      </c>
      <c r="T782">
        <v>0</v>
      </c>
      <c r="U782" t="b">
        <v>0</v>
      </c>
      <c r="Y782">
        <v>0.19410219047846539</v>
      </c>
      <c r="Z782">
        <v>7433</v>
      </c>
      <c r="AA782">
        <v>4.0328560932535997E-3</v>
      </c>
      <c r="AB782">
        <v>0.3296376474256828</v>
      </c>
      <c r="AC782">
        <v>4.4444839605413998E-3</v>
      </c>
      <c r="AD782">
        <v>1.0232572787097599E-2</v>
      </c>
      <c r="AE782">
        <v>0</v>
      </c>
      <c r="AF782" t="b">
        <v>0</v>
      </c>
    </row>
    <row r="783" spans="1:32" x14ac:dyDescent="0.3">
      <c r="A783" t="s">
        <v>1703</v>
      </c>
      <c r="B783" t="s">
        <v>1704</v>
      </c>
      <c r="C783" t="s">
        <v>754</v>
      </c>
      <c r="D783">
        <v>4759</v>
      </c>
      <c r="E783">
        <v>297213</v>
      </c>
      <c r="F783">
        <v>513</v>
      </c>
      <c r="G783">
        <v>48</v>
      </c>
      <c r="H783">
        <v>1</v>
      </c>
      <c r="I783">
        <v>1.19745771551042E-2</v>
      </c>
      <c r="J783">
        <v>3.1954762756081702E-2</v>
      </c>
      <c r="K783" t="s">
        <v>86</v>
      </c>
      <c r="P783">
        <v>0</v>
      </c>
      <c r="R783">
        <v>0</v>
      </c>
      <c r="T783">
        <v>0</v>
      </c>
      <c r="U783" t="b">
        <v>0</v>
      </c>
      <c r="V783">
        <v>0</v>
      </c>
      <c r="Y783">
        <v>0</v>
      </c>
      <c r="Z783">
        <v>7315</v>
      </c>
      <c r="AA783">
        <v>0</v>
      </c>
      <c r="AB783">
        <v>0</v>
      </c>
      <c r="AC783">
        <v>0</v>
      </c>
      <c r="AD783">
        <v>0</v>
      </c>
      <c r="AE783">
        <v>0</v>
      </c>
      <c r="AF783" t="b">
        <v>0</v>
      </c>
    </row>
    <row r="784" spans="1:32" x14ac:dyDescent="0.3">
      <c r="A784" t="s">
        <v>1705</v>
      </c>
      <c r="B784" t="s">
        <v>1706</v>
      </c>
      <c r="C784" t="s">
        <v>1707</v>
      </c>
      <c r="D784">
        <v>100</v>
      </c>
      <c r="E784">
        <v>200</v>
      </c>
      <c r="F784">
        <v>2</v>
      </c>
      <c r="G784">
        <v>810</v>
      </c>
      <c r="I784">
        <v>1</v>
      </c>
      <c r="J784">
        <v>1</v>
      </c>
      <c r="K784" t="s">
        <v>86</v>
      </c>
      <c r="P784">
        <v>0</v>
      </c>
      <c r="R784">
        <v>0</v>
      </c>
      <c r="T784">
        <v>0</v>
      </c>
      <c r="U784" t="b">
        <v>0</v>
      </c>
      <c r="Y784">
        <v>0</v>
      </c>
      <c r="Z784">
        <v>4</v>
      </c>
      <c r="AA784">
        <v>0</v>
      </c>
      <c r="AB784">
        <v>0</v>
      </c>
      <c r="AD784">
        <v>0</v>
      </c>
      <c r="AE784">
        <v>0</v>
      </c>
      <c r="AF784" t="b">
        <v>0</v>
      </c>
    </row>
    <row r="785" spans="1:35" x14ac:dyDescent="0.3">
      <c r="A785" t="s">
        <v>1708</v>
      </c>
      <c r="B785" t="s">
        <v>1709</v>
      </c>
      <c r="C785" t="s">
        <v>689</v>
      </c>
      <c r="D785">
        <v>113510</v>
      </c>
      <c r="E785">
        <v>2492645</v>
      </c>
      <c r="F785">
        <v>1446</v>
      </c>
      <c r="G785">
        <v>74</v>
      </c>
      <c r="H785">
        <v>1</v>
      </c>
      <c r="I785">
        <v>4.5455730759895598E-2</v>
      </c>
      <c r="J785">
        <v>0.2442719203028442</v>
      </c>
      <c r="K785" t="s">
        <v>432</v>
      </c>
      <c r="L785">
        <v>0.78771951551969599</v>
      </c>
      <c r="M785">
        <v>0.99782170098782064</v>
      </c>
      <c r="N785">
        <v>4.1199748835443403E-2</v>
      </c>
      <c r="O785" t="s">
        <v>433</v>
      </c>
      <c r="P785">
        <v>1589739</v>
      </c>
      <c r="Q785">
        <v>9.7392087631994903E-2</v>
      </c>
      <c r="R785">
        <v>1001</v>
      </c>
      <c r="S785">
        <v>6.9930069930069002E-3</v>
      </c>
      <c r="T785">
        <v>3</v>
      </c>
      <c r="U785" t="b">
        <v>1</v>
      </c>
      <c r="V785">
        <v>5.9491726489001486</v>
      </c>
      <c r="W785">
        <v>3.0895288063070669</v>
      </c>
      <c r="X785" t="b">
        <v>1</v>
      </c>
      <c r="Y785">
        <v>0</v>
      </c>
      <c r="Z785">
        <v>47685</v>
      </c>
      <c r="AA785">
        <v>3.5612788781032897E-2</v>
      </c>
      <c r="AB785">
        <v>3.328399247255188</v>
      </c>
      <c r="AC785">
        <v>2.8873625607300401E-2</v>
      </c>
      <c r="AD785">
        <v>4.6985271890748199E-2</v>
      </c>
      <c r="AE785">
        <v>3</v>
      </c>
      <c r="AF785" t="b">
        <v>1</v>
      </c>
      <c r="AG785">
        <v>2.2887683215042798E-2</v>
      </c>
      <c r="AH785">
        <v>2.4214165634854639</v>
      </c>
      <c r="AI785" t="b">
        <v>1</v>
      </c>
    </row>
    <row r="786" spans="1:35" x14ac:dyDescent="0.3">
      <c r="A786" t="s">
        <v>1710</v>
      </c>
      <c r="B786" t="s">
        <v>1711</v>
      </c>
      <c r="C786" t="s">
        <v>431</v>
      </c>
      <c r="D786">
        <v>217</v>
      </c>
      <c r="E786">
        <v>193</v>
      </c>
      <c r="F786">
        <v>7</v>
      </c>
      <c r="G786">
        <v>240</v>
      </c>
      <c r="H786">
        <v>60</v>
      </c>
      <c r="I786">
        <v>1</v>
      </c>
      <c r="J786">
        <v>1</v>
      </c>
      <c r="K786" t="s">
        <v>432</v>
      </c>
      <c r="L786">
        <v>0.73915802834778932</v>
      </c>
      <c r="M786">
        <v>1</v>
      </c>
      <c r="N786">
        <v>1</v>
      </c>
      <c r="O786" t="s">
        <v>433</v>
      </c>
      <c r="P786">
        <v>0</v>
      </c>
      <c r="R786">
        <v>0</v>
      </c>
      <c r="T786">
        <v>0</v>
      </c>
      <c r="U786" t="b">
        <v>0</v>
      </c>
      <c r="V786">
        <v>0</v>
      </c>
      <c r="Y786">
        <v>0.72540723503279037</v>
      </c>
      <c r="Z786">
        <v>10</v>
      </c>
      <c r="AA786">
        <v>0</v>
      </c>
      <c r="AB786">
        <v>0</v>
      </c>
      <c r="AC786">
        <v>0</v>
      </c>
      <c r="AD786">
        <v>0</v>
      </c>
      <c r="AE786">
        <v>0</v>
      </c>
      <c r="AF786" t="b">
        <v>0</v>
      </c>
    </row>
    <row r="787" spans="1:35" x14ac:dyDescent="0.3">
      <c r="A787" t="s">
        <v>1712</v>
      </c>
      <c r="B787" t="s">
        <v>1713</v>
      </c>
      <c r="C787" t="s">
        <v>783</v>
      </c>
      <c r="D787">
        <v>9810</v>
      </c>
      <c r="E787">
        <v>174031</v>
      </c>
      <c r="F787">
        <v>53</v>
      </c>
      <c r="G787">
        <v>120</v>
      </c>
      <c r="H787">
        <v>60</v>
      </c>
      <c r="I787">
        <v>0.99787968810154515</v>
      </c>
      <c r="J787">
        <v>0.9989971703943018</v>
      </c>
      <c r="K787" t="s">
        <v>86</v>
      </c>
      <c r="P787">
        <v>0</v>
      </c>
      <c r="R787">
        <v>0</v>
      </c>
      <c r="T787">
        <v>0</v>
      </c>
      <c r="U787" t="b">
        <v>0</v>
      </c>
      <c r="V787">
        <v>1.7246489859594381</v>
      </c>
      <c r="Y787">
        <v>0</v>
      </c>
      <c r="Z787">
        <v>2823</v>
      </c>
      <c r="AA787">
        <v>1.7170043293156E-3</v>
      </c>
      <c r="AB787">
        <v>0.2153766648984502</v>
      </c>
      <c r="AC787">
        <v>5.3619603611251001E-3</v>
      </c>
      <c r="AD787">
        <v>3.9595729898329003E-3</v>
      </c>
      <c r="AE787">
        <v>0</v>
      </c>
      <c r="AF787" t="b">
        <v>0</v>
      </c>
    </row>
    <row r="788" spans="1:35" x14ac:dyDescent="0.3">
      <c r="A788" t="s">
        <v>1714</v>
      </c>
      <c r="B788" t="s">
        <v>1715</v>
      </c>
      <c r="C788" t="s">
        <v>1278</v>
      </c>
      <c r="D788">
        <v>4092</v>
      </c>
      <c r="E788">
        <v>166213</v>
      </c>
      <c r="F788">
        <v>3</v>
      </c>
      <c r="G788">
        <v>60</v>
      </c>
      <c r="H788">
        <v>60</v>
      </c>
      <c r="I788">
        <v>1</v>
      </c>
      <c r="J788">
        <v>1</v>
      </c>
      <c r="K788" t="s">
        <v>432</v>
      </c>
      <c r="L788">
        <v>0.88153829688559093</v>
      </c>
      <c r="M788">
        <v>1</v>
      </c>
      <c r="N788">
        <v>1</v>
      </c>
      <c r="O788" t="s">
        <v>518</v>
      </c>
      <c r="P788">
        <v>0</v>
      </c>
      <c r="R788">
        <v>0</v>
      </c>
      <c r="T788">
        <v>1</v>
      </c>
      <c r="U788" t="b">
        <v>1</v>
      </c>
      <c r="V788">
        <v>0</v>
      </c>
      <c r="W788">
        <v>2.3108606113158459</v>
      </c>
      <c r="X788" t="b">
        <v>0</v>
      </c>
      <c r="Y788">
        <v>0</v>
      </c>
      <c r="Z788">
        <v>1803</v>
      </c>
      <c r="AA788">
        <v>0</v>
      </c>
      <c r="AB788">
        <v>0</v>
      </c>
      <c r="AC788">
        <v>0</v>
      </c>
      <c r="AD788">
        <v>0</v>
      </c>
      <c r="AE788">
        <v>1</v>
      </c>
      <c r="AF788" t="b">
        <v>1</v>
      </c>
      <c r="AG788">
        <v>1.2558001510737E-2</v>
      </c>
      <c r="AH788">
        <v>1.6300922143107279</v>
      </c>
      <c r="AI788" t="b">
        <v>0</v>
      </c>
    </row>
    <row r="789" spans="1:35" x14ac:dyDescent="0.3">
      <c r="A789" t="s">
        <v>1716</v>
      </c>
      <c r="B789" t="s">
        <v>1717</v>
      </c>
      <c r="C789" t="s">
        <v>431</v>
      </c>
      <c r="D789">
        <v>261</v>
      </c>
      <c r="E789">
        <v>2531</v>
      </c>
      <c r="F789">
        <v>10</v>
      </c>
      <c r="G789">
        <v>60</v>
      </c>
      <c r="H789">
        <v>60</v>
      </c>
      <c r="I789">
        <v>1</v>
      </c>
      <c r="J789">
        <v>1</v>
      </c>
      <c r="K789" t="s">
        <v>432</v>
      </c>
      <c r="L789">
        <v>0.67660998048508503</v>
      </c>
      <c r="M789">
        <v>1</v>
      </c>
      <c r="N789">
        <v>1</v>
      </c>
      <c r="O789" t="s">
        <v>433</v>
      </c>
      <c r="P789">
        <v>0</v>
      </c>
      <c r="R789">
        <v>0</v>
      </c>
      <c r="T789">
        <v>0</v>
      </c>
      <c r="U789" t="b">
        <v>0</v>
      </c>
      <c r="V789">
        <v>2</v>
      </c>
      <c r="Y789">
        <v>0</v>
      </c>
      <c r="Z789">
        <v>101</v>
      </c>
      <c r="AA789">
        <v>-2.5326797385620001E-3</v>
      </c>
      <c r="AB789">
        <v>-0.2046204620462046</v>
      </c>
      <c r="AC789">
        <v>-1.1764705882352899E-2</v>
      </c>
      <c r="AD789">
        <v>3.6231884057971002E-3</v>
      </c>
      <c r="AE789">
        <v>0</v>
      </c>
      <c r="AF789" t="b">
        <v>0</v>
      </c>
    </row>
    <row r="790" spans="1:35" x14ac:dyDescent="0.3">
      <c r="A790" t="s">
        <v>1718</v>
      </c>
      <c r="B790" t="s">
        <v>1719</v>
      </c>
      <c r="C790" t="s">
        <v>431</v>
      </c>
      <c r="D790">
        <v>380</v>
      </c>
      <c r="E790">
        <v>9426</v>
      </c>
      <c r="F790">
        <v>8</v>
      </c>
      <c r="G790">
        <v>60</v>
      </c>
      <c r="H790">
        <v>60</v>
      </c>
      <c r="I790">
        <v>1</v>
      </c>
      <c r="J790">
        <v>1</v>
      </c>
      <c r="K790" t="s">
        <v>432</v>
      </c>
      <c r="L790">
        <v>0.79587094467780861</v>
      </c>
      <c r="M790">
        <v>1</v>
      </c>
      <c r="N790">
        <v>1</v>
      </c>
      <c r="O790" t="s">
        <v>433</v>
      </c>
      <c r="P790">
        <v>0</v>
      </c>
      <c r="R790">
        <v>0</v>
      </c>
      <c r="T790">
        <v>0</v>
      </c>
      <c r="U790" t="b">
        <v>0</v>
      </c>
      <c r="V790">
        <v>1.8787878787878789</v>
      </c>
      <c r="Y790">
        <v>0</v>
      </c>
      <c r="Z790">
        <v>400</v>
      </c>
      <c r="AA790">
        <v>2.6448357681026998E-3</v>
      </c>
      <c r="AB790">
        <v>0.19672619047619039</v>
      </c>
      <c r="AC790">
        <v>-1.8783984181908E-3</v>
      </c>
      <c r="AD790">
        <v>-1.4771048744459999E-3</v>
      </c>
      <c r="AE790">
        <v>0</v>
      </c>
      <c r="AF790" t="b">
        <v>0</v>
      </c>
    </row>
    <row r="791" spans="1:35" x14ac:dyDescent="0.3">
      <c r="A791" t="s">
        <v>1720</v>
      </c>
      <c r="B791" t="s">
        <v>1721</v>
      </c>
      <c r="C791" t="s">
        <v>431</v>
      </c>
      <c r="D791">
        <v>150</v>
      </c>
      <c r="E791">
        <v>240</v>
      </c>
      <c r="F791">
        <v>5</v>
      </c>
      <c r="G791">
        <v>120</v>
      </c>
      <c r="H791">
        <v>60</v>
      </c>
      <c r="I791">
        <v>1</v>
      </c>
      <c r="J791">
        <v>1</v>
      </c>
      <c r="K791" t="s">
        <v>86</v>
      </c>
      <c r="P791">
        <v>0</v>
      </c>
      <c r="R791">
        <v>0</v>
      </c>
      <c r="T791">
        <v>0</v>
      </c>
      <c r="U791" t="b">
        <v>0</v>
      </c>
      <c r="V791">
        <v>0</v>
      </c>
      <c r="Y791">
        <v>0.65783664459161151</v>
      </c>
      <c r="Z791">
        <v>12</v>
      </c>
      <c r="AA791">
        <v>0</v>
      </c>
      <c r="AB791">
        <v>0</v>
      </c>
      <c r="AC791">
        <v>0</v>
      </c>
      <c r="AD791">
        <v>0</v>
      </c>
      <c r="AE791">
        <v>0</v>
      </c>
      <c r="AF791" t="b">
        <v>0</v>
      </c>
    </row>
    <row r="792" spans="1:35" x14ac:dyDescent="0.3">
      <c r="A792" t="s">
        <v>1722</v>
      </c>
      <c r="B792" t="s">
        <v>1723</v>
      </c>
      <c r="C792" t="s">
        <v>474</v>
      </c>
      <c r="D792">
        <v>743</v>
      </c>
      <c r="E792">
        <v>10106</v>
      </c>
      <c r="F792">
        <v>45</v>
      </c>
      <c r="G792">
        <v>120</v>
      </c>
      <c r="H792">
        <v>60</v>
      </c>
      <c r="I792">
        <v>1</v>
      </c>
      <c r="J792">
        <v>1</v>
      </c>
      <c r="K792" t="s">
        <v>86</v>
      </c>
      <c r="P792">
        <v>0</v>
      </c>
      <c r="R792">
        <v>0</v>
      </c>
      <c r="T792">
        <v>0</v>
      </c>
      <c r="U792" t="b">
        <v>0</v>
      </c>
      <c r="V792">
        <v>8.3333333333333339</v>
      </c>
      <c r="Y792">
        <v>0</v>
      </c>
      <c r="Z792">
        <v>235</v>
      </c>
      <c r="AA792">
        <v>-7.5338546633606004E-3</v>
      </c>
      <c r="AB792">
        <v>-0.67234042553191486</v>
      </c>
      <c r="AC792">
        <v>3.6231884057971002E-2</v>
      </c>
      <c r="AD792">
        <v>0</v>
      </c>
      <c r="AE792">
        <v>0</v>
      </c>
      <c r="AF792" t="b">
        <v>0</v>
      </c>
    </row>
    <row r="793" spans="1:35" x14ac:dyDescent="0.3">
      <c r="A793" t="s">
        <v>1724</v>
      </c>
      <c r="B793" t="s">
        <v>1725</v>
      </c>
      <c r="C793" t="s">
        <v>549</v>
      </c>
      <c r="D793">
        <v>581</v>
      </c>
      <c r="E793">
        <v>23288</v>
      </c>
      <c r="F793">
        <v>170</v>
      </c>
      <c r="G793">
        <v>56</v>
      </c>
      <c r="H793">
        <v>1</v>
      </c>
      <c r="I793">
        <v>2.7439024390243899E-2</v>
      </c>
      <c r="J793">
        <v>0.1564372198248774</v>
      </c>
      <c r="K793" t="s">
        <v>432</v>
      </c>
      <c r="L793">
        <v>0.85722066278436471</v>
      </c>
      <c r="M793">
        <v>1</v>
      </c>
      <c r="N793">
        <v>1.59327501099653E-2</v>
      </c>
      <c r="O793" t="s">
        <v>433</v>
      </c>
      <c r="P793">
        <v>20135</v>
      </c>
      <c r="Q793">
        <v>0.64137074745468092</v>
      </c>
      <c r="R793">
        <v>0</v>
      </c>
      <c r="T793">
        <v>0</v>
      </c>
      <c r="U793" t="b">
        <v>0</v>
      </c>
      <c r="V793">
        <v>4.6360252808988767</v>
      </c>
      <c r="Y793">
        <v>0</v>
      </c>
      <c r="Z793">
        <v>713</v>
      </c>
      <c r="AA793">
        <v>-5.0163214673737003E-3</v>
      </c>
      <c r="AB793">
        <v>-0.33467883604629739</v>
      </c>
      <c r="AC793">
        <v>-3.3662445650803799E-2</v>
      </c>
      <c r="AD793">
        <v>2.4209517073328201E-2</v>
      </c>
      <c r="AE793">
        <v>0</v>
      </c>
      <c r="AF793" t="b">
        <v>0</v>
      </c>
    </row>
    <row r="794" spans="1:35" x14ac:dyDescent="0.3">
      <c r="A794" t="s">
        <v>1726</v>
      </c>
      <c r="B794" t="s">
        <v>1727</v>
      </c>
      <c r="C794" t="s">
        <v>431</v>
      </c>
      <c r="D794">
        <v>861</v>
      </c>
      <c r="E794">
        <v>26774</v>
      </c>
      <c r="F794">
        <v>205</v>
      </c>
      <c r="G794">
        <v>45</v>
      </c>
      <c r="H794">
        <v>1</v>
      </c>
      <c r="I794">
        <v>2.13640098603122E-2</v>
      </c>
      <c r="J794">
        <v>0.18331825583499181</v>
      </c>
      <c r="K794" t="s">
        <v>432</v>
      </c>
      <c r="L794">
        <v>0.83166274651709793</v>
      </c>
      <c r="M794">
        <v>1</v>
      </c>
      <c r="N794">
        <v>1.80133141887482E-2</v>
      </c>
      <c r="O794" t="s">
        <v>433</v>
      </c>
      <c r="P794">
        <v>17515</v>
      </c>
      <c r="Q794">
        <v>0.39674564658863831</v>
      </c>
      <c r="R794">
        <v>0</v>
      </c>
      <c r="T794">
        <v>0</v>
      </c>
      <c r="U794" t="b">
        <v>0</v>
      </c>
      <c r="V794">
        <v>0.48301399455245608</v>
      </c>
      <c r="Y794">
        <v>0</v>
      </c>
      <c r="Z794">
        <v>1007</v>
      </c>
      <c r="AA794">
        <v>-2.1119496293913E-3</v>
      </c>
      <c r="AB794">
        <v>-0.1122386988559077</v>
      </c>
      <c r="AC794">
        <v>-5.7381140871933002E-3</v>
      </c>
      <c r="AD794">
        <v>-1.1847445403356E-3</v>
      </c>
      <c r="AE794">
        <v>0</v>
      </c>
      <c r="AF794" t="b">
        <v>0</v>
      </c>
    </row>
    <row r="795" spans="1:35" x14ac:dyDescent="0.3">
      <c r="A795" t="s">
        <v>1728</v>
      </c>
      <c r="B795" t="s">
        <v>1729</v>
      </c>
      <c r="C795" t="s">
        <v>431</v>
      </c>
      <c r="D795">
        <v>197</v>
      </c>
      <c r="E795">
        <v>3586</v>
      </c>
      <c r="F795">
        <v>19</v>
      </c>
      <c r="G795">
        <v>60</v>
      </c>
      <c r="H795">
        <v>60</v>
      </c>
      <c r="I795">
        <v>1</v>
      </c>
      <c r="J795">
        <v>1</v>
      </c>
      <c r="K795" t="s">
        <v>432</v>
      </c>
      <c r="L795">
        <v>0.79591836734693877</v>
      </c>
      <c r="M795">
        <v>1</v>
      </c>
      <c r="N795">
        <v>1</v>
      </c>
      <c r="O795" t="s">
        <v>433</v>
      </c>
      <c r="P795">
        <v>0</v>
      </c>
      <c r="R795">
        <v>0</v>
      </c>
      <c r="T795">
        <v>0</v>
      </c>
      <c r="U795" t="b">
        <v>0</v>
      </c>
      <c r="V795">
        <v>0</v>
      </c>
      <c r="Y795">
        <v>0</v>
      </c>
      <c r="Z795">
        <v>171</v>
      </c>
      <c r="AA795">
        <v>0</v>
      </c>
      <c r="AB795">
        <v>0</v>
      </c>
      <c r="AC795">
        <v>0</v>
      </c>
      <c r="AD795">
        <v>0</v>
      </c>
      <c r="AE795">
        <v>0</v>
      </c>
      <c r="AF795" t="b">
        <v>0</v>
      </c>
    </row>
    <row r="796" spans="1:35" x14ac:dyDescent="0.3">
      <c r="A796" t="s">
        <v>1730</v>
      </c>
      <c r="B796" t="s">
        <v>1731</v>
      </c>
      <c r="C796" t="s">
        <v>431</v>
      </c>
      <c r="D796">
        <v>171</v>
      </c>
      <c r="E796">
        <v>4688</v>
      </c>
      <c r="F796">
        <v>27</v>
      </c>
      <c r="G796">
        <v>60</v>
      </c>
      <c r="H796">
        <v>60</v>
      </c>
      <c r="I796">
        <v>1</v>
      </c>
      <c r="J796">
        <v>1</v>
      </c>
      <c r="K796" t="s">
        <v>432</v>
      </c>
      <c r="L796">
        <v>8.1009796533534004E-3</v>
      </c>
      <c r="M796">
        <v>1</v>
      </c>
      <c r="N796">
        <v>1</v>
      </c>
      <c r="O796" t="s">
        <v>433</v>
      </c>
      <c r="P796">
        <v>0</v>
      </c>
      <c r="R796">
        <v>0</v>
      </c>
      <c r="T796">
        <v>0</v>
      </c>
      <c r="U796" t="b">
        <v>0</v>
      </c>
      <c r="V796">
        <v>3.5750000000000002</v>
      </c>
      <c r="Y796">
        <v>0</v>
      </c>
      <c r="Z796">
        <v>263</v>
      </c>
      <c r="AA796">
        <v>2.1651593109840001E-4</v>
      </c>
      <c r="AB796">
        <v>2.4533767879775601E-2</v>
      </c>
      <c r="AC796">
        <v>-2.3004600920182999E-3</v>
      </c>
      <c r="AD796">
        <v>1.2421438547485999E-2</v>
      </c>
      <c r="AE796">
        <v>0</v>
      </c>
      <c r="AF796" t="b">
        <v>0</v>
      </c>
    </row>
    <row r="797" spans="1:35" x14ac:dyDescent="0.3">
      <c r="A797" t="s">
        <v>1732</v>
      </c>
      <c r="B797" t="s">
        <v>1733</v>
      </c>
      <c r="C797" t="s">
        <v>431</v>
      </c>
      <c r="D797">
        <v>57</v>
      </c>
      <c r="E797">
        <v>136</v>
      </c>
      <c r="F797">
        <v>10</v>
      </c>
      <c r="G797">
        <v>1200</v>
      </c>
      <c r="H797">
        <v>300</v>
      </c>
      <c r="I797">
        <v>1</v>
      </c>
      <c r="J797">
        <v>1</v>
      </c>
      <c r="K797" t="s">
        <v>86</v>
      </c>
      <c r="P797">
        <v>0</v>
      </c>
      <c r="R797">
        <v>0</v>
      </c>
      <c r="T797">
        <v>0</v>
      </c>
      <c r="U797" t="b">
        <v>0</v>
      </c>
      <c r="Y797">
        <v>0</v>
      </c>
      <c r="Z797">
        <v>6</v>
      </c>
      <c r="AA797">
        <v>6.9620253164556903E-2</v>
      </c>
      <c r="AB797">
        <v>110</v>
      </c>
      <c r="AC797">
        <v>0.123076923076923</v>
      </c>
      <c r="AD797">
        <v>0</v>
      </c>
      <c r="AE797">
        <v>0</v>
      </c>
      <c r="AF797" t="b">
        <v>0</v>
      </c>
    </row>
    <row r="798" spans="1:35" x14ac:dyDescent="0.3">
      <c r="A798" t="s">
        <v>1734</v>
      </c>
      <c r="B798" t="s">
        <v>1735</v>
      </c>
      <c r="C798" t="s">
        <v>431</v>
      </c>
      <c r="D798">
        <v>502</v>
      </c>
      <c r="E798">
        <v>17144</v>
      </c>
      <c r="F798">
        <v>162</v>
      </c>
      <c r="G798">
        <v>50</v>
      </c>
      <c r="H798">
        <v>1</v>
      </c>
      <c r="I798">
        <v>2.0765282314512301E-2</v>
      </c>
      <c r="J798">
        <v>0.16609996599795979</v>
      </c>
      <c r="K798" t="s">
        <v>86</v>
      </c>
      <c r="P798">
        <v>0</v>
      </c>
      <c r="R798">
        <v>0</v>
      </c>
      <c r="T798">
        <v>0</v>
      </c>
      <c r="U798" t="b">
        <v>0</v>
      </c>
      <c r="V798">
        <v>6.8613722870100409</v>
      </c>
      <c r="Y798">
        <v>0</v>
      </c>
      <c r="Z798">
        <v>553</v>
      </c>
      <c r="AA798">
        <v>2.11885350922194E-2</v>
      </c>
      <c r="AB798">
        <v>1.2035446457063841</v>
      </c>
      <c r="AC798">
        <v>-4.1354990117965298E-2</v>
      </c>
      <c r="AD798">
        <v>6.6933626898896606E-2</v>
      </c>
      <c r="AE798">
        <v>0</v>
      </c>
      <c r="AF798" t="b">
        <v>0</v>
      </c>
    </row>
    <row r="799" spans="1:35" x14ac:dyDescent="0.3">
      <c r="A799" t="s">
        <v>1736</v>
      </c>
      <c r="B799" t="s">
        <v>1737</v>
      </c>
      <c r="C799" t="s">
        <v>431</v>
      </c>
      <c r="D799">
        <v>88</v>
      </c>
      <c r="E799">
        <v>1031</v>
      </c>
      <c r="F799">
        <v>14</v>
      </c>
      <c r="G799">
        <v>180</v>
      </c>
      <c r="H799">
        <v>60</v>
      </c>
      <c r="I799">
        <v>1</v>
      </c>
      <c r="J799">
        <v>1</v>
      </c>
      <c r="K799" t="s">
        <v>86</v>
      </c>
      <c r="P799">
        <v>0</v>
      </c>
      <c r="R799">
        <v>0</v>
      </c>
      <c r="T799">
        <v>0</v>
      </c>
      <c r="U799" t="b">
        <v>0</v>
      </c>
      <c r="Y799">
        <v>0</v>
      </c>
      <c r="Z799">
        <v>45</v>
      </c>
      <c r="AA799">
        <v>2.2388059701492501E-2</v>
      </c>
      <c r="AB799">
        <v>5</v>
      </c>
      <c r="AC799">
        <v>0.35802469135802462</v>
      </c>
      <c r="AD799">
        <v>0.1111111111111111</v>
      </c>
      <c r="AE799">
        <v>0</v>
      </c>
      <c r="AF799" t="b">
        <v>0</v>
      </c>
    </row>
    <row r="800" spans="1:35" x14ac:dyDescent="0.3">
      <c r="A800" t="s">
        <v>1738</v>
      </c>
      <c r="B800" t="s">
        <v>1739</v>
      </c>
      <c r="C800" t="s">
        <v>474</v>
      </c>
      <c r="D800">
        <v>8583</v>
      </c>
      <c r="E800">
        <v>233649</v>
      </c>
      <c r="F800">
        <v>439</v>
      </c>
      <c r="G800">
        <v>74</v>
      </c>
      <c r="H800">
        <v>1</v>
      </c>
      <c r="I800">
        <v>7.0849864540400306E-2</v>
      </c>
      <c r="J800">
        <v>0.31433300040446732</v>
      </c>
      <c r="K800" t="s">
        <v>86</v>
      </c>
      <c r="P800">
        <v>0</v>
      </c>
      <c r="R800">
        <v>0</v>
      </c>
      <c r="T800">
        <v>0</v>
      </c>
      <c r="U800" t="b">
        <v>0</v>
      </c>
      <c r="V800">
        <v>4.0566784282603052</v>
      </c>
      <c r="Y800">
        <v>0</v>
      </c>
      <c r="Z800">
        <v>4083</v>
      </c>
      <c r="AA800">
        <v>1.93971362885774E-2</v>
      </c>
      <c r="AB800">
        <v>1.651512039024349</v>
      </c>
      <c r="AC800">
        <v>1.93564960140401E-2</v>
      </c>
      <c r="AD800">
        <v>2.1699266199561001E-2</v>
      </c>
      <c r="AE800">
        <v>0</v>
      </c>
      <c r="AF800" t="b">
        <v>0</v>
      </c>
    </row>
    <row r="801" spans="1:35" x14ac:dyDescent="0.3">
      <c r="A801" t="s">
        <v>1740</v>
      </c>
      <c r="B801" t="s">
        <v>1741</v>
      </c>
      <c r="C801" t="s">
        <v>1742</v>
      </c>
      <c r="D801">
        <v>3974</v>
      </c>
      <c r="E801">
        <v>97453</v>
      </c>
      <c r="F801">
        <v>421</v>
      </c>
      <c r="G801">
        <v>63</v>
      </c>
      <c r="H801">
        <v>1</v>
      </c>
      <c r="I801">
        <v>0.41002329327983739</v>
      </c>
      <c r="J801">
        <v>0.47214252615181362</v>
      </c>
      <c r="K801" t="s">
        <v>86</v>
      </c>
      <c r="P801">
        <v>0</v>
      </c>
      <c r="R801">
        <v>0</v>
      </c>
      <c r="T801">
        <v>0</v>
      </c>
      <c r="U801" t="b">
        <v>0</v>
      </c>
      <c r="V801">
        <v>1.4193920455997751</v>
      </c>
      <c r="Y801">
        <v>0</v>
      </c>
      <c r="Z801">
        <v>2342</v>
      </c>
      <c r="AA801">
        <v>-1.500401431301444E-5</v>
      </c>
      <c r="AB801">
        <v>-1.7627805403463001E-3</v>
      </c>
      <c r="AC801">
        <v>-9.6133334019720003E-4</v>
      </c>
      <c r="AD801">
        <v>8.7391777683739995E-4</v>
      </c>
      <c r="AE801">
        <v>0</v>
      </c>
      <c r="AF801" t="b">
        <v>0</v>
      </c>
    </row>
    <row r="802" spans="1:35" x14ac:dyDescent="0.3">
      <c r="A802" t="s">
        <v>1743</v>
      </c>
      <c r="B802" t="s">
        <v>1744</v>
      </c>
      <c r="C802" t="s">
        <v>1250</v>
      </c>
      <c r="D802">
        <v>534</v>
      </c>
      <c r="E802">
        <v>11576</v>
      </c>
      <c r="F802">
        <v>208</v>
      </c>
      <c r="G802">
        <v>60</v>
      </c>
      <c r="H802">
        <v>1</v>
      </c>
      <c r="I802">
        <v>0.61143745680718731</v>
      </c>
      <c r="J802">
        <v>0.19650298226979329</v>
      </c>
      <c r="K802" t="s">
        <v>86</v>
      </c>
      <c r="P802">
        <v>0</v>
      </c>
      <c r="R802">
        <v>0</v>
      </c>
      <c r="T802">
        <v>0</v>
      </c>
      <c r="U802" t="b">
        <v>0</v>
      </c>
      <c r="V802">
        <v>2.7742718446601939</v>
      </c>
      <c r="Y802">
        <v>0</v>
      </c>
      <c r="Z802">
        <v>273</v>
      </c>
      <c r="AA802">
        <v>0.171951177881706</v>
      </c>
      <c r="AB802">
        <v>11.15163225053335</v>
      </c>
      <c r="AC802">
        <v>0.21425108584884189</v>
      </c>
      <c r="AD802">
        <v>0.2278181123423767</v>
      </c>
      <c r="AE802">
        <v>0</v>
      </c>
      <c r="AF802" t="b">
        <v>0</v>
      </c>
    </row>
    <row r="803" spans="1:35" x14ac:dyDescent="0.3">
      <c r="A803" t="s">
        <v>1745</v>
      </c>
      <c r="B803" t="s">
        <v>1746</v>
      </c>
      <c r="C803" t="s">
        <v>1247</v>
      </c>
      <c r="D803">
        <v>7640</v>
      </c>
      <c r="E803">
        <v>170121</v>
      </c>
      <c r="F803">
        <v>15</v>
      </c>
      <c r="G803">
        <v>120</v>
      </c>
      <c r="H803">
        <v>60</v>
      </c>
      <c r="I803">
        <v>1</v>
      </c>
      <c r="J803">
        <v>1</v>
      </c>
      <c r="K803" t="s">
        <v>86</v>
      </c>
      <c r="P803">
        <v>0</v>
      </c>
      <c r="R803">
        <v>0</v>
      </c>
      <c r="T803">
        <v>1</v>
      </c>
      <c r="U803" t="b">
        <v>1</v>
      </c>
      <c r="V803">
        <v>15.23387690884031</v>
      </c>
      <c r="W803">
        <v>2.2056844889214831</v>
      </c>
      <c r="X803" t="b">
        <v>1</v>
      </c>
      <c r="Y803">
        <v>0</v>
      </c>
      <c r="Z803">
        <v>2753</v>
      </c>
      <c r="AA803">
        <v>5.7108692062300098E-2</v>
      </c>
      <c r="AB803">
        <v>5.7220659164924452</v>
      </c>
      <c r="AC803">
        <v>2.8995281372096199E-2</v>
      </c>
      <c r="AD803">
        <v>8.3809034308413202E-2</v>
      </c>
      <c r="AE803">
        <v>1</v>
      </c>
      <c r="AF803" t="b">
        <v>1</v>
      </c>
      <c r="AG803">
        <v>-6.6064469973260004E-4</v>
      </c>
      <c r="AH803">
        <v>-7.0341476121823093E-2</v>
      </c>
      <c r="AI803" t="b">
        <v>1</v>
      </c>
    </row>
    <row r="804" spans="1:35" x14ac:dyDescent="0.3">
      <c r="A804" t="s">
        <v>1747</v>
      </c>
      <c r="B804" t="s">
        <v>1748</v>
      </c>
      <c r="C804" t="s">
        <v>517</v>
      </c>
      <c r="D804">
        <v>20894</v>
      </c>
      <c r="E804">
        <v>486751</v>
      </c>
      <c r="F804">
        <v>35</v>
      </c>
      <c r="G804">
        <v>60</v>
      </c>
      <c r="H804">
        <v>60</v>
      </c>
      <c r="I804">
        <v>1</v>
      </c>
      <c r="J804">
        <v>1</v>
      </c>
      <c r="K804" t="s">
        <v>432</v>
      </c>
      <c r="L804">
        <v>0.74071574656208894</v>
      </c>
      <c r="M804">
        <v>1</v>
      </c>
      <c r="N804">
        <v>1</v>
      </c>
      <c r="O804" t="s">
        <v>518</v>
      </c>
      <c r="P804">
        <v>0</v>
      </c>
      <c r="R804">
        <v>0</v>
      </c>
      <c r="T804">
        <v>2</v>
      </c>
      <c r="U804" t="b">
        <v>1</v>
      </c>
      <c r="V804">
        <v>12.213398226803781</v>
      </c>
      <c r="W804">
        <v>1.6253443526170801</v>
      </c>
      <c r="X804" t="b">
        <v>1</v>
      </c>
      <c r="Y804">
        <v>0</v>
      </c>
      <c r="Z804">
        <v>13928</v>
      </c>
      <c r="AA804">
        <v>8.0128121991276793E-2</v>
      </c>
      <c r="AB804">
        <v>7.9197175169346492</v>
      </c>
      <c r="AC804">
        <v>9.1483254434511802E-2</v>
      </c>
      <c r="AD804">
        <v>8.7186642481845295E-2</v>
      </c>
      <c r="AE804">
        <v>2</v>
      </c>
      <c r="AF804" t="b">
        <v>1</v>
      </c>
      <c r="AG804">
        <v>5.1872600892208E-3</v>
      </c>
      <c r="AH804">
        <v>0.9635854341736696</v>
      </c>
      <c r="AI804" t="b">
        <v>1</v>
      </c>
    </row>
    <row r="805" spans="1:35" x14ac:dyDescent="0.3">
      <c r="A805" t="s">
        <v>1749</v>
      </c>
      <c r="B805" t="s">
        <v>1750</v>
      </c>
      <c r="C805" t="s">
        <v>671</v>
      </c>
      <c r="D805">
        <v>3075</v>
      </c>
      <c r="E805">
        <v>50744</v>
      </c>
      <c r="F805">
        <v>60</v>
      </c>
      <c r="G805">
        <v>900</v>
      </c>
      <c r="H805">
        <v>60</v>
      </c>
      <c r="I805">
        <v>1</v>
      </c>
      <c r="J805">
        <v>1</v>
      </c>
      <c r="K805" t="s">
        <v>86</v>
      </c>
      <c r="P805">
        <v>0</v>
      </c>
      <c r="R805">
        <v>0</v>
      </c>
      <c r="T805">
        <v>0</v>
      </c>
      <c r="U805" t="b">
        <v>0</v>
      </c>
      <c r="Y805">
        <v>0</v>
      </c>
      <c r="Z805">
        <v>0</v>
      </c>
      <c r="AE805">
        <v>0</v>
      </c>
      <c r="AF805" t="b">
        <v>0</v>
      </c>
    </row>
    <row r="806" spans="1:35" x14ac:dyDescent="0.3">
      <c r="A806" t="s">
        <v>1751</v>
      </c>
      <c r="B806" t="s">
        <v>1752</v>
      </c>
      <c r="C806" t="s">
        <v>431</v>
      </c>
      <c r="D806">
        <v>2938</v>
      </c>
      <c r="E806">
        <v>125352</v>
      </c>
      <c r="F806">
        <v>37</v>
      </c>
      <c r="G806">
        <v>60</v>
      </c>
      <c r="H806">
        <v>60</v>
      </c>
      <c r="I806">
        <v>1</v>
      </c>
      <c r="J806">
        <v>1</v>
      </c>
      <c r="K806" t="s">
        <v>432</v>
      </c>
      <c r="L806">
        <v>0.8908336468573983</v>
      </c>
      <c r="M806">
        <v>1</v>
      </c>
      <c r="N806">
        <v>1</v>
      </c>
      <c r="O806" t="s">
        <v>433</v>
      </c>
      <c r="P806">
        <v>0</v>
      </c>
      <c r="R806">
        <v>0</v>
      </c>
      <c r="T806">
        <v>0</v>
      </c>
      <c r="U806" t="b">
        <v>0</v>
      </c>
      <c r="V806">
        <v>6.1041844577284374</v>
      </c>
      <c r="Y806">
        <v>0</v>
      </c>
      <c r="Z806">
        <v>3084</v>
      </c>
      <c r="AA806">
        <v>1.3052298393498E-2</v>
      </c>
      <c r="AB806">
        <v>0.95004099127297437</v>
      </c>
      <c r="AC806">
        <v>-3.0466301008281E-3</v>
      </c>
      <c r="AD806">
        <v>3.07289103381259E-2</v>
      </c>
      <c r="AE806">
        <v>0</v>
      </c>
      <c r="AF806" t="b">
        <v>0</v>
      </c>
    </row>
    <row r="807" spans="1:35" x14ac:dyDescent="0.3">
      <c r="A807" t="s">
        <v>1753</v>
      </c>
      <c r="B807" t="s">
        <v>1754</v>
      </c>
      <c r="C807" t="s">
        <v>431</v>
      </c>
      <c r="D807">
        <v>498</v>
      </c>
      <c r="E807">
        <v>216</v>
      </c>
      <c r="F807">
        <v>5</v>
      </c>
      <c r="G807">
        <v>180</v>
      </c>
      <c r="H807">
        <v>120</v>
      </c>
      <c r="I807">
        <v>1</v>
      </c>
      <c r="J807">
        <v>1</v>
      </c>
      <c r="K807" t="s">
        <v>432</v>
      </c>
      <c r="L807">
        <v>0.75167946257197693</v>
      </c>
      <c r="M807">
        <v>1</v>
      </c>
      <c r="N807">
        <v>1</v>
      </c>
      <c r="O807" t="s">
        <v>433</v>
      </c>
      <c r="P807">
        <v>0</v>
      </c>
      <c r="R807">
        <v>0</v>
      </c>
      <c r="T807">
        <v>0</v>
      </c>
      <c r="U807" t="b">
        <v>0</v>
      </c>
      <c r="V807">
        <v>0</v>
      </c>
      <c r="Y807">
        <v>0.74944017914267436</v>
      </c>
      <c r="Z807">
        <v>5</v>
      </c>
      <c r="AA807">
        <v>0</v>
      </c>
      <c r="AB807">
        <v>0</v>
      </c>
      <c r="AC807">
        <v>0</v>
      </c>
      <c r="AD807">
        <v>0</v>
      </c>
      <c r="AE807">
        <v>0</v>
      </c>
      <c r="AF807" t="b">
        <v>0</v>
      </c>
    </row>
    <row r="808" spans="1:35" x14ac:dyDescent="0.3">
      <c r="A808" t="s">
        <v>1755</v>
      </c>
      <c r="B808" t="s">
        <v>1756</v>
      </c>
      <c r="C808" t="s">
        <v>431</v>
      </c>
      <c r="D808">
        <v>163</v>
      </c>
      <c r="E808">
        <v>1450</v>
      </c>
      <c r="F808">
        <v>39</v>
      </c>
      <c r="G808">
        <v>420</v>
      </c>
      <c r="H808">
        <v>60</v>
      </c>
      <c r="I808">
        <v>1</v>
      </c>
      <c r="J808">
        <v>1</v>
      </c>
      <c r="K808" t="s">
        <v>432</v>
      </c>
      <c r="L808">
        <v>0.15727554179566561</v>
      </c>
      <c r="M808">
        <v>1</v>
      </c>
      <c r="N808">
        <v>1</v>
      </c>
      <c r="O808" t="s">
        <v>433</v>
      </c>
      <c r="P808">
        <v>0</v>
      </c>
      <c r="R808">
        <v>0</v>
      </c>
      <c r="T808">
        <v>0</v>
      </c>
      <c r="U808" t="b">
        <v>0</v>
      </c>
      <c r="Y808">
        <v>0</v>
      </c>
      <c r="Z808">
        <v>43</v>
      </c>
      <c r="AA808">
        <v>2.3039088791095001E-2</v>
      </c>
      <c r="AB808">
        <v>10.34883720930233</v>
      </c>
      <c r="AD808">
        <v>-2.2222222222222199E-2</v>
      </c>
      <c r="AE808">
        <v>0</v>
      </c>
      <c r="AF808" t="b">
        <v>0</v>
      </c>
    </row>
    <row r="809" spans="1:35" x14ac:dyDescent="0.3">
      <c r="A809" t="s">
        <v>1757</v>
      </c>
      <c r="B809" t="s">
        <v>1758</v>
      </c>
      <c r="C809" t="s">
        <v>431</v>
      </c>
      <c r="D809">
        <v>89</v>
      </c>
      <c r="E809">
        <v>450</v>
      </c>
      <c r="F809">
        <v>8</v>
      </c>
      <c r="G809">
        <v>120</v>
      </c>
      <c r="H809">
        <v>60</v>
      </c>
      <c r="I809">
        <v>1</v>
      </c>
      <c r="J809">
        <v>1</v>
      </c>
      <c r="K809" t="s">
        <v>432</v>
      </c>
      <c r="L809">
        <v>0.48175182481751821</v>
      </c>
      <c r="M809">
        <v>1</v>
      </c>
      <c r="N809">
        <v>1</v>
      </c>
      <c r="O809" t="s">
        <v>433</v>
      </c>
      <c r="P809">
        <v>0</v>
      </c>
      <c r="R809">
        <v>0</v>
      </c>
      <c r="T809">
        <v>0</v>
      </c>
      <c r="U809" t="b">
        <v>0</v>
      </c>
      <c r="V809">
        <v>48.94736842105263</v>
      </c>
      <c r="Y809">
        <v>0</v>
      </c>
      <c r="Z809">
        <v>0</v>
      </c>
      <c r="AE809">
        <v>0</v>
      </c>
      <c r="AF809" t="b">
        <v>0</v>
      </c>
    </row>
    <row r="810" spans="1:35" x14ac:dyDescent="0.3">
      <c r="A810" t="s">
        <v>1759</v>
      </c>
      <c r="B810" t="s">
        <v>1760</v>
      </c>
      <c r="C810" t="s">
        <v>431</v>
      </c>
      <c r="D810">
        <v>97</v>
      </c>
      <c r="E810">
        <v>3118</v>
      </c>
      <c r="F810">
        <v>111</v>
      </c>
      <c r="G810">
        <v>60</v>
      </c>
      <c r="H810">
        <v>1</v>
      </c>
      <c r="I810">
        <v>0.54490057729313668</v>
      </c>
      <c r="J810">
        <v>0.67060653188180408</v>
      </c>
      <c r="K810" t="s">
        <v>432</v>
      </c>
      <c r="L810">
        <v>0.84603421461897355</v>
      </c>
      <c r="M810">
        <v>1</v>
      </c>
      <c r="N810">
        <v>0.6106617647058824</v>
      </c>
      <c r="O810" t="s">
        <v>433</v>
      </c>
      <c r="P810">
        <v>879</v>
      </c>
      <c r="Q810">
        <v>3.9817974971558499E-2</v>
      </c>
      <c r="R810">
        <v>0</v>
      </c>
      <c r="T810">
        <v>0</v>
      </c>
      <c r="U810" t="b">
        <v>0</v>
      </c>
      <c r="V810">
        <v>1.692248062015504</v>
      </c>
      <c r="Y810">
        <v>0</v>
      </c>
      <c r="Z810">
        <v>167</v>
      </c>
      <c r="AA810">
        <v>2.2768032989119E-3</v>
      </c>
      <c r="AB810">
        <v>0.21475231355470881</v>
      </c>
      <c r="AC810">
        <v>-5.6789520787567998E-3</v>
      </c>
      <c r="AD810">
        <v>0</v>
      </c>
      <c r="AE810">
        <v>0</v>
      </c>
      <c r="AF810" t="b">
        <v>0</v>
      </c>
    </row>
    <row r="811" spans="1:35" x14ac:dyDescent="0.3">
      <c r="A811" t="s">
        <v>1761</v>
      </c>
      <c r="B811" t="s">
        <v>1762</v>
      </c>
      <c r="C811" t="s">
        <v>431</v>
      </c>
      <c r="D811">
        <v>98</v>
      </c>
      <c r="E811">
        <v>1977</v>
      </c>
      <c r="F811">
        <v>14</v>
      </c>
      <c r="G811">
        <v>120</v>
      </c>
      <c r="H811">
        <v>60</v>
      </c>
      <c r="I811">
        <v>1</v>
      </c>
      <c r="J811">
        <v>1</v>
      </c>
      <c r="K811" t="s">
        <v>432</v>
      </c>
      <c r="L811">
        <v>0.79951807228915661</v>
      </c>
      <c r="M811">
        <v>1</v>
      </c>
      <c r="N811">
        <v>1</v>
      </c>
      <c r="O811" t="s">
        <v>433</v>
      </c>
      <c r="P811">
        <v>0</v>
      </c>
      <c r="R811">
        <v>0</v>
      </c>
      <c r="T811">
        <v>0</v>
      </c>
      <c r="U811" t="b">
        <v>0</v>
      </c>
      <c r="Y811">
        <v>0</v>
      </c>
      <c r="Z811">
        <v>132</v>
      </c>
      <c r="AA811">
        <v>4.4014084507042004E-3</v>
      </c>
      <c r="AB811">
        <v>0.56818181818181823</v>
      </c>
      <c r="AD811">
        <v>0</v>
      </c>
      <c r="AE811">
        <v>0</v>
      </c>
      <c r="AF811" t="b">
        <v>0</v>
      </c>
    </row>
    <row r="812" spans="1:35" x14ac:dyDescent="0.3">
      <c r="A812" t="s">
        <v>1763</v>
      </c>
      <c r="B812" t="s">
        <v>1764</v>
      </c>
      <c r="C812" t="s">
        <v>462</v>
      </c>
      <c r="D812">
        <v>2446</v>
      </c>
      <c r="E812">
        <v>69405</v>
      </c>
      <c r="F812">
        <v>287</v>
      </c>
      <c r="G812">
        <v>49</v>
      </c>
      <c r="H812">
        <v>1</v>
      </c>
      <c r="I812">
        <v>1.3644550104459301E-2</v>
      </c>
      <c r="J812">
        <v>8.4764396448551299E-2</v>
      </c>
      <c r="K812" t="s">
        <v>432</v>
      </c>
      <c r="L812">
        <v>0.92931893456539283</v>
      </c>
      <c r="M812">
        <v>0.99862177594014556</v>
      </c>
      <c r="N812">
        <v>1.5259288099552199E-2</v>
      </c>
      <c r="O812" t="s">
        <v>433</v>
      </c>
      <c r="P812">
        <v>65760</v>
      </c>
      <c r="Q812">
        <v>0.73903588807785892</v>
      </c>
      <c r="R812">
        <v>3</v>
      </c>
      <c r="S812">
        <v>0</v>
      </c>
      <c r="T812">
        <v>0</v>
      </c>
      <c r="U812" t="b">
        <v>0</v>
      </c>
      <c r="V812">
        <v>2.087815531305115</v>
      </c>
      <c r="Y812">
        <v>0</v>
      </c>
      <c r="Z812">
        <v>2591</v>
      </c>
      <c r="AA812">
        <v>-2.9557050726635998E-3</v>
      </c>
      <c r="AB812">
        <v>-0.16948015640605371</v>
      </c>
      <c r="AC812">
        <v>-1.28331472199875E-2</v>
      </c>
      <c r="AD812">
        <v>1.7236881142361399E-2</v>
      </c>
      <c r="AE812">
        <v>0</v>
      </c>
      <c r="AF812" t="b">
        <v>0</v>
      </c>
    </row>
    <row r="813" spans="1:35" x14ac:dyDescent="0.3">
      <c r="A813" t="s">
        <v>1765</v>
      </c>
      <c r="B813" t="s">
        <v>1766</v>
      </c>
      <c r="C813" t="s">
        <v>1767</v>
      </c>
      <c r="D813">
        <v>138</v>
      </c>
      <c r="E813">
        <v>2809</v>
      </c>
      <c r="F813">
        <v>5</v>
      </c>
      <c r="G813">
        <v>120</v>
      </c>
      <c r="H813">
        <v>60</v>
      </c>
      <c r="I813">
        <v>1</v>
      </c>
      <c r="J813">
        <v>1</v>
      </c>
      <c r="K813" t="s">
        <v>86</v>
      </c>
      <c r="P813">
        <v>0</v>
      </c>
      <c r="R813">
        <v>0</v>
      </c>
      <c r="T813">
        <v>0</v>
      </c>
      <c r="U813" t="b">
        <v>0</v>
      </c>
      <c r="V813">
        <v>0.57142857142857173</v>
      </c>
      <c r="Y813">
        <v>0</v>
      </c>
      <c r="Z813">
        <v>59</v>
      </c>
      <c r="AA813">
        <v>-1.9230769230769201E-2</v>
      </c>
      <c r="AB813">
        <v>-2.0338983050847461</v>
      </c>
      <c r="AC813">
        <v>-1.9230769230769201E-2</v>
      </c>
      <c r="AD813">
        <v>-1.9230769230769201E-2</v>
      </c>
      <c r="AE813">
        <v>0</v>
      </c>
      <c r="AF813" t="b">
        <v>0</v>
      </c>
    </row>
    <row r="814" spans="1:35" x14ac:dyDescent="0.3">
      <c r="A814" t="s">
        <v>1768</v>
      </c>
      <c r="B814" t="s">
        <v>1769</v>
      </c>
      <c r="C814" t="s">
        <v>786</v>
      </c>
      <c r="D814">
        <v>92</v>
      </c>
      <c r="E814">
        <v>4078</v>
      </c>
      <c r="F814">
        <v>83</v>
      </c>
      <c r="G814">
        <v>73</v>
      </c>
      <c r="H814">
        <v>1</v>
      </c>
      <c r="I814">
        <v>2.96714075527219E-2</v>
      </c>
      <c r="J814">
        <v>1.55875299760191E-2</v>
      </c>
      <c r="K814" t="s">
        <v>86</v>
      </c>
      <c r="P814">
        <v>0</v>
      </c>
      <c r="R814">
        <v>0</v>
      </c>
      <c r="T814">
        <v>0</v>
      </c>
      <c r="U814" t="b">
        <v>0</v>
      </c>
      <c r="Y814">
        <v>0</v>
      </c>
      <c r="Z814">
        <v>0</v>
      </c>
      <c r="AE814">
        <v>0</v>
      </c>
      <c r="AF814" t="b">
        <v>0</v>
      </c>
    </row>
    <row r="815" spans="1:35" x14ac:dyDescent="0.3">
      <c r="A815" t="s">
        <v>1770</v>
      </c>
      <c r="B815" t="s">
        <v>1771</v>
      </c>
      <c r="C815" t="s">
        <v>431</v>
      </c>
      <c r="D815">
        <v>172</v>
      </c>
      <c r="E815">
        <v>871</v>
      </c>
      <c r="F815">
        <v>22</v>
      </c>
      <c r="G815">
        <v>180</v>
      </c>
      <c r="H815">
        <v>60</v>
      </c>
      <c r="I815">
        <v>0.86681974741676238</v>
      </c>
      <c r="J815">
        <v>0.91658676893576219</v>
      </c>
      <c r="K815" t="s">
        <v>432</v>
      </c>
      <c r="L815">
        <v>0.51677852348993292</v>
      </c>
      <c r="M815">
        <v>1</v>
      </c>
      <c r="N815">
        <v>0.83858998144712427</v>
      </c>
      <c r="O815" t="s">
        <v>433</v>
      </c>
      <c r="P815">
        <v>87</v>
      </c>
      <c r="Q815">
        <v>1</v>
      </c>
      <c r="R815">
        <v>0</v>
      </c>
      <c r="T815">
        <v>0</v>
      </c>
      <c r="U815" t="b">
        <v>0</v>
      </c>
      <c r="Y815">
        <v>0</v>
      </c>
      <c r="Z815">
        <v>47</v>
      </c>
      <c r="AA815">
        <v>-6.7980965329700002E-4</v>
      </c>
      <c r="AB815">
        <v>-0.21276595744680851</v>
      </c>
      <c r="AC815">
        <v>0</v>
      </c>
      <c r="AD815">
        <v>0</v>
      </c>
      <c r="AE815">
        <v>0</v>
      </c>
      <c r="AF815" t="b">
        <v>0</v>
      </c>
    </row>
    <row r="816" spans="1:35" x14ac:dyDescent="0.3">
      <c r="A816" t="s">
        <v>1772</v>
      </c>
      <c r="B816" t="s">
        <v>1773</v>
      </c>
      <c r="C816" t="s">
        <v>431</v>
      </c>
      <c r="D816">
        <v>1106</v>
      </c>
      <c r="E816">
        <v>56743</v>
      </c>
      <c r="F816">
        <v>15</v>
      </c>
      <c r="G816">
        <v>60</v>
      </c>
      <c r="H816">
        <v>60</v>
      </c>
      <c r="I816">
        <v>1</v>
      </c>
      <c r="J816">
        <v>1</v>
      </c>
      <c r="K816" t="s">
        <v>432</v>
      </c>
      <c r="L816">
        <v>0.88553979511426317</v>
      </c>
      <c r="M816">
        <v>1</v>
      </c>
      <c r="N816">
        <v>1</v>
      </c>
      <c r="O816" t="s">
        <v>433</v>
      </c>
      <c r="P816">
        <v>0</v>
      </c>
      <c r="R816">
        <v>0</v>
      </c>
      <c r="T816">
        <v>0</v>
      </c>
      <c r="U816" t="b">
        <v>0</v>
      </c>
      <c r="V816">
        <v>11.5721434528774</v>
      </c>
      <c r="Y816">
        <v>0</v>
      </c>
      <c r="Z816">
        <v>2192</v>
      </c>
      <c r="AA816">
        <v>-7.7722002752448E-3</v>
      </c>
      <c r="AB816">
        <v>-0.71624087591240881</v>
      </c>
      <c r="AC816">
        <v>-2.04005189204991E-2</v>
      </c>
      <c r="AD816">
        <v>2.82064560676678E-2</v>
      </c>
      <c r="AE816">
        <v>0</v>
      </c>
      <c r="AF816" t="b">
        <v>0</v>
      </c>
    </row>
    <row r="817" spans="1:35" x14ac:dyDescent="0.3">
      <c r="A817" t="s">
        <v>1774</v>
      </c>
      <c r="B817" t="s">
        <v>1775</v>
      </c>
      <c r="C817" t="s">
        <v>431</v>
      </c>
      <c r="D817">
        <v>403</v>
      </c>
      <c r="E817">
        <v>8773</v>
      </c>
      <c r="F817">
        <v>16</v>
      </c>
      <c r="G817">
        <v>120</v>
      </c>
      <c r="H817">
        <v>60</v>
      </c>
      <c r="I817">
        <v>1</v>
      </c>
      <c r="J817">
        <v>1</v>
      </c>
      <c r="K817" t="s">
        <v>432</v>
      </c>
      <c r="L817">
        <v>0.71305732484076434</v>
      </c>
      <c r="M817">
        <v>1</v>
      </c>
      <c r="N817">
        <v>1</v>
      </c>
      <c r="O817" t="s">
        <v>433</v>
      </c>
      <c r="P817">
        <v>0</v>
      </c>
      <c r="R817">
        <v>0</v>
      </c>
      <c r="T817">
        <v>0</v>
      </c>
      <c r="U817" t="b">
        <v>0</v>
      </c>
      <c r="V817">
        <v>0.27312775330396472</v>
      </c>
      <c r="Y817">
        <v>0</v>
      </c>
      <c r="Z817">
        <v>425</v>
      </c>
      <c r="AA817">
        <v>3.0068946824540001E-4</v>
      </c>
      <c r="AB817">
        <v>3.97759103641456E-2</v>
      </c>
      <c r="AC817">
        <v>1.5754560530678999E-3</v>
      </c>
      <c r="AD817">
        <v>0</v>
      </c>
      <c r="AE817">
        <v>0</v>
      </c>
      <c r="AF817" t="b">
        <v>0</v>
      </c>
    </row>
    <row r="818" spans="1:35" x14ac:dyDescent="0.3">
      <c r="A818" t="s">
        <v>1776</v>
      </c>
      <c r="B818" t="s">
        <v>1777</v>
      </c>
      <c r="C818" t="s">
        <v>465</v>
      </c>
      <c r="D818">
        <v>134</v>
      </c>
      <c r="E818">
        <v>1456</v>
      </c>
      <c r="F818">
        <v>11</v>
      </c>
      <c r="G818">
        <v>120</v>
      </c>
      <c r="H818">
        <v>60</v>
      </c>
      <c r="I818">
        <v>1</v>
      </c>
      <c r="J818">
        <v>1</v>
      </c>
      <c r="K818" t="s">
        <v>86</v>
      </c>
      <c r="P818">
        <v>0</v>
      </c>
      <c r="R818">
        <v>0</v>
      </c>
      <c r="T818">
        <v>0</v>
      </c>
      <c r="U818" t="b">
        <v>0</v>
      </c>
      <c r="Y818">
        <v>0</v>
      </c>
      <c r="Z818">
        <v>19</v>
      </c>
      <c r="AA818">
        <v>-1.0752688172043E-3</v>
      </c>
      <c r="AB818">
        <v>-0.10526315789473679</v>
      </c>
      <c r="AD818">
        <v>0</v>
      </c>
      <c r="AE818">
        <v>0</v>
      </c>
      <c r="AF818" t="b">
        <v>0</v>
      </c>
    </row>
    <row r="819" spans="1:35" x14ac:dyDescent="0.3">
      <c r="A819" t="s">
        <v>1778</v>
      </c>
      <c r="B819" t="s">
        <v>1779</v>
      </c>
      <c r="C819" t="s">
        <v>428</v>
      </c>
      <c r="D819">
        <v>327</v>
      </c>
      <c r="E819">
        <v>6423</v>
      </c>
      <c r="F819">
        <v>5</v>
      </c>
      <c r="G819">
        <v>60</v>
      </c>
      <c r="H819">
        <v>60</v>
      </c>
      <c r="I819">
        <v>1</v>
      </c>
      <c r="J819">
        <v>1</v>
      </c>
      <c r="K819" t="s">
        <v>86</v>
      </c>
      <c r="P819">
        <v>0</v>
      </c>
      <c r="R819">
        <v>0</v>
      </c>
      <c r="T819">
        <v>0</v>
      </c>
      <c r="U819" t="b">
        <v>0</v>
      </c>
      <c r="V819">
        <v>6.666666666666667</v>
      </c>
      <c r="Y819">
        <v>0</v>
      </c>
      <c r="Z819">
        <v>307</v>
      </c>
      <c r="AA819">
        <v>-3.4254317111459903E-2</v>
      </c>
      <c r="AB819">
        <v>-3.046067938576082</v>
      </c>
      <c r="AC819">
        <v>0</v>
      </c>
      <c r="AD819">
        <v>-7.1428571428571397E-2</v>
      </c>
      <c r="AE819">
        <v>0</v>
      </c>
      <c r="AF819" t="b">
        <v>0</v>
      </c>
    </row>
    <row r="820" spans="1:35" x14ac:dyDescent="0.3">
      <c r="A820" t="s">
        <v>1780</v>
      </c>
      <c r="B820" t="s">
        <v>1781</v>
      </c>
      <c r="C820" t="s">
        <v>671</v>
      </c>
      <c r="D820">
        <v>9760</v>
      </c>
      <c r="E820">
        <v>439848</v>
      </c>
      <c r="F820">
        <v>23</v>
      </c>
      <c r="G820">
        <v>60</v>
      </c>
      <c r="H820">
        <v>60</v>
      </c>
      <c r="I820">
        <v>1</v>
      </c>
      <c r="J820">
        <v>1</v>
      </c>
      <c r="K820" t="s">
        <v>432</v>
      </c>
      <c r="L820">
        <v>0.95958567030437036</v>
      </c>
      <c r="M820">
        <v>1</v>
      </c>
      <c r="N820">
        <v>1</v>
      </c>
      <c r="O820" t="s">
        <v>518</v>
      </c>
      <c r="P820">
        <v>0</v>
      </c>
      <c r="R820">
        <v>0</v>
      </c>
      <c r="T820">
        <v>0</v>
      </c>
      <c r="U820" t="b">
        <v>0</v>
      </c>
      <c r="V820">
        <v>16.320822782176801</v>
      </c>
      <c r="Y820">
        <v>0</v>
      </c>
      <c r="Z820">
        <v>11657</v>
      </c>
      <c r="AA820">
        <v>-2.4714952731266799E-2</v>
      </c>
      <c r="AB820">
        <v>-2.5616907306872529</v>
      </c>
      <c r="AC820">
        <v>-8.2423972382619906E-2</v>
      </c>
      <c r="AD820">
        <v>1.5221189489083201E-2</v>
      </c>
      <c r="AE820">
        <v>0</v>
      </c>
      <c r="AF820" t="b">
        <v>0</v>
      </c>
    </row>
    <row r="821" spans="1:35" x14ac:dyDescent="0.3">
      <c r="A821" t="s">
        <v>1782</v>
      </c>
      <c r="B821" t="s">
        <v>1783</v>
      </c>
      <c r="C821" t="s">
        <v>1784</v>
      </c>
      <c r="D821">
        <v>14311</v>
      </c>
      <c r="E821">
        <v>347767</v>
      </c>
      <c r="F821">
        <v>445</v>
      </c>
      <c r="G821">
        <v>70</v>
      </c>
      <c r="H821">
        <v>1</v>
      </c>
      <c r="I821">
        <v>0.27141448153505071</v>
      </c>
      <c r="J821">
        <v>0.212994206756391</v>
      </c>
      <c r="K821" t="s">
        <v>86</v>
      </c>
      <c r="P821">
        <v>0</v>
      </c>
      <c r="R821">
        <v>0</v>
      </c>
      <c r="T821">
        <v>2</v>
      </c>
      <c r="U821" t="b">
        <v>1</v>
      </c>
      <c r="V821">
        <v>2.274412108038482</v>
      </c>
      <c r="W821">
        <v>2.9192118226600989</v>
      </c>
      <c r="X821" t="b">
        <v>0</v>
      </c>
      <c r="Y821">
        <v>0</v>
      </c>
      <c r="Z821">
        <v>10188</v>
      </c>
      <c r="AA821">
        <v>7.6738409798138493E-2</v>
      </c>
      <c r="AB821">
        <v>7.6367721315895638</v>
      </c>
      <c r="AC821">
        <v>8.0401097862628404E-2</v>
      </c>
      <c r="AD821">
        <v>8.2400750755933505E-2</v>
      </c>
      <c r="AE821">
        <v>2</v>
      </c>
      <c r="AF821" t="b">
        <v>1</v>
      </c>
      <c r="AG821">
        <v>2.3456514367603998E-3</v>
      </c>
      <c r="AH821">
        <v>0.57422449345526316</v>
      </c>
      <c r="AI821" t="b">
        <v>1</v>
      </c>
    </row>
    <row r="822" spans="1:35" x14ac:dyDescent="0.3">
      <c r="A822" t="s">
        <v>1785</v>
      </c>
      <c r="B822" t="s">
        <v>1786</v>
      </c>
      <c r="C822" t="s">
        <v>1787</v>
      </c>
      <c r="D822">
        <v>9479</v>
      </c>
      <c r="E822">
        <v>144993</v>
      </c>
      <c r="F822">
        <v>377</v>
      </c>
      <c r="G822">
        <v>214</v>
      </c>
      <c r="H822">
        <v>1</v>
      </c>
      <c r="I822">
        <v>0.1202402874621533</v>
      </c>
      <c r="J822">
        <v>0.30476849994175281</v>
      </c>
      <c r="K822" t="s">
        <v>86</v>
      </c>
      <c r="P822">
        <v>0</v>
      </c>
      <c r="R822">
        <v>0</v>
      </c>
      <c r="T822">
        <v>0</v>
      </c>
      <c r="U822" t="b">
        <v>0</v>
      </c>
      <c r="V822">
        <v>72.264779098949603</v>
      </c>
      <c r="Y822">
        <v>0</v>
      </c>
      <c r="Z822">
        <v>739</v>
      </c>
      <c r="AA822">
        <v>0.11081906198393</v>
      </c>
      <c r="AB822">
        <v>22.2962634504348</v>
      </c>
      <c r="AC822">
        <v>3.2958929790492399E-2</v>
      </c>
      <c r="AD822">
        <v>0.12499127113018001</v>
      </c>
      <c r="AE822">
        <v>0</v>
      </c>
      <c r="AF822" t="b">
        <v>0</v>
      </c>
    </row>
    <row r="823" spans="1:35" x14ac:dyDescent="0.3">
      <c r="A823" t="s">
        <v>1788</v>
      </c>
      <c r="B823" t="s">
        <v>1789</v>
      </c>
      <c r="C823" t="s">
        <v>671</v>
      </c>
      <c r="D823">
        <v>10728</v>
      </c>
      <c r="E823">
        <v>445082</v>
      </c>
      <c r="F823">
        <v>318</v>
      </c>
      <c r="G823">
        <v>78</v>
      </c>
      <c r="H823">
        <v>1</v>
      </c>
      <c r="I823">
        <v>0.3120863121851703</v>
      </c>
      <c r="J823">
        <v>7.7921109209775699E-2</v>
      </c>
      <c r="K823" t="s">
        <v>432</v>
      </c>
      <c r="L823">
        <v>0.97646439383967365</v>
      </c>
      <c r="M823">
        <v>1</v>
      </c>
      <c r="N823">
        <v>5.5696350417441698E-2</v>
      </c>
      <c r="O823" t="s">
        <v>518</v>
      </c>
      <c r="P823">
        <v>0</v>
      </c>
      <c r="R823">
        <v>0</v>
      </c>
      <c r="T823">
        <v>0</v>
      </c>
      <c r="U823" t="b">
        <v>0</v>
      </c>
      <c r="V823">
        <v>0</v>
      </c>
      <c r="Y823">
        <v>0</v>
      </c>
      <c r="Z823">
        <v>10024</v>
      </c>
      <c r="AA823">
        <v>0</v>
      </c>
      <c r="AB823">
        <v>0</v>
      </c>
      <c r="AC823">
        <v>0</v>
      </c>
      <c r="AD823">
        <v>0</v>
      </c>
      <c r="AE823">
        <v>0</v>
      </c>
      <c r="AF823" t="b">
        <v>0</v>
      </c>
    </row>
    <row r="824" spans="1:35" x14ac:dyDescent="0.3">
      <c r="A824" t="s">
        <v>1790</v>
      </c>
      <c r="B824" t="s">
        <v>1791</v>
      </c>
      <c r="C824" t="s">
        <v>671</v>
      </c>
      <c r="D824">
        <v>78876</v>
      </c>
      <c r="E824">
        <v>1053561</v>
      </c>
      <c r="F824">
        <v>42</v>
      </c>
      <c r="G824">
        <v>60</v>
      </c>
      <c r="H824">
        <v>60</v>
      </c>
      <c r="I824">
        <v>1</v>
      </c>
      <c r="J824">
        <v>1</v>
      </c>
      <c r="K824" t="s">
        <v>432</v>
      </c>
      <c r="L824">
        <v>0.92725669691028179</v>
      </c>
      <c r="M824">
        <v>1</v>
      </c>
      <c r="N824">
        <v>1</v>
      </c>
      <c r="O824" t="s">
        <v>518</v>
      </c>
      <c r="P824">
        <v>0</v>
      </c>
      <c r="R824">
        <v>0</v>
      </c>
      <c r="T824">
        <v>0</v>
      </c>
      <c r="U824" t="b">
        <v>0</v>
      </c>
      <c r="V824">
        <v>0</v>
      </c>
      <c r="Y824">
        <v>0</v>
      </c>
      <c r="Z824">
        <v>14940</v>
      </c>
      <c r="AA824">
        <v>0</v>
      </c>
      <c r="AB824">
        <v>0</v>
      </c>
      <c r="AC824">
        <v>0</v>
      </c>
      <c r="AD824">
        <v>0</v>
      </c>
      <c r="AE824">
        <v>0</v>
      </c>
      <c r="AF824" t="b">
        <v>0</v>
      </c>
    </row>
    <row r="825" spans="1:35" x14ac:dyDescent="0.3">
      <c r="A825" t="s">
        <v>1792</v>
      </c>
      <c r="B825" t="s">
        <v>1793</v>
      </c>
      <c r="C825" t="s">
        <v>431</v>
      </c>
      <c r="D825">
        <v>78</v>
      </c>
      <c r="E825">
        <v>114</v>
      </c>
      <c r="F825">
        <v>7</v>
      </c>
      <c r="G825">
        <v>300</v>
      </c>
      <c r="H825">
        <v>60</v>
      </c>
      <c r="I825">
        <v>1</v>
      </c>
      <c r="J825">
        <v>1</v>
      </c>
      <c r="K825" t="s">
        <v>432</v>
      </c>
      <c r="L825">
        <v>0.71276595744680848</v>
      </c>
      <c r="M825">
        <v>1</v>
      </c>
      <c r="O825" t="s">
        <v>433</v>
      </c>
      <c r="P825">
        <v>0</v>
      </c>
      <c r="R825">
        <v>0</v>
      </c>
      <c r="T825">
        <v>0</v>
      </c>
      <c r="U825" t="b">
        <v>0</v>
      </c>
      <c r="V825">
        <v>0</v>
      </c>
      <c r="Y825">
        <v>0.71276595744680848</v>
      </c>
      <c r="Z825">
        <v>8</v>
      </c>
      <c r="AA825">
        <v>0</v>
      </c>
      <c r="AB825">
        <v>0</v>
      </c>
      <c r="AC825">
        <v>0</v>
      </c>
      <c r="AD825">
        <v>0</v>
      </c>
      <c r="AE825">
        <v>0</v>
      </c>
      <c r="AF825" t="b">
        <v>0</v>
      </c>
    </row>
    <row r="826" spans="1:35" x14ac:dyDescent="0.3">
      <c r="A826" t="s">
        <v>1794</v>
      </c>
      <c r="B826" t="s">
        <v>1795</v>
      </c>
      <c r="C826" t="s">
        <v>549</v>
      </c>
      <c r="D826">
        <v>2459</v>
      </c>
      <c r="E826">
        <v>40153</v>
      </c>
      <c r="F826">
        <v>170</v>
      </c>
      <c r="G826">
        <v>51</v>
      </c>
      <c r="H826">
        <v>1</v>
      </c>
      <c r="I826">
        <v>1.8080840784001101E-2</v>
      </c>
      <c r="J826">
        <v>0.2438504926627191</v>
      </c>
      <c r="K826" t="s">
        <v>432</v>
      </c>
      <c r="L826">
        <v>0.76778149647763705</v>
      </c>
      <c r="M826">
        <v>1</v>
      </c>
      <c r="N826">
        <v>1.5150129553421701E-2</v>
      </c>
      <c r="O826" t="s">
        <v>433</v>
      </c>
      <c r="P826">
        <v>22692</v>
      </c>
      <c r="Q826">
        <v>0.46646395205358709</v>
      </c>
      <c r="R826">
        <v>0</v>
      </c>
      <c r="T826">
        <v>0</v>
      </c>
      <c r="U826" t="b">
        <v>0</v>
      </c>
      <c r="V826">
        <v>2.8431330505591501</v>
      </c>
      <c r="Y826">
        <v>0</v>
      </c>
      <c r="Z826">
        <v>818</v>
      </c>
      <c r="AA826">
        <v>-4.9182512461995002E-3</v>
      </c>
      <c r="AB826">
        <v>-0.30362202797122972</v>
      </c>
      <c r="AC826">
        <v>-1.5048616982316E-2</v>
      </c>
      <c r="AD826">
        <v>5.2418905995383E-3</v>
      </c>
      <c r="AE826">
        <v>0</v>
      </c>
      <c r="AF826" t="b">
        <v>0</v>
      </c>
    </row>
    <row r="827" spans="1:35" x14ac:dyDescent="0.3">
      <c r="A827" t="s">
        <v>1796</v>
      </c>
      <c r="B827" t="s">
        <v>1797</v>
      </c>
      <c r="C827" t="s">
        <v>671</v>
      </c>
      <c r="D827">
        <v>8620</v>
      </c>
      <c r="E827">
        <v>184270</v>
      </c>
      <c r="F827">
        <v>20</v>
      </c>
      <c r="G827">
        <v>60</v>
      </c>
      <c r="H827">
        <v>60</v>
      </c>
      <c r="I827">
        <v>1</v>
      </c>
      <c r="J827">
        <v>1</v>
      </c>
      <c r="K827" t="s">
        <v>432</v>
      </c>
      <c r="L827">
        <v>0.9106226346622428</v>
      </c>
      <c r="M827">
        <v>1</v>
      </c>
      <c r="N827">
        <v>1</v>
      </c>
      <c r="O827" t="s">
        <v>518</v>
      </c>
      <c r="P827">
        <v>0</v>
      </c>
      <c r="R827">
        <v>0</v>
      </c>
      <c r="T827">
        <v>0</v>
      </c>
      <c r="U827" t="b">
        <v>0</v>
      </c>
      <c r="V827">
        <v>0</v>
      </c>
      <c r="Y827">
        <v>0</v>
      </c>
      <c r="Z827">
        <v>3936</v>
      </c>
      <c r="AA827">
        <v>0</v>
      </c>
      <c r="AB827">
        <v>0</v>
      </c>
      <c r="AC827">
        <v>0</v>
      </c>
      <c r="AD827">
        <v>0</v>
      </c>
      <c r="AE827">
        <v>0</v>
      </c>
      <c r="AF827" t="b">
        <v>0</v>
      </c>
    </row>
    <row r="828" spans="1:35" x14ac:dyDescent="0.3">
      <c r="A828" t="s">
        <v>1798</v>
      </c>
      <c r="B828" t="s">
        <v>1799</v>
      </c>
      <c r="C828" t="s">
        <v>671</v>
      </c>
      <c r="D828">
        <v>3160</v>
      </c>
      <c r="E828">
        <v>88253</v>
      </c>
      <c r="F828">
        <v>22</v>
      </c>
      <c r="G828">
        <v>120</v>
      </c>
      <c r="H828">
        <v>60</v>
      </c>
      <c r="I828">
        <v>1</v>
      </c>
      <c r="J828">
        <v>1</v>
      </c>
      <c r="K828" t="s">
        <v>432</v>
      </c>
      <c r="L828">
        <v>0.93284383002688376</v>
      </c>
      <c r="M828">
        <v>1</v>
      </c>
      <c r="N828">
        <v>1</v>
      </c>
      <c r="O828" t="s">
        <v>518</v>
      </c>
      <c r="P828">
        <v>0</v>
      </c>
      <c r="R828">
        <v>0</v>
      </c>
      <c r="T828">
        <v>0</v>
      </c>
      <c r="U828" t="b">
        <v>0</v>
      </c>
      <c r="V828">
        <v>1.2549450549450549</v>
      </c>
      <c r="Y828">
        <v>0</v>
      </c>
      <c r="Z828">
        <v>3157</v>
      </c>
      <c r="AA828">
        <v>-4.3637580571875998E-3</v>
      </c>
      <c r="AB828">
        <v>-0.50311477140745431</v>
      </c>
      <c r="AC828">
        <v>-8.2364777558219995E-3</v>
      </c>
      <c r="AD828">
        <v>-3.0051811885199002E-3</v>
      </c>
      <c r="AE828">
        <v>0</v>
      </c>
      <c r="AF828" t="b">
        <v>0</v>
      </c>
    </row>
    <row r="829" spans="1:35" x14ac:dyDescent="0.3">
      <c r="A829" t="s">
        <v>1800</v>
      </c>
      <c r="B829" t="s">
        <v>1801</v>
      </c>
      <c r="C829" t="s">
        <v>573</v>
      </c>
      <c r="D829">
        <v>1518</v>
      </c>
      <c r="E829">
        <v>27676</v>
      </c>
      <c r="F829">
        <v>294</v>
      </c>
      <c r="G829">
        <v>85</v>
      </c>
      <c r="H829">
        <v>1</v>
      </c>
      <c r="I829">
        <v>3.6529845353374703E-2</v>
      </c>
      <c r="J829">
        <v>0.1239980817976296</v>
      </c>
      <c r="K829" t="s">
        <v>86</v>
      </c>
      <c r="P829">
        <v>0</v>
      </c>
      <c r="R829">
        <v>0</v>
      </c>
      <c r="T829">
        <v>0</v>
      </c>
      <c r="U829" t="b">
        <v>0</v>
      </c>
      <c r="V829">
        <v>4.9489781830635504</v>
      </c>
      <c r="Y829">
        <v>0</v>
      </c>
      <c r="Z829">
        <v>803</v>
      </c>
      <c r="AA829">
        <v>-1.9639536253301601E-2</v>
      </c>
      <c r="AB829">
        <v>-1.9447315012189481</v>
      </c>
      <c r="AC829">
        <v>-3.2929339211828203E-2</v>
      </c>
      <c r="AD829">
        <v>-6.0801106885499997E-3</v>
      </c>
      <c r="AE829">
        <v>0</v>
      </c>
      <c r="AF829" t="b">
        <v>0</v>
      </c>
    </row>
    <row r="830" spans="1:35" x14ac:dyDescent="0.3">
      <c r="A830" t="s">
        <v>1802</v>
      </c>
      <c r="B830" t="s">
        <v>1803</v>
      </c>
      <c r="C830" t="s">
        <v>517</v>
      </c>
      <c r="D830">
        <v>381</v>
      </c>
      <c r="E830">
        <v>1271</v>
      </c>
      <c r="F830">
        <v>36</v>
      </c>
      <c r="G830">
        <v>300</v>
      </c>
      <c r="H830">
        <v>60</v>
      </c>
      <c r="I830">
        <v>1</v>
      </c>
      <c r="J830">
        <v>1</v>
      </c>
      <c r="K830" t="s">
        <v>432</v>
      </c>
      <c r="L830">
        <v>8.0508474576271097E-2</v>
      </c>
      <c r="M830">
        <v>1</v>
      </c>
      <c r="N830">
        <v>1</v>
      </c>
      <c r="O830" t="s">
        <v>433</v>
      </c>
      <c r="P830">
        <v>0</v>
      </c>
      <c r="R830">
        <v>0</v>
      </c>
      <c r="T830">
        <v>0</v>
      </c>
      <c r="U830" t="b">
        <v>0</v>
      </c>
      <c r="V830">
        <v>107.5</v>
      </c>
      <c r="Y830">
        <v>0</v>
      </c>
      <c r="Z830">
        <v>43</v>
      </c>
      <c r="AA830">
        <v>5.2871122599704501E-2</v>
      </c>
      <c r="AB830">
        <v>38.053156146179397</v>
      </c>
      <c r="AC830">
        <v>3.1236628155755199E-2</v>
      </c>
      <c r="AD830">
        <v>0.1145881270133456</v>
      </c>
      <c r="AE830">
        <v>0</v>
      </c>
      <c r="AF830" t="b">
        <v>0</v>
      </c>
    </row>
    <row r="831" spans="1:35" x14ac:dyDescent="0.3">
      <c r="A831" t="s">
        <v>1804</v>
      </c>
      <c r="B831" t="s">
        <v>1805</v>
      </c>
      <c r="C831" t="s">
        <v>431</v>
      </c>
      <c r="D831">
        <v>81</v>
      </c>
      <c r="E831">
        <v>988</v>
      </c>
      <c r="F831">
        <v>238</v>
      </c>
      <c r="G831">
        <v>259</v>
      </c>
      <c r="H831">
        <v>1</v>
      </c>
      <c r="I831">
        <v>0.11336032388663959</v>
      </c>
      <c r="J831">
        <v>0.39850327408793262</v>
      </c>
      <c r="K831" t="s">
        <v>432</v>
      </c>
      <c r="L831">
        <v>0.61833489242282502</v>
      </c>
      <c r="M831">
        <v>1</v>
      </c>
      <c r="N831">
        <v>2.7231467473524899E-2</v>
      </c>
      <c r="O831" t="s">
        <v>433</v>
      </c>
      <c r="P831">
        <v>643</v>
      </c>
      <c r="Q831">
        <v>1</v>
      </c>
      <c r="R831">
        <v>0</v>
      </c>
      <c r="T831">
        <v>0</v>
      </c>
      <c r="U831" t="b">
        <v>0</v>
      </c>
      <c r="V831">
        <v>6.6999999999999984</v>
      </c>
      <c r="Y831">
        <v>0</v>
      </c>
      <c r="Z831">
        <v>6</v>
      </c>
      <c r="AA831">
        <v>-2.7375944368131799E-2</v>
      </c>
      <c r="AB831">
        <v>-7.5922619047619051</v>
      </c>
      <c r="AC831">
        <v>-1.47235576923076E-2</v>
      </c>
      <c r="AD831">
        <v>-3.8882211538461497E-2</v>
      </c>
      <c r="AE831">
        <v>0</v>
      </c>
      <c r="AF831" t="b">
        <v>0</v>
      </c>
    </row>
    <row r="832" spans="1:35" x14ac:dyDescent="0.3">
      <c r="A832" t="s">
        <v>1806</v>
      </c>
      <c r="B832" t="s">
        <v>1807</v>
      </c>
      <c r="C832" t="s">
        <v>431</v>
      </c>
      <c r="D832">
        <v>1076</v>
      </c>
      <c r="E832">
        <v>34861</v>
      </c>
      <c r="F832">
        <v>224</v>
      </c>
      <c r="G832">
        <v>48</v>
      </c>
      <c r="H832">
        <v>1</v>
      </c>
      <c r="I832">
        <v>2.0108430624479999E-2</v>
      </c>
      <c r="J832">
        <v>0.14559973289557879</v>
      </c>
      <c r="K832" t="s">
        <v>432</v>
      </c>
      <c r="L832">
        <v>0.86814501544197431</v>
      </c>
      <c r="M832">
        <v>1</v>
      </c>
      <c r="N832">
        <v>1.5832318441125499E-2</v>
      </c>
      <c r="O832" t="s">
        <v>433</v>
      </c>
      <c r="P832">
        <v>30708</v>
      </c>
      <c r="Q832">
        <v>0.98254526507750439</v>
      </c>
      <c r="R832">
        <v>0</v>
      </c>
      <c r="T832">
        <v>0</v>
      </c>
      <c r="U832" t="b">
        <v>0</v>
      </c>
      <c r="V832">
        <v>1.7028522775649198E-2</v>
      </c>
      <c r="Y832">
        <v>0</v>
      </c>
      <c r="Z832">
        <v>1616</v>
      </c>
      <c r="AA832">
        <v>-6.0658748317749998E-4</v>
      </c>
      <c r="AB832">
        <v>-3.5189768976897601E-2</v>
      </c>
      <c r="AC832">
        <v>0</v>
      </c>
      <c r="AD832">
        <v>-2.0366812593829E-3</v>
      </c>
      <c r="AE832">
        <v>0</v>
      </c>
      <c r="AF832" t="b">
        <v>0</v>
      </c>
    </row>
    <row r="833" spans="1:32" x14ac:dyDescent="0.3">
      <c r="A833" t="s">
        <v>1808</v>
      </c>
      <c r="B833" t="s">
        <v>1809</v>
      </c>
      <c r="C833" t="s">
        <v>1081</v>
      </c>
      <c r="D833">
        <v>57</v>
      </c>
      <c r="E833">
        <v>658</v>
      </c>
      <c r="F833">
        <v>27</v>
      </c>
      <c r="G833">
        <v>90</v>
      </c>
      <c r="H833">
        <v>30</v>
      </c>
      <c r="I833">
        <v>0.31914893617021278</v>
      </c>
      <c r="J833">
        <v>0.29629629629629628</v>
      </c>
      <c r="K833" t="s">
        <v>432</v>
      </c>
      <c r="L833">
        <v>0.84362139917695478</v>
      </c>
      <c r="M833">
        <v>0.42982456140350878</v>
      </c>
      <c r="N833">
        <v>0.27154471544715442</v>
      </c>
      <c r="O833" t="s">
        <v>518</v>
      </c>
      <c r="P833">
        <v>448</v>
      </c>
      <c r="Q833">
        <v>1.1160714285714199E-2</v>
      </c>
      <c r="R833">
        <v>0</v>
      </c>
      <c r="T833">
        <v>0</v>
      </c>
      <c r="U833" t="b">
        <v>0</v>
      </c>
      <c r="Y833">
        <v>0</v>
      </c>
      <c r="Z833">
        <v>29</v>
      </c>
      <c r="AA833">
        <v>0</v>
      </c>
      <c r="AB833">
        <v>0</v>
      </c>
      <c r="AE833">
        <v>0</v>
      </c>
      <c r="AF833" t="b">
        <v>0</v>
      </c>
    </row>
    <row r="834" spans="1:32" x14ac:dyDescent="0.3">
      <c r="A834" t="s">
        <v>1810</v>
      </c>
      <c r="B834" t="s">
        <v>1811</v>
      </c>
      <c r="C834" t="s">
        <v>428</v>
      </c>
      <c r="D834">
        <v>3190</v>
      </c>
      <c r="E834">
        <v>70789</v>
      </c>
      <c r="F834">
        <v>23</v>
      </c>
      <c r="G834">
        <v>60</v>
      </c>
      <c r="H834">
        <v>60</v>
      </c>
      <c r="I834">
        <v>1</v>
      </c>
      <c r="J834">
        <v>1</v>
      </c>
      <c r="K834" t="s">
        <v>86</v>
      </c>
      <c r="P834">
        <v>0</v>
      </c>
      <c r="R834">
        <v>0</v>
      </c>
      <c r="T834">
        <v>0</v>
      </c>
      <c r="U834" t="b">
        <v>0</v>
      </c>
      <c r="V834">
        <v>10.53018395622308</v>
      </c>
      <c r="Y834">
        <v>0</v>
      </c>
      <c r="Z834">
        <v>2047</v>
      </c>
      <c r="AA834">
        <v>2.44073545028737E-2</v>
      </c>
      <c r="AB834">
        <v>2.2128246022395279</v>
      </c>
      <c r="AC834">
        <v>-5.1370160936234002E-3</v>
      </c>
      <c r="AD834">
        <v>5.7144164917941401E-2</v>
      </c>
      <c r="AE834">
        <v>0</v>
      </c>
      <c r="AF834" t="b">
        <v>0</v>
      </c>
    </row>
    <row r="835" spans="1:32" x14ac:dyDescent="0.3">
      <c r="A835" t="s">
        <v>1812</v>
      </c>
      <c r="B835" t="s">
        <v>1813</v>
      </c>
      <c r="C835" t="s">
        <v>1814</v>
      </c>
      <c r="D835">
        <v>147</v>
      </c>
      <c r="E835">
        <v>7933</v>
      </c>
      <c r="F835">
        <v>5</v>
      </c>
      <c r="G835">
        <v>50</v>
      </c>
      <c r="H835">
        <v>60</v>
      </c>
      <c r="I835">
        <v>0</v>
      </c>
      <c r="J835">
        <v>0</v>
      </c>
      <c r="K835" t="s">
        <v>86</v>
      </c>
      <c r="P835">
        <v>0</v>
      </c>
      <c r="R835">
        <v>0</v>
      </c>
      <c r="T835">
        <v>0</v>
      </c>
      <c r="U835" t="b">
        <v>0</v>
      </c>
      <c r="Y835">
        <v>0</v>
      </c>
      <c r="Z835">
        <v>195</v>
      </c>
      <c r="AA835">
        <v>0</v>
      </c>
      <c r="AB835">
        <v>0</v>
      </c>
      <c r="AE835">
        <v>0</v>
      </c>
      <c r="AF835" t="b">
        <v>0</v>
      </c>
    </row>
    <row r="836" spans="1:32" x14ac:dyDescent="0.3">
      <c r="A836" t="s">
        <v>1815</v>
      </c>
      <c r="B836" t="s">
        <v>1816</v>
      </c>
      <c r="C836" t="s">
        <v>1814</v>
      </c>
      <c r="D836">
        <v>402</v>
      </c>
      <c r="E836">
        <v>17292</v>
      </c>
      <c r="F836">
        <v>5</v>
      </c>
      <c r="G836">
        <v>50</v>
      </c>
      <c r="H836">
        <v>60</v>
      </c>
      <c r="I836">
        <v>0</v>
      </c>
      <c r="J836">
        <v>0</v>
      </c>
      <c r="K836" t="s">
        <v>86</v>
      </c>
      <c r="P836">
        <v>0</v>
      </c>
      <c r="R836">
        <v>0</v>
      </c>
      <c r="T836">
        <v>0</v>
      </c>
      <c r="U836" t="b">
        <v>0</v>
      </c>
      <c r="V836">
        <v>0</v>
      </c>
      <c r="Y836">
        <v>0</v>
      </c>
      <c r="Z836">
        <v>965</v>
      </c>
      <c r="AA836">
        <v>0</v>
      </c>
      <c r="AB836">
        <v>0</v>
      </c>
      <c r="AC836">
        <v>0</v>
      </c>
      <c r="AD836">
        <v>0</v>
      </c>
      <c r="AE836">
        <v>0</v>
      </c>
      <c r="AF836" t="b">
        <v>0</v>
      </c>
    </row>
    <row r="837" spans="1:32" x14ac:dyDescent="0.3">
      <c r="A837" t="s">
        <v>1817</v>
      </c>
      <c r="B837" t="s">
        <v>1818</v>
      </c>
      <c r="C837" t="s">
        <v>1814</v>
      </c>
      <c r="D837">
        <v>376</v>
      </c>
      <c r="E837">
        <v>23399</v>
      </c>
      <c r="F837">
        <v>9</v>
      </c>
      <c r="G837">
        <v>50</v>
      </c>
      <c r="H837">
        <v>60</v>
      </c>
      <c r="I837">
        <v>0</v>
      </c>
      <c r="J837">
        <v>0</v>
      </c>
      <c r="K837" t="s">
        <v>86</v>
      </c>
      <c r="P837">
        <v>0</v>
      </c>
      <c r="R837">
        <v>0</v>
      </c>
      <c r="T837">
        <v>0</v>
      </c>
      <c r="U837" t="b">
        <v>0</v>
      </c>
      <c r="V837">
        <v>0</v>
      </c>
      <c r="Y837">
        <v>0</v>
      </c>
      <c r="Z837">
        <v>1394</v>
      </c>
      <c r="AA837">
        <v>0</v>
      </c>
      <c r="AB837">
        <v>0</v>
      </c>
      <c r="AC837">
        <v>0</v>
      </c>
      <c r="AD837">
        <v>0</v>
      </c>
      <c r="AE837">
        <v>0</v>
      </c>
      <c r="AF837" t="b">
        <v>0</v>
      </c>
    </row>
    <row r="838" spans="1:32" x14ac:dyDescent="0.3">
      <c r="A838" t="s">
        <v>1819</v>
      </c>
      <c r="B838" t="s">
        <v>1820</v>
      </c>
      <c r="C838" t="s">
        <v>1814</v>
      </c>
      <c r="D838">
        <v>354</v>
      </c>
      <c r="E838">
        <v>17744</v>
      </c>
      <c r="F838">
        <v>2</v>
      </c>
      <c r="G838">
        <v>60</v>
      </c>
      <c r="I838">
        <v>1</v>
      </c>
      <c r="J838">
        <v>1</v>
      </c>
      <c r="K838" t="s">
        <v>86</v>
      </c>
      <c r="P838">
        <v>0</v>
      </c>
      <c r="R838">
        <v>0</v>
      </c>
      <c r="T838">
        <v>0</v>
      </c>
      <c r="U838" t="b">
        <v>0</v>
      </c>
      <c r="V838">
        <v>0</v>
      </c>
      <c r="Y838">
        <v>0</v>
      </c>
      <c r="Z838">
        <v>928</v>
      </c>
      <c r="AA838">
        <v>0</v>
      </c>
      <c r="AB838">
        <v>0</v>
      </c>
      <c r="AC838">
        <v>0</v>
      </c>
      <c r="AD838">
        <v>0</v>
      </c>
      <c r="AE838">
        <v>0</v>
      </c>
      <c r="AF838" t="b">
        <v>0</v>
      </c>
    </row>
    <row r="839" spans="1:32" x14ac:dyDescent="0.3">
      <c r="A839" t="s">
        <v>1821</v>
      </c>
      <c r="B839" t="s">
        <v>1822</v>
      </c>
      <c r="C839" t="s">
        <v>1814</v>
      </c>
      <c r="D839">
        <v>477</v>
      </c>
      <c r="E839">
        <v>19599</v>
      </c>
      <c r="F839">
        <v>3</v>
      </c>
      <c r="G839">
        <v>60</v>
      </c>
      <c r="H839">
        <v>60</v>
      </c>
      <c r="I839">
        <v>1</v>
      </c>
      <c r="J839">
        <v>1</v>
      </c>
      <c r="K839" t="s">
        <v>86</v>
      </c>
      <c r="P839">
        <v>0</v>
      </c>
      <c r="R839">
        <v>0</v>
      </c>
      <c r="T839">
        <v>0</v>
      </c>
      <c r="U839" t="b">
        <v>0</v>
      </c>
      <c r="V839">
        <v>0</v>
      </c>
      <c r="Y839">
        <v>0</v>
      </c>
      <c r="Z839">
        <v>1111</v>
      </c>
      <c r="AA839">
        <v>0</v>
      </c>
      <c r="AB839">
        <v>0</v>
      </c>
      <c r="AC839">
        <v>0</v>
      </c>
      <c r="AD839">
        <v>0</v>
      </c>
      <c r="AE839">
        <v>0</v>
      </c>
      <c r="AF839" t="b">
        <v>0</v>
      </c>
    </row>
    <row r="840" spans="1:32" x14ac:dyDescent="0.3">
      <c r="A840" t="s">
        <v>1823</v>
      </c>
      <c r="B840" t="s">
        <v>1824</v>
      </c>
      <c r="C840" t="s">
        <v>1814</v>
      </c>
      <c r="D840">
        <v>1782</v>
      </c>
      <c r="E840">
        <v>74657</v>
      </c>
      <c r="F840">
        <v>4</v>
      </c>
      <c r="G840">
        <v>60</v>
      </c>
      <c r="H840">
        <v>60</v>
      </c>
      <c r="I840">
        <v>1</v>
      </c>
      <c r="J840">
        <v>1</v>
      </c>
      <c r="K840" t="s">
        <v>86</v>
      </c>
      <c r="P840">
        <v>0</v>
      </c>
      <c r="R840">
        <v>0</v>
      </c>
      <c r="T840">
        <v>0</v>
      </c>
      <c r="U840" t="b">
        <v>0</v>
      </c>
      <c r="V840">
        <v>0</v>
      </c>
      <c r="Y840">
        <v>0</v>
      </c>
      <c r="Z840">
        <v>1607</v>
      </c>
      <c r="AA840">
        <v>0</v>
      </c>
      <c r="AB840">
        <v>0</v>
      </c>
      <c r="AC840">
        <v>0</v>
      </c>
      <c r="AD840">
        <v>0</v>
      </c>
      <c r="AE840">
        <v>0</v>
      </c>
      <c r="AF840" t="b">
        <v>0</v>
      </c>
    </row>
    <row r="841" spans="1:32" x14ac:dyDescent="0.3">
      <c r="A841" t="s">
        <v>1825</v>
      </c>
      <c r="B841" t="s">
        <v>1826</v>
      </c>
      <c r="C841" t="s">
        <v>1814</v>
      </c>
      <c r="D841">
        <v>310</v>
      </c>
      <c r="E841">
        <v>5099</v>
      </c>
      <c r="F841">
        <v>9</v>
      </c>
      <c r="G841">
        <v>50</v>
      </c>
      <c r="H841">
        <v>60</v>
      </c>
      <c r="I841">
        <v>0</v>
      </c>
      <c r="J841">
        <v>0</v>
      </c>
      <c r="K841" t="s">
        <v>86</v>
      </c>
      <c r="P841">
        <v>0</v>
      </c>
      <c r="R841">
        <v>0</v>
      </c>
      <c r="T841">
        <v>0</v>
      </c>
      <c r="U841" t="b">
        <v>0</v>
      </c>
      <c r="Y841">
        <v>0</v>
      </c>
      <c r="Z841">
        <v>356</v>
      </c>
      <c r="AA841">
        <v>0</v>
      </c>
      <c r="AB841">
        <v>0</v>
      </c>
      <c r="AE841">
        <v>0</v>
      </c>
      <c r="AF841" t="b">
        <v>0</v>
      </c>
    </row>
    <row r="842" spans="1:32" x14ac:dyDescent="0.3">
      <c r="A842" t="s">
        <v>1827</v>
      </c>
      <c r="B842" t="s">
        <v>1828</v>
      </c>
      <c r="C842" t="s">
        <v>85</v>
      </c>
      <c r="D842">
        <v>15014</v>
      </c>
      <c r="E842">
        <v>262517</v>
      </c>
      <c r="F842">
        <v>19</v>
      </c>
      <c r="G842">
        <v>120</v>
      </c>
      <c r="H842">
        <v>60</v>
      </c>
      <c r="I842">
        <v>1</v>
      </c>
      <c r="J842">
        <v>1</v>
      </c>
      <c r="K842" t="s">
        <v>86</v>
      </c>
      <c r="P842">
        <v>0</v>
      </c>
      <c r="R842">
        <v>0</v>
      </c>
      <c r="T842">
        <v>0</v>
      </c>
      <c r="U842" t="b">
        <v>0</v>
      </c>
      <c r="V842">
        <v>13.86645353848156</v>
      </c>
      <c r="Y842">
        <v>0</v>
      </c>
      <c r="Z842">
        <v>4490</v>
      </c>
      <c r="AA842">
        <v>1.6555061992670999E-3</v>
      </c>
      <c r="AB842">
        <v>0.19411747966056911</v>
      </c>
      <c r="AC842">
        <v>-1.90851531464197E-2</v>
      </c>
      <c r="AD842">
        <v>2.4191683994453001E-2</v>
      </c>
      <c r="AE842">
        <v>0</v>
      </c>
      <c r="AF842" t="b">
        <v>0</v>
      </c>
    </row>
    <row r="843" spans="1:32" x14ac:dyDescent="0.3">
      <c r="A843" t="s">
        <v>1829</v>
      </c>
      <c r="B843" t="s">
        <v>1830</v>
      </c>
      <c r="C843" t="s">
        <v>428</v>
      </c>
      <c r="D843">
        <v>1078</v>
      </c>
      <c r="E843">
        <v>29073</v>
      </c>
      <c r="F843">
        <v>13</v>
      </c>
      <c r="G843">
        <v>60</v>
      </c>
      <c r="H843">
        <v>60</v>
      </c>
      <c r="I843">
        <v>1</v>
      </c>
      <c r="J843">
        <v>1</v>
      </c>
      <c r="K843" t="s">
        <v>86</v>
      </c>
      <c r="P843">
        <v>0</v>
      </c>
      <c r="R843">
        <v>0</v>
      </c>
      <c r="T843">
        <v>0</v>
      </c>
      <c r="U843" t="b">
        <v>0</v>
      </c>
      <c r="V843">
        <v>8.4210526315789469</v>
      </c>
      <c r="Y843">
        <v>0</v>
      </c>
      <c r="Z843">
        <v>570</v>
      </c>
      <c r="AA843">
        <v>1.9409329902673E-3</v>
      </c>
      <c r="AB843">
        <v>0.1739348370927318</v>
      </c>
      <c r="AC843">
        <v>4.0980230642504098E-2</v>
      </c>
      <c r="AD843">
        <v>-4.3528728961114302E-2</v>
      </c>
      <c r="AE843">
        <v>0</v>
      </c>
      <c r="AF843" t="b">
        <v>0</v>
      </c>
    </row>
    <row r="844" spans="1:32" x14ac:dyDescent="0.3">
      <c r="A844" t="s">
        <v>1831</v>
      </c>
      <c r="B844" t="s">
        <v>1832</v>
      </c>
      <c r="C844" t="s">
        <v>431</v>
      </c>
      <c r="D844">
        <v>870</v>
      </c>
      <c r="E844">
        <v>17036</v>
      </c>
      <c r="F844">
        <v>416</v>
      </c>
      <c r="G844">
        <v>72</v>
      </c>
      <c r="H844">
        <v>1</v>
      </c>
      <c r="I844">
        <v>2.4007983094623101E-2</v>
      </c>
      <c r="J844">
        <v>0.1979783312856026</v>
      </c>
      <c r="K844" t="s">
        <v>432</v>
      </c>
      <c r="L844">
        <v>0.8187758293309505</v>
      </c>
      <c r="M844">
        <v>0.9919876733436056</v>
      </c>
      <c r="N844">
        <v>2.2235863856489999E-2</v>
      </c>
      <c r="O844" t="s">
        <v>433</v>
      </c>
      <c r="P844">
        <v>14335</v>
      </c>
      <c r="Q844">
        <v>1</v>
      </c>
      <c r="R844">
        <v>15</v>
      </c>
      <c r="S844">
        <v>0</v>
      </c>
      <c r="T844">
        <v>0</v>
      </c>
      <c r="U844" t="b">
        <v>0</v>
      </c>
      <c r="V844">
        <v>15.678427524856099</v>
      </c>
      <c r="Y844">
        <v>0</v>
      </c>
      <c r="Z844">
        <v>538</v>
      </c>
      <c r="AA844">
        <v>6.9377514077265695E-2</v>
      </c>
      <c r="AB844">
        <v>7.8158537131284787</v>
      </c>
      <c r="AC844">
        <v>7.1960335332967003E-3</v>
      </c>
      <c r="AD844">
        <v>0.1451243085813099</v>
      </c>
      <c r="AE844">
        <v>0</v>
      </c>
      <c r="AF844" t="b">
        <v>0</v>
      </c>
    </row>
    <row r="845" spans="1:32" x14ac:dyDescent="0.3">
      <c r="A845" t="s">
        <v>1833</v>
      </c>
      <c r="B845" t="s">
        <v>1834</v>
      </c>
      <c r="C845" t="s">
        <v>462</v>
      </c>
      <c r="D845">
        <v>967</v>
      </c>
      <c r="E845">
        <v>21612</v>
      </c>
      <c r="F845">
        <v>7</v>
      </c>
      <c r="G845">
        <v>60</v>
      </c>
      <c r="H845">
        <v>60</v>
      </c>
      <c r="I845">
        <v>1</v>
      </c>
      <c r="J845">
        <v>1</v>
      </c>
      <c r="K845" t="s">
        <v>432</v>
      </c>
      <c r="L845">
        <v>0.91968438538205977</v>
      </c>
      <c r="M845">
        <v>1</v>
      </c>
      <c r="N845">
        <v>1</v>
      </c>
      <c r="O845" t="s">
        <v>433</v>
      </c>
      <c r="P845">
        <v>0</v>
      </c>
      <c r="R845">
        <v>0</v>
      </c>
      <c r="T845">
        <v>0</v>
      </c>
      <c r="U845" t="b">
        <v>0</v>
      </c>
      <c r="V845">
        <v>10.20433964183964</v>
      </c>
      <c r="Y845">
        <v>0</v>
      </c>
      <c r="Z845">
        <v>461</v>
      </c>
      <c r="AA845">
        <v>2.9254950980086E-2</v>
      </c>
      <c r="AB845">
        <v>2.5474848846221478</v>
      </c>
      <c r="AC845">
        <v>-1.20725464316562E-2</v>
      </c>
      <c r="AD845">
        <v>5.6909773365690301E-2</v>
      </c>
      <c r="AE845">
        <v>0</v>
      </c>
      <c r="AF845" t="b">
        <v>0</v>
      </c>
    </row>
    <row r="846" spans="1:32" x14ac:dyDescent="0.3">
      <c r="A846" t="s">
        <v>1835</v>
      </c>
      <c r="B846" t="s">
        <v>1836</v>
      </c>
      <c r="C846" t="s">
        <v>431</v>
      </c>
      <c r="D846">
        <v>990</v>
      </c>
      <c r="E846">
        <v>31393</v>
      </c>
      <c r="F846">
        <v>194</v>
      </c>
      <c r="G846">
        <v>35</v>
      </c>
      <c r="H846">
        <v>1</v>
      </c>
      <c r="I846">
        <v>1.0002229796451399E-2</v>
      </c>
      <c r="J846">
        <v>0.1274125312664052</v>
      </c>
      <c r="K846" t="s">
        <v>432</v>
      </c>
      <c r="L846">
        <v>0.88997313405181733</v>
      </c>
      <c r="M846">
        <v>1</v>
      </c>
      <c r="N846">
        <v>1.9535045107564101E-2</v>
      </c>
      <c r="O846" t="s">
        <v>433</v>
      </c>
      <c r="P846">
        <v>28257</v>
      </c>
      <c r="Q846">
        <v>0.1160420426796899</v>
      </c>
      <c r="R846">
        <v>0</v>
      </c>
      <c r="T846">
        <v>0</v>
      </c>
      <c r="U846" t="b">
        <v>0</v>
      </c>
      <c r="V846">
        <v>0</v>
      </c>
      <c r="Y846">
        <v>0</v>
      </c>
      <c r="Z846">
        <v>1151</v>
      </c>
      <c r="AA846">
        <v>0</v>
      </c>
      <c r="AB846">
        <v>0</v>
      </c>
      <c r="AC846">
        <v>0</v>
      </c>
      <c r="AD846">
        <v>0</v>
      </c>
      <c r="AE846">
        <v>0</v>
      </c>
      <c r="AF846" t="b">
        <v>0</v>
      </c>
    </row>
    <row r="847" spans="1:32" x14ac:dyDescent="0.3">
      <c r="A847" t="s">
        <v>1837</v>
      </c>
      <c r="B847" t="s">
        <v>1838</v>
      </c>
      <c r="C847" t="s">
        <v>1299</v>
      </c>
      <c r="D847">
        <v>62</v>
      </c>
      <c r="E847">
        <v>3825</v>
      </c>
      <c r="F847">
        <v>241</v>
      </c>
      <c r="G847">
        <v>46</v>
      </c>
      <c r="H847">
        <v>1</v>
      </c>
      <c r="I847">
        <v>1.2287581699346401E-2</v>
      </c>
      <c r="J847">
        <v>1.6815286624203798E-2</v>
      </c>
      <c r="K847" t="s">
        <v>86</v>
      </c>
      <c r="P847">
        <v>0</v>
      </c>
      <c r="R847">
        <v>0</v>
      </c>
      <c r="T847">
        <v>0</v>
      </c>
      <c r="U847" t="b">
        <v>0</v>
      </c>
      <c r="Y847">
        <v>0</v>
      </c>
      <c r="Z847">
        <v>0</v>
      </c>
      <c r="AE847">
        <v>0</v>
      </c>
      <c r="AF847" t="b">
        <v>0</v>
      </c>
    </row>
    <row r="848" spans="1:32" x14ac:dyDescent="0.3">
      <c r="A848" t="s">
        <v>1839</v>
      </c>
      <c r="B848" t="s">
        <v>1840</v>
      </c>
      <c r="C848" t="s">
        <v>428</v>
      </c>
      <c r="D848">
        <v>168</v>
      </c>
      <c r="E848">
        <v>2482</v>
      </c>
      <c r="F848">
        <v>4</v>
      </c>
      <c r="G848">
        <v>120</v>
      </c>
      <c r="H848">
        <v>60</v>
      </c>
      <c r="I848">
        <v>1</v>
      </c>
      <c r="J848">
        <v>1</v>
      </c>
      <c r="K848" t="s">
        <v>86</v>
      </c>
      <c r="P848">
        <v>0</v>
      </c>
      <c r="R848">
        <v>0</v>
      </c>
      <c r="T848">
        <v>0</v>
      </c>
      <c r="U848" t="b">
        <v>0</v>
      </c>
      <c r="V848">
        <v>0</v>
      </c>
      <c r="Y848">
        <v>0</v>
      </c>
      <c r="Z848">
        <v>107</v>
      </c>
      <c r="AA848">
        <v>1.926782273603E-3</v>
      </c>
      <c r="AB848">
        <v>0.1869158878504672</v>
      </c>
      <c r="AC848">
        <v>0</v>
      </c>
      <c r="AD848">
        <v>0</v>
      </c>
      <c r="AE848">
        <v>0</v>
      </c>
      <c r="AF848" t="b">
        <v>0</v>
      </c>
    </row>
    <row r="849" spans="1:35" x14ac:dyDescent="0.3">
      <c r="A849" t="s">
        <v>1841</v>
      </c>
      <c r="B849" t="s">
        <v>1842</v>
      </c>
      <c r="C849" t="s">
        <v>431</v>
      </c>
      <c r="D849">
        <v>174</v>
      </c>
      <c r="E849">
        <v>901</v>
      </c>
      <c r="F849">
        <v>15</v>
      </c>
      <c r="G849">
        <v>900</v>
      </c>
      <c r="H849">
        <v>300</v>
      </c>
      <c r="I849">
        <v>1</v>
      </c>
      <c r="J849">
        <v>1</v>
      </c>
      <c r="K849" t="s">
        <v>432</v>
      </c>
      <c r="L849">
        <v>0.86713638651233016</v>
      </c>
      <c r="M849">
        <v>1</v>
      </c>
      <c r="N849">
        <v>1</v>
      </c>
      <c r="O849" t="s">
        <v>433</v>
      </c>
      <c r="P849">
        <v>0</v>
      </c>
      <c r="R849">
        <v>0</v>
      </c>
      <c r="T849">
        <v>0</v>
      </c>
      <c r="U849" t="b">
        <v>0</v>
      </c>
      <c r="Y849">
        <v>0.12682435832913941</v>
      </c>
      <c r="Z849">
        <v>43</v>
      </c>
      <c r="AA849">
        <v>0</v>
      </c>
      <c r="AB849">
        <v>0</v>
      </c>
      <c r="AE849">
        <v>0</v>
      </c>
      <c r="AF849" t="b">
        <v>0</v>
      </c>
    </row>
    <row r="850" spans="1:35" x14ac:dyDescent="0.3">
      <c r="A850" t="s">
        <v>1843</v>
      </c>
      <c r="B850" t="s">
        <v>1844</v>
      </c>
      <c r="C850" t="s">
        <v>549</v>
      </c>
      <c r="D850">
        <v>2148</v>
      </c>
      <c r="E850">
        <v>78307</v>
      </c>
      <c r="F850">
        <v>21</v>
      </c>
      <c r="G850">
        <v>60</v>
      </c>
      <c r="H850">
        <v>60</v>
      </c>
      <c r="I850">
        <v>1</v>
      </c>
      <c r="J850">
        <v>1</v>
      </c>
      <c r="K850" t="s">
        <v>86</v>
      </c>
      <c r="P850">
        <v>0</v>
      </c>
      <c r="R850">
        <v>0</v>
      </c>
      <c r="T850">
        <v>0</v>
      </c>
      <c r="U850" t="b">
        <v>0</v>
      </c>
      <c r="V850">
        <v>4.3479018293534422</v>
      </c>
      <c r="Y850">
        <v>0</v>
      </c>
      <c r="Z850">
        <v>2468</v>
      </c>
      <c r="AA850">
        <v>1.3372711480245899E-2</v>
      </c>
      <c r="AB850">
        <v>0.92787029712304803</v>
      </c>
      <c r="AC850">
        <v>-7.1246610624301002E-3</v>
      </c>
      <c r="AD850">
        <v>3.96114581583124E-2</v>
      </c>
      <c r="AE850">
        <v>0</v>
      </c>
      <c r="AF850" t="b">
        <v>0</v>
      </c>
    </row>
    <row r="851" spans="1:35" x14ac:dyDescent="0.3">
      <c r="A851" t="s">
        <v>1845</v>
      </c>
      <c r="B851" t="s">
        <v>1846</v>
      </c>
      <c r="C851" t="s">
        <v>512</v>
      </c>
      <c r="D851">
        <v>719</v>
      </c>
      <c r="E851">
        <v>4144</v>
      </c>
      <c r="F851">
        <v>78</v>
      </c>
      <c r="G851">
        <v>450</v>
      </c>
      <c r="H851">
        <v>30</v>
      </c>
      <c r="I851">
        <v>0.50193050193050193</v>
      </c>
      <c r="J851">
        <v>0.73947854649969202</v>
      </c>
      <c r="K851" t="s">
        <v>86</v>
      </c>
      <c r="P851">
        <v>0</v>
      </c>
      <c r="R851">
        <v>0</v>
      </c>
      <c r="T851">
        <v>1</v>
      </c>
      <c r="U851" t="b">
        <v>0</v>
      </c>
      <c r="V851">
        <v>0</v>
      </c>
      <c r="W851">
        <v>2.8496357985734759</v>
      </c>
      <c r="Y851">
        <v>0</v>
      </c>
      <c r="Z851">
        <v>36</v>
      </c>
      <c r="AA851">
        <v>2.91393266835193E-2</v>
      </c>
      <c r="AB851">
        <v>13.64529914529915</v>
      </c>
      <c r="AC851">
        <v>3.6942424837885603E-2</v>
      </c>
      <c r="AD851">
        <v>0.1072902338376891</v>
      </c>
      <c r="AE851">
        <v>1</v>
      </c>
      <c r="AF851" t="b">
        <v>1</v>
      </c>
      <c r="AG851">
        <v>4.4195744718110002E-4</v>
      </c>
      <c r="AH851">
        <v>0.1034882433478876</v>
      </c>
      <c r="AI851" t="b">
        <v>1</v>
      </c>
    </row>
    <row r="852" spans="1:35" x14ac:dyDescent="0.3">
      <c r="A852" t="s">
        <v>1847</v>
      </c>
      <c r="B852" t="s">
        <v>1848</v>
      </c>
      <c r="C852" t="s">
        <v>431</v>
      </c>
      <c r="D852">
        <v>575</v>
      </c>
      <c r="E852">
        <v>21907</v>
      </c>
      <c r="F852">
        <v>234</v>
      </c>
      <c r="G852">
        <v>61</v>
      </c>
      <c r="H852">
        <v>1</v>
      </c>
      <c r="I852">
        <v>2.6429908248505E-2</v>
      </c>
      <c r="J852">
        <v>0.1705364291433146</v>
      </c>
      <c r="K852" t="s">
        <v>432</v>
      </c>
      <c r="L852">
        <v>0.83800373632239122</v>
      </c>
      <c r="M852">
        <v>1</v>
      </c>
      <c r="N852">
        <v>1.0191082802547701E-2</v>
      </c>
      <c r="O852" t="s">
        <v>433</v>
      </c>
      <c r="P852">
        <v>18648</v>
      </c>
      <c r="Q852">
        <v>1</v>
      </c>
      <c r="R852">
        <v>0</v>
      </c>
      <c r="T852">
        <v>0</v>
      </c>
      <c r="U852" t="b">
        <v>0</v>
      </c>
      <c r="V852">
        <v>9.9561109378249117</v>
      </c>
      <c r="Y852">
        <v>0</v>
      </c>
      <c r="Z852">
        <v>716</v>
      </c>
      <c r="AA852">
        <v>2.49079927867112E-2</v>
      </c>
      <c r="AB852">
        <v>2.2286154042264381</v>
      </c>
      <c r="AC852">
        <v>2.1895767025136002E-3</v>
      </c>
      <c r="AD852">
        <v>6.9567633779550206E-2</v>
      </c>
      <c r="AE852">
        <v>0</v>
      </c>
      <c r="AF852" t="b">
        <v>0</v>
      </c>
    </row>
    <row r="853" spans="1:35" x14ac:dyDescent="0.3">
      <c r="A853" t="s">
        <v>1849</v>
      </c>
      <c r="B853" t="s">
        <v>1850</v>
      </c>
      <c r="C853" t="s">
        <v>431</v>
      </c>
      <c r="D853">
        <v>680</v>
      </c>
      <c r="E853">
        <v>16940</v>
      </c>
      <c r="F853">
        <v>8</v>
      </c>
      <c r="G853">
        <v>60</v>
      </c>
      <c r="H853">
        <v>60</v>
      </c>
      <c r="I853">
        <v>1</v>
      </c>
      <c r="J853">
        <v>1</v>
      </c>
      <c r="K853" t="s">
        <v>86</v>
      </c>
      <c r="P853">
        <v>0</v>
      </c>
      <c r="R853">
        <v>0</v>
      </c>
      <c r="T853">
        <v>0</v>
      </c>
      <c r="U853" t="b">
        <v>0</v>
      </c>
      <c r="V853">
        <v>10.68928571428572</v>
      </c>
      <c r="Y853">
        <v>0</v>
      </c>
      <c r="Z853">
        <v>762</v>
      </c>
      <c r="AA853">
        <v>2.3512252912479999E-3</v>
      </c>
      <c r="AB853">
        <v>0.2269545852223018</v>
      </c>
      <c r="AC853">
        <v>-1.8769920906622502E-2</v>
      </c>
      <c r="AD853">
        <v>1.8497064695464499E-2</v>
      </c>
      <c r="AE853">
        <v>0</v>
      </c>
      <c r="AF853" t="b">
        <v>0</v>
      </c>
    </row>
    <row r="854" spans="1:35" x14ac:dyDescent="0.3">
      <c r="A854" t="s">
        <v>1851</v>
      </c>
      <c r="B854" t="s">
        <v>1852</v>
      </c>
      <c r="C854" t="s">
        <v>431</v>
      </c>
      <c r="D854">
        <v>64</v>
      </c>
      <c r="E854">
        <v>1024</v>
      </c>
      <c r="F854">
        <v>5</v>
      </c>
      <c r="G854">
        <v>60</v>
      </c>
      <c r="H854">
        <v>60</v>
      </c>
      <c r="I854">
        <v>1</v>
      </c>
      <c r="J854">
        <v>1</v>
      </c>
      <c r="K854" t="s">
        <v>432</v>
      </c>
      <c r="L854">
        <v>0.88235294117647056</v>
      </c>
      <c r="M854">
        <v>1</v>
      </c>
      <c r="N854">
        <v>1</v>
      </c>
      <c r="O854" t="s">
        <v>433</v>
      </c>
      <c r="P854">
        <v>0</v>
      </c>
      <c r="R854">
        <v>0</v>
      </c>
      <c r="T854">
        <v>0</v>
      </c>
      <c r="U854" t="b">
        <v>0</v>
      </c>
      <c r="Y854">
        <v>0</v>
      </c>
      <c r="Z854">
        <v>64</v>
      </c>
      <c r="AA854">
        <v>0</v>
      </c>
      <c r="AB854">
        <v>0</v>
      </c>
      <c r="AC854">
        <v>0</v>
      </c>
      <c r="AE854">
        <v>0</v>
      </c>
      <c r="AF854" t="b">
        <v>0</v>
      </c>
    </row>
    <row r="855" spans="1:35" x14ac:dyDescent="0.3">
      <c r="A855" t="s">
        <v>1853</v>
      </c>
      <c r="B855" t="s">
        <v>1854</v>
      </c>
      <c r="C855" t="s">
        <v>431</v>
      </c>
      <c r="D855">
        <v>66</v>
      </c>
      <c r="E855">
        <v>1891</v>
      </c>
      <c r="F855">
        <v>113</v>
      </c>
      <c r="G855">
        <v>135</v>
      </c>
      <c r="H855">
        <v>1</v>
      </c>
      <c r="I855">
        <v>0.1179270227392913</v>
      </c>
      <c r="J855">
        <v>0.35666836995401119</v>
      </c>
      <c r="K855" t="s">
        <v>432</v>
      </c>
      <c r="L855">
        <v>0.64690853346959631</v>
      </c>
      <c r="M855">
        <v>1</v>
      </c>
      <c r="N855">
        <v>5.5292259083728002E-3</v>
      </c>
      <c r="O855" t="s">
        <v>518</v>
      </c>
      <c r="P855">
        <v>1259</v>
      </c>
      <c r="Q855">
        <v>2.9388403494837099E-2</v>
      </c>
      <c r="R855">
        <v>0</v>
      </c>
      <c r="T855">
        <v>0</v>
      </c>
      <c r="U855" t="b">
        <v>0</v>
      </c>
      <c r="V855">
        <v>0</v>
      </c>
      <c r="Y855">
        <v>0</v>
      </c>
      <c r="Z855">
        <v>102</v>
      </c>
      <c r="AA855">
        <v>0</v>
      </c>
      <c r="AB855">
        <v>0</v>
      </c>
      <c r="AC855">
        <v>0</v>
      </c>
      <c r="AD855">
        <v>0</v>
      </c>
      <c r="AE855">
        <v>0</v>
      </c>
      <c r="AF855" t="b">
        <v>0</v>
      </c>
    </row>
    <row r="856" spans="1:35" x14ac:dyDescent="0.3">
      <c r="A856" t="s">
        <v>1855</v>
      </c>
      <c r="B856" t="s">
        <v>1856</v>
      </c>
      <c r="C856" t="s">
        <v>431</v>
      </c>
      <c r="D856">
        <v>149</v>
      </c>
      <c r="E856">
        <v>513</v>
      </c>
      <c r="F856">
        <v>6</v>
      </c>
      <c r="G856">
        <v>240</v>
      </c>
      <c r="H856">
        <v>60</v>
      </c>
      <c r="I856">
        <v>1</v>
      </c>
      <c r="J856">
        <v>1</v>
      </c>
      <c r="K856" t="s">
        <v>432</v>
      </c>
      <c r="L856">
        <v>0.54984894259818728</v>
      </c>
      <c r="M856">
        <v>1</v>
      </c>
      <c r="N856">
        <v>1</v>
      </c>
      <c r="O856" t="s">
        <v>433</v>
      </c>
      <c r="P856">
        <v>0</v>
      </c>
      <c r="R856">
        <v>0</v>
      </c>
      <c r="T856">
        <v>0</v>
      </c>
      <c r="U856" t="b">
        <v>0</v>
      </c>
      <c r="V856">
        <v>0</v>
      </c>
      <c r="Y856">
        <v>0</v>
      </c>
      <c r="Z856">
        <v>20</v>
      </c>
      <c r="AA856">
        <v>0</v>
      </c>
      <c r="AB856">
        <v>0</v>
      </c>
      <c r="AC856">
        <v>0</v>
      </c>
      <c r="AD856">
        <v>0</v>
      </c>
      <c r="AE856">
        <v>0</v>
      </c>
      <c r="AF856" t="b">
        <v>0</v>
      </c>
    </row>
    <row r="857" spans="1:35" x14ac:dyDescent="0.3">
      <c r="A857" t="s">
        <v>1857</v>
      </c>
      <c r="B857" t="s">
        <v>1858</v>
      </c>
      <c r="C857" t="s">
        <v>431</v>
      </c>
      <c r="D857">
        <v>296</v>
      </c>
      <c r="E857">
        <v>7874</v>
      </c>
      <c r="F857">
        <v>111</v>
      </c>
      <c r="G857">
        <v>51</v>
      </c>
      <c r="H857">
        <v>1</v>
      </c>
      <c r="I857">
        <v>2.46380492760985E-2</v>
      </c>
      <c r="J857">
        <v>0.2221542227662178</v>
      </c>
      <c r="K857" t="s">
        <v>432</v>
      </c>
      <c r="L857">
        <v>0.77919216646266831</v>
      </c>
      <c r="M857">
        <v>0.98503325942350317</v>
      </c>
      <c r="N857">
        <v>5.9692114357523997E-3</v>
      </c>
      <c r="O857" t="s">
        <v>433</v>
      </c>
      <c r="P857">
        <v>6328</v>
      </c>
      <c r="Q857">
        <v>0.99573324905183325</v>
      </c>
      <c r="R857">
        <v>27</v>
      </c>
      <c r="S857">
        <v>0</v>
      </c>
      <c r="T857">
        <v>0</v>
      </c>
      <c r="U857" t="b">
        <v>0</v>
      </c>
      <c r="V857">
        <v>0.33879781420765021</v>
      </c>
      <c r="Y857">
        <v>0</v>
      </c>
      <c r="Z857">
        <v>305</v>
      </c>
      <c r="AA857">
        <v>3.7956342722227569E-19</v>
      </c>
      <c r="AB857">
        <v>2.3296483139675419E-17</v>
      </c>
      <c r="AC857">
        <v>7.5912685444455158E-19</v>
      </c>
      <c r="AD857">
        <v>0</v>
      </c>
      <c r="AE857">
        <v>0</v>
      </c>
      <c r="AF857" t="b">
        <v>0</v>
      </c>
    </row>
    <row r="858" spans="1:35" x14ac:dyDescent="0.3">
      <c r="A858" t="s">
        <v>1859</v>
      </c>
      <c r="B858" t="s">
        <v>1860</v>
      </c>
      <c r="C858" t="s">
        <v>431</v>
      </c>
      <c r="D858">
        <v>76</v>
      </c>
      <c r="E858">
        <v>1386</v>
      </c>
      <c r="F858">
        <v>21</v>
      </c>
      <c r="G858">
        <v>60</v>
      </c>
      <c r="H858">
        <v>60</v>
      </c>
      <c r="I858">
        <v>0.99855699855699842</v>
      </c>
      <c r="J858">
        <v>0.99947889525794675</v>
      </c>
      <c r="K858" t="s">
        <v>432</v>
      </c>
      <c r="L858">
        <v>0.68327402135231319</v>
      </c>
      <c r="M858">
        <v>1</v>
      </c>
      <c r="N858">
        <v>0.99922839506172845</v>
      </c>
      <c r="O858" t="s">
        <v>433</v>
      </c>
      <c r="P858">
        <v>1</v>
      </c>
      <c r="Q858">
        <v>0</v>
      </c>
      <c r="R858">
        <v>0</v>
      </c>
      <c r="T858">
        <v>0</v>
      </c>
      <c r="U858" t="b">
        <v>0</v>
      </c>
      <c r="Y858">
        <v>2.4402643619725401E-2</v>
      </c>
      <c r="Z858">
        <v>24</v>
      </c>
      <c r="AA858">
        <v>5.6722689075630203E-2</v>
      </c>
      <c r="AB858">
        <v>8.8392857142857135</v>
      </c>
      <c r="AD858">
        <v>0</v>
      </c>
      <c r="AE858">
        <v>0</v>
      </c>
      <c r="AF858" t="b">
        <v>0</v>
      </c>
    </row>
    <row r="859" spans="1:35" x14ac:dyDescent="0.3">
      <c r="A859" t="s">
        <v>1861</v>
      </c>
      <c r="B859" t="s">
        <v>1862</v>
      </c>
      <c r="C859" t="s">
        <v>599</v>
      </c>
      <c r="D859">
        <v>15097</v>
      </c>
      <c r="E859">
        <v>641625</v>
      </c>
      <c r="F859">
        <v>722</v>
      </c>
      <c r="G859">
        <v>67</v>
      </c>
      <c r="H859">
        <v>1</v>
      </c>
      <c r="I859">
        <v>1.8501461133839801E-2</v>
      </c>
      <c r="J859">
        <v>6.0465888206928699E-2</v>
      </c>
      <c r="K859" t="s">
        <v>86</v>
      </c>
      <c r="P859">
        <v>0</v>
      </c>
      <c r="R859">
        <v>0</v>
      </c>
      <c r="T859">
        <v>0</v>
      </c>
      <c r="U859" t="b">
        <v>0</v>
      </c>
      <c r="V859">
        <v>4.564262037220475</v>
      </c>
      <c r="Y859">
        <v>0</v>
      </c>
      <c r="Z859">
        <v>14668</v>
      </c>
      <c r="AA859">
        <v>-2.1136404710748499E-2</v>
      </c>
      <c r="AB859">
        <v>-1.6631424906720751</v>
      </c>
      <c r="AC859">
        <v>-4.1638921253445899E-2</v>
      </c>
      <c r="AD859">
        <v>-3.1924535551437999E-3</v>
      </c>
      <c r="AE859">
        <v>0</v>
      </c>
      <c r="AF859" t="b">
        <v>0</v>
      </c>
    </row>
    <row r="860" spans="1:35" x14ac:dyDescent="0.3">
      <c r="A860" t="s">
        <v>1863</v>
      </c>
      <c r="B860" t="s">
        <v>1864</v>
      </c>
      <c r="C860" t="s">
        <v>620</v>
      </c>
      <c r="D860">
        <v>71564</v>
      </c>
      <c r="E860">
        <v>1845552</v>
      </c>
      <c r="F860">
        <v>37</v>
      </c>
      <c r="G860">
        <v>60</v>
      </c>
      <c r="H860">
        <v>60</v>
      </c>
      <c r="I860">
        <v>1</v>
      </c>
      <c r="J860">
        <v>1</v>
      </c>
      <c r="K860" t="s">
        <v>86</v>
      </c>
      <c r="P860">
        <v>0</v>
      </c>
      <c r="R860">
        <v>0</v>
      </c>
      <c r="T860">
        <v>1</v>
      </c>
      <c r="U860" t="b">
        <v>1</v>
      </c>
      <c r="V860">
        <v>5.6591016612354572</v>
      </c>
      <c r="W860">
        <v>0.75465895841271724</v>
      </c>
      <c r="X860" t="b">
        <v>1</v>
      </c>
      <c r="Y860">
        <v>0</v>
      </c>
      <c r="Z860">
        <v>25790</v>
      </c>
      <c r="AA860">
        <v>3.01121560425043E-2</v>
      </c>
      <c r="AB860">
        <v>3.1440023351863942</v>
      </c>
      <c r="AC860">
        <v>3.1192838599001401E-2</v>
      </c>
      <c r="AD860">
        <v>2.9748132328526099E-2</v>
      </c>
      <c r="AE860">
        <v>1</v>
      </c>
      <c r="AF860" t="b">
        <v>1</v>
      </c>
      <c r="AG860">
        <v>-3.4333808706303338E-5</v>
      </c>
      <c r="AH860">
        <v>-3.3391157324245998E-3</v>
      </c>
      <c r="AI860" t="b">
        <v>1</v>
      </c>
    </row>
    <row r="861" spans="1:35" x14ac:dyDescent="0.3">
      <c r="A861" t="s">
        <v>1865</v>
      </c>
      <c r="B861" t="s">
        <v>1866</v>
      </c>
      <c r="C861" t="s">
        <v>1278</v>
      </c>
      <c r="D861">
        <v>7601</v>
      </c>
      <c r="E861">
        <v>25200</v>
      </c>
      <c r="F861">
        <v>55</v>
      </c>
      <c r="G861">
        <v>660</v>
      </c>
      <c r="H861">
        <v>60</v>
      </c>
      <c r="I861">
        <v>1</v>
      </c>
      <c r="J861">
        <v>1</v>
      </c>
      <c r="K861" t="s">
        <v>86</v>
      </c>
      <c r="P861">
        <v>0</v>
      </c>
      <c r="R861">
        <v>0</v>
      </c>
      <c r="T861">
        <v>1</v>
      </c>
      <c r="U861" t="b">
        <v>1</v>
      </c>
      <c r="V861">
        <v>24.648162948162948</v>
      </c>
      <c r="W861">
        <v>5.2570734423852281</v>
      </c>
      <c r="X861" t="b">
        <v>1</v>
      </c>
      <c r="Y861">
        <v>0</v>
      </c>
      <c r="Z861">
        <v>610</v>
      </c>
      <c r="AA861">
        <v>6.5708188255010997E-3</v>
      </c>
      <c r="AB861">
        <v>4.5429663312486834</v>
      </c>
      <c r="AC861">
        <v>-1.5164132583935E-3</v>
      </c>
      <c r="AD861">
        <v>1.32603351468759E-2</v>
      </c>
      <c r="AE861">
        <v>1</v>
      </c>
      <c r="AF861" t="b">
        <v>1</v>
      </c>
      <c r="AG861">
        <v>1.312497067729E-4</v>
      </c>
      <c r="AH861">
        <v>0.1047410676441716</v>
      </c>
      <c r="AI861" t="b">
        <v>1</v>
      </c>
    </row>
    <row r="862" spans="1:35" x14ac:dyDescent="0.3">
      <c r="A862" t="s">
        <v>1867</v>
      </c>
      <c r="B862" t="s">
        <v>1868</v>
      </c>
      <c r="C862" t="s">
        <v>512</v>
      </c>
      <c r="D862">
        <v>49073</v>
      </c>
      <c r="E862">
        <v>1034861</v>
      </c>
      <c r="F862">
        <v>116</v>
      </c>
      <c r="G862">
        <v>60</v>
      </c>
      <c r="H862">
        <v>3</v>
      </c>
      <c r="I862">
        <v>0.92345735320975475</v>
      </c>
      <c r="J862">
        <v>0.92559832068440584</v>
      </c>
      <c r="K862" t="s">
        <v>86</v>
      </c>
      <c r="P862">
        <v>0</v>
      </c>
      <c r="R862">
        <v>0</v>
      </c>
      <c r="T862">
        <v>3</v>
      </c>
      <c r="U862" t="b">
        <v>1</v>
      </c>
      <c r="V862">
        <v>5.0402310555623098</v>
      </c>
      <c r="W862">
        <v>15.31707317073171</v>
      </c>
      <c r="X862" t="b">
        <v>0</v>
      </c>
      <c r="Y862">
        <v>0</v>
      </c>
      <c r="Z862">
        <v>18343</v>
      </c>
      <c r="AA862">
        <v>1.1396893543637401E-2</v>
      </c>
      <c r="AB862">
        <v>1.0837618334156189</v>
      </c>
      <c r="AC862">
        <v>7.0302335392800003E-3</v>
      </c>
      <c r="AD862">
        <v>3.0352395302613099E-2</v>
      </c>
      <c r="AE862">
        <v>3</v>
      </c>
      <c r="AF862" t="b">
        <v>1</v>
      </c>
      <c r="AG862">
        <v>5.4899446169890996E-3</v>
      </c>
      <c r="AH862">
        <v>0.49669287120854938</v>
      </c>
      <c r="AI862" t="b">
        <v>1</v>
      </c>
    </row>
    <row r="863" spans="1:35" x14ac:dyDescent="0.3">
      <c r="A863" t="s">
        <v>1869</v>
      </c>
      <c r="B863" t="s">
        <v>1870</v>
      </c>
      <c r="C863" t="s">
        <v>1247</v>
      </c>
      <c r="D863">
        <v>12392</v>
      </c>
      <c r="E863">
        <v>292253</v>
      </c>
      <c r="F863">
        <v>188</v>
      </c>
      <c r="G863">
        <v>90</v>
      </c>
      <c r="H863">
        <v>1</v>
      </c>
      <c r="I863">
        <v>0.96038364020215361</v>
      </c>
      <c r="J863">
        <v>0.95948781935885363</v>
      </c>
      <c r="K863" t="s">
        <v>432</v>
      </c>
      <c r="L863">
        <v>1.2445748284739999E-3</v>
      </c>
      <c r="M863">
        <v>0.95945005165699759</v>
      </c>
      <c r="N863">
        <v>0.98979591836734682</v>
      </c>
      <c r="O863" t="s">
        <v>433</v>
      </c>
      <c r="P863">
        <v>4</v>
      </c>
      <c r="Q863">
        <v>1</v>
      </c>
      <c r="R863">
        <v>12666</v>
      </c>
      <c r="S863">
        <v>6.5056055581872704E-2</v>
      </c>
      <c r="T863">
        <v>1</v>
      </c>
      <c r="U863" t="b">
        <v>1</v>
      </c>
      <c r="V863">
        <v>13.16002865220614</v>
      </c>
      <c r="W863">
        <v>2.2056844889214831</v>
      </c>
      <c r="X863" t="b">
        <v>1</v>
      </c>
      <c r="Y863">
        <v>0</v>
      </c>
      <c r="Z863">
        <v>5355</v>
      </c>
      <c r="AA863">
        <v>3.72728445285469E-2</v>
      </c>
      <c r="AB863">
        <v>3.6277194232294581</v>
      </c>
      <c r="AC863">
        <v>2.0840831342932801E-2</v>
      </c>
      <c r="AD863">
        <v>6.7948709075117603E-2</v>
      </c>
      <c r="AE863">
        <v>1</v>
      </c>
      <c r="AF863" t="b">
        <v>1</v>
      </c>
      <c r="AG863">
        <v>-6.6064469973260004E-4</v>
      </c>
      <c r="AH863">
        <v>-7.0341476121823093E-2</v>
      </c>
      <c r="AI863" t="b">
        <v>1</v>
      </c>
    </row>
    <row r="864" spans="1:35" x14ac:dyDescent="0.3">
      <c r="A864" t="s">
        <v>1871</v>
      </c>
      <c r="B864" t="s">
        <v>1872</v>
      </c>
      <c r="C864" t="s">
        <v>935</v>
      </c>
      <c r="D864">
        <v>100</v>
      </c>
      <c r="E864">
        <v>1691</v>
      </c>
      <c r="F864">
        <v>32</v>
      </c>
      <c r="G864">
        <v>300</v>
      </c>
      <c r="H864">
        <v>60</v>
      </c>
      <c r="I864">
        <v>0.99822590183323479</v>
      </c>
      <c r="J864">
        <v>0.77498604131769966</v>
      </c>
      <c r="K864" t="s">
        <v>86</v>
      </c>
      <c r="P864">
        <v>0</v>
      </c>
      <c r="R864">
        <v>0</v>
      </c>
      <c r="T864">
        <v>0</v>
      </c>
      <c r="U864" t="b">
        <v>0</v>
      </c>
      <c r="Y864">
        <v>0</v>
      </c>
      <c r="Z864">
        <v>0</v>
      </c>
      <c r="AE864">
        <v>0</v>
      </c>
      <c r="AF864" t="b">
        <v>0</v>
      </c>
    </row>
    <row r="865" spans="1:35" x14ac:dyDescent="0.3">
      <c r="A865" t="s">
        <v>1873</v>
      </c>
      <c r="B865" t="s">
        <v>1874</v>
      </c>
      <c r="C865" t="s">
        <v>689</v>
      </c>
      <c r="D865">
        <v>29815</v>
      </c>
      <c r="E865">
        <v>569066</v>
      </c>
      <c r="F865">
        <v>889</v>
      </c>
      <c r="G865">
        <v>78</v>
      </c>
      <c r="H865">
        <v>1</v>
      </c>
      <c r="I865">
        <v>4.0689480657779498E-2</v>
      </c>
      <c r="J865">
        <v>0.24583854453282639</v>
      </c>
      <c r="K865" t="s">
        <v>432</v>
      </c>
      <c r="L865">
        <v>0.77743425550719558</v>
      </c>
      <c r="M865">
        <v>0.99997002982032879</v>
      </c>
      <c r="N865">
        <v>2.9943973024684399E-2</v>
      </c>
      <c r="O865" t="s">
        <v>433</v>
      </c>
      <c r="P865">
        <v>451861</v>
      </c>
      <c r="Q865">
        <v>1.0735602320182501E-2</v>
      </c>
      <c r="R865">
        <v>3</v>
      </c>
      <c r="S865">
        <v>0</v>
      </c>
      <c r="T865">
        <v>3</v>
      </c>
      <c r="U865" t="b">
        <v>1</v>
      </c>
      <c r="V865">
        <v>9.1717079197977061</v>
      </c>
      <c r="W865">
        <v>0.4695074171147558</v>
      </c>
      <c r="X865" t="b">
        <v>1</v>
      </c>
      <c r="Y865">
        <v>0</v>
      </c>
      <c r="Z865">
        <v>10452</v>
      </c>
      <c r="AA865">
        <v>6.6329690556869297E-2</v>
      </c>
      <c r="AB865">
        <v>6.4478403972586289</v>
      </c>
      <c r="AC865">
        <v>4.8272440551094399E-2</v>
      </c>
      <c r="AD865">
        <v>8.4971512671806901E-2</v>
      </c>
      <c r="AE865">
        <v>3</v>
      </c>
      <c r="AF865" t="b">
        <v>1</v>
      </c>
      <c r="AG865">
        <v>8.1201209495703995E-3</v>
      </c>
      <c r="AH865">
        <v>0.98372420675687577</v>
      </c>
      <c r="AI865" t="b">
        <v>1</v>
      </c>
    </row>
    <row r="866" spans="1:35" x14ac:dyDescent="0.3">
      <c r="A866" t="s">
        <v>1875</v>
      </c>
      <c r="B866" t="s">
        <v>1876</v>
      </c>
      <c r="C866" t="s">
        <v>689</v>
      </c>
      <c r="D866">
        <v>6038</v>
      </c>
      <c r="E866">
        <v>177219</v>
      </c>
      <c r="F866">
        <v>788</v>
      </c>
      <c r="G866">
        <v>71</v>
      </c>
      <c r="H866">
        <v>1</v>
      </c>
      <c r="I866">
        <v>2.1346469622331599E-2</v>
      </c>
      <c r="J866">
        <v>0.19669653283277491</v>
      </c>
      <c r="K866" t="s">
        <v>432</v>
      </c>
      <c r="L866">
        <v>0.81685783195643391</v>
      </c>
      <c r="M866">
        <v>0.99982123171349402</v>
      </c>
      <c r="N866">
        <v>1.6633377644473198E-2</v>
      </c>
      <c r="O866" t="s">
        <v>433</v>
      </c>
      <c r="P866">
        <v>147156</v>
      </c>
      <c r="Q866">
        <v>3.0165266791704001E-2</v>
      </c>
      <c r="R866">
        <v>3</v>
      </c>
      <c r="S866">
        <v>0</v>
      </c>
      <c r="T866">
        <v>1</v>
      </c>
      <c r="U866" t="b">
        <v>1</v>
      </c>
      <c r="V866">
        <v>7.2819014409294027</v>
      </c>
      <c r="W866">
        <v>1.596491228070176</v>
      </c>
      <c r="X866" t="b">
        <v>1</v>
      </c>
      <c r="Y866">
        <v>0</v>
      </c>
      <c r="Z866">
        <v>3600</v>
      </c>
      <c r="AA866">
        <v>4.1279669708187999E-2</v>
      </c>
      <c r="AB866">
        <v>3.6391083410825038</v>
      </c>
      <c r="AC866">
        <v>3.0075207286395299E-2</v>
      </c>
      <c r="AD866">
        <v>5.2192993011654101E-2</v>
      </c>
      <c r="AE866">
        <v>1</v>
      </c>
      <c r="AF866" t="b">
        <v>1</v>
      </c>
      <c r="AG866">
        <v>-2.6621233095515998E-3</v>
      </c>
      <c r="AH866">
        <v>-0.85616438356164382</v>
      </c>
      <c r="AI866" t="b">
        <v>1</v>
      </c>
    </row>
    <row r="867" spans="1:35" x14ac:dyDescent="0.3">
      <c r="A867" t="s">
        <v>1877</v>
      </c>
      <c r="B867" t="s">
        <v>1878</v>
      </c>
      <c r="C867" t="s">
        <v>689</v>
      </c>
      <c r="D867">
        <v>2987</v>
      </c>
      <c r="E867">
        <v>72384</v>
      </c>
      <c r="F867">
        <v>447</v>
      </c>
      <c r="G867">
        <v>71</v>
      </c>
      <c r="H867">
        <v>1</v>
      </c>
      <c r="I867">
        <v>7.12864721485411E-2</v>
      </c>
      <c r="J867">
        <v>0.31627956333152052</v>
      </c>
      <c r="K867" t="s">
        <v>432</v>
      </c>
      <c r="L867">
        <v>0.69422594808261151</v>
      </c>
      <c r="M867">
        <v>1</v>
      </c>
      <c r="N867">
        <v>1.51326977090777E-2</v>
      </c>
      <c r="O867" t="s">
        <v>433</v>
      </c>
      <c r="P867">
        <v>51541</v>
      </c>
      <c r="Q867">
        <v>4.0744261849789402E-2</v>
      </c>
      <c r="R867">
        <v>0</v>
      </c>
      <c r="T867">
        <v>0</v>
      </c>
      <c r="U867" t="b">
        <v>0</v>
      </c>
      <c r="V867">
        <v>9.2567720028821583</v>
      </c>
      <c r="Y867">
        <v>0</v>
      </c>
      <c r="Z867">
        <v>1472</v>
      </c>
      <c r="AA867">
        <v>2.8948147950432199E-2</v>
      </c>
      <c r="AB867">
        <v>2.5974722409238611</v>
      </c>
      <c r="AC867">
        <v>2.47125453813874E-2</v>
      </c>
      <c r="AD867">
        <v>3.4052913462765497E-2</v>
      </c>
      <c r="AE867">
        <v>0</v>
      </c>
      <c r="AF867" t="b">
        <v>0</v>
      </c>
    </row>
    <row r="868" spans="1:35" x14ac:dyDescent="0.3">
      <c r="A868" t="s">
        <v>1879</v>
      </c>
      <c r="B868" t="s">
        <v>1880</v>
      </c>
      <c r="C868" t="s">
        <v>431</v>
      </c>
      <c r="D868">
        <v>767</v>
      </c>
      <c r="E868">
        <v>31479</v>
      </c>
      <c r="F868">
        <v>263</v>
      </c>
      <c r="G868">
        <v>43</v>
      </c>
      <c r="H868">
        <v>1</v>
      </c>
      <c r="I868">
        <v>1.48988214365132E-2</v>
      </c>
      <c r="J868">
        <v>0.1251317992929355</v>
      </c>
      <c r="K868" t="s">
        <v>432</v>
      </c>
      <c r="L868">
        <v>0.88935061713080688</v>
      </c>
      <c r="M868">
        <v>0.99971973094170397</v>
      </c>
      <c r="N868">
        <v>1.6319129646418799E-2</v>
      </c>
      <c r="O868" t="s">
        <v>433</v>
      </c>
      <c r="P868">
        <v>28210</v>
      </c>
      <c r="Q868">
        <v>0.13984402694080111</v>
      </c>
      <c r="R868">
        <v>0</v>
      </c>
      <c r="T868">
        <v>0</v>
      </c>
      <c r="U868" t="b">
        <v>0</v>
      </c>
      <c r="V868">
        <v>1.9544895448954489</v>
      </c>
      <c r="Y868">
        <v>0</v>
      </c>
      <c r="Z868">
        <v>1544</v>
      </c>
      <c r="AA868">
        <v>-3.2533622654264001E-3</v>
      </c>
      <c r="AB868">
        <v>-0.17870168116282101</v>
      </c>
      <c r="AC868">
        <v>-1.2727018060648E-3</v>
      </c>
      <c r="AD868">
        <v>7.9059389707573993E-3</v>
      </c>
      <c r="AE868">
        <v>0</v>
      </c>
      <c r="AF868" t="b">
        <v>0</v>
      </c>
    </row>
    <row r="869" spans="1:35" x14ac:dyDescent="0.3">
      <c r="A869" t="s">
        <v>1881</v>
      </c>
      <c r="B869" t="s">
        <v>1882</v>
      </c>
      <c r="C869" t="s">
        <v>689</v>
      </c>
      <c r="D869">
        <v>4412</v>
      </c>
      <c r="E869">
        <v>90386</v>
      </c>
      <c r="F869">
        <v>618</v>
      </c>
      <c r="G869">
        <v>80</v>
      </c>
      <c r="H869">
        <v>1</v>
      </c>
      <c r="I869">
        <v>2.2946031465049799E-2</v>
      </c>
      <c r="J869">
        <v>0.20178464069866781</v>
      </c>
      <c r="K869" t="s">
        <v>432</v>
      </c>
      <c r="L869">
        <v>0.81134702401670733</v>
      </c>
      <c r="M869">
        <v>1</v>
      </c>
      <c r="N869">
        <v>1.61850161850161E-2</v>
      </c>
      <c r="O869" t="s">
        <v>433</v>
      </c>
      <c r="P869">
        <v>75677</v>
      </c>
      <c r="Q869">
        <v>2.2120327179988599E-2</v>
      </c>
      <c r="R869">
        <v>0</v>
      </c>
      <c r="T869">
        <v>1</v>
      </c>
      <c r="U869" t="b">
        <v>1</v>
      </c>
      <c r="V869">
        <v>7.1839752792558924</v>
      </c>
      <c r="W869">
        <v>4.0405551894913598</v>
      </c>
      <c r="X869" t="b">
        <v>1</v>
      </c>
      <c r="Y869">
        <v>0</v>
      </c>
      <c r="Z869">
        <v>1706</v>
      </c>
      <c r="AA869">
        <v>4.90628392996343E-2</v>
      </c>
      <c r="AB869">
        <v>5.0011442237665333</v>
      </c>
      <c r="AC869">
        <v>3.46359635502098E-2</v>
      </c>
      <c r="AD869">
        <v>6.5725364475392803E-2</v>
      </c>
      <c r="AE869">
        <v>1</v>
      </c>
      <c r="AF869" t="b">
        <v>1</v>
      </c>
      <c r="AG869">
        <v>4.2971795198929401E-2</v>
      </c>
      <c r="AH869">
        <v>4.153193198260265</v>
      </c>
      <c r="AI869" t="b">
        <v>1</v>
      </c>
    </row>
    <row r="870" spans="1:35" x14ac:dyDescent="0.3">
      <c r="A870" t="s">
        <v>1883</v>
      </c>
      <c r="B870" t="s">
        <v>1884</v>
      </c>
      <c r="C870" t="s">
        <v>689</v>
      </c>
      <c r="D870">
        <v>3388</v>
      </c>
      <c r="E870">
        <v>93595</v>
      </c>
      <c r="F870">
        <v>532</v>
      </c>
      <c r="G870">
        <v>68</v>
      </c>
      <c r="H870">
        <v>1</v>
      </c>
      <c r="I870">
        <v>1.9028794273198299E-2</v>
      </c>
      <c r="J870">
        <v>0.16210057432745939</v>
      </c>
      <c r="K870" t="s">
        <v>432</v>
      </c>
      <c r="L870">
        <v>0.84709691389212538</v>
      </c>
      <c r="M870">
        <v>0.97268865061703425</v>
      </c>
      <c r="N870">
        <v>1.5787423619056801E-2</v>
      </c>
      <c r="O870" t="s">
        <v>433</v>
      </c>
      <c r="P870">
        <v>80784</v>
      </c>
      <c r="Q870">
        <v>1.45325807090512E-2</v>
      </c>
      <c r="R870">
        <v>399</v>
      </c>
      <c r="S870">
        <v>1.50375939849624E-2</v>
      </c>
      <c r="T870">
        <v>0</v>
      </c>
      <c r="U870" t="b">
        <v>0</v>
      </c>
      <c r="V870">
        <v>3.330901097369102</v>
      </c>
      <c r="Y870">
        <v>0</v>
      </c>
      <c r="Z870">
        <v>1586</v>
      </c>
      <c r="AA870">
        <v>2.2665028125471599E-2</v>
      </c>
      <c r="AB870">
        <v>2.0514131406456602</v>
      </c>
      <c r="AC870">
        <v>1.2249395665495899E-2</v>
      </c>
      <c r="AD870">
        <v>3.16435381092409E-2</v>
      </c>
      <c r="AE870">
        <v>1</v>
      </c>
      <c r="AF870" t="b">
        <v>1</v>
      </c>
      <c r="AG870">
        <v>2.38397863818424E-2</v>
      </c>
      <c r="AH870">
        <v>11.80952380952381</v>
      </c>
      <c r="AI870" t="b">
        <v>0</v>
      </c>
    </row>
    <row r="871" spans="1:35" x14ac:dyDescent="0.3">
      <c r="A871" t="s">
        <v>1885</v>
      </c>
      <c r="B871" t="s">
        <v>1886</v>
      </c>
      <c r="C871" t="s">
        <v>689</v>
      </c>
      <c r="D871">
        <v>2165</v>
      </c>
      <c r="E871">
        <v>46622</v>
      </c>
      <c r="F871">
        <v>514</v>
      </c>
      <c r="G871">
        <v>74</v>
      </c>
      <c r="H871">
        <v>1</v>
      </c>
      <c r="I871">
        <v>3.3696538115052903E-2</v>
      </c>
      <c r="J871">
        <v>0.17096767581527861</v>
      </c>
      <c r="K871" t="s">
        <v>432</v>
      </c>
      <c r="L871">
        <v>0.84055178633652405</v>
      </c>
      <c r="M871">
        <v>1</v>
      </c>
      <c r="N871">
        <v>1.37046429964884E-2</v>
      </c>
      <c r="O871" t="s">
        <v>433</v>
      </c>
      <c r="P871">
        <v>40428</v>
      </c>
      <c r="Q871">
        <v>1.5657465123181901E-2</v>
      </c>
      <c r="R871">
        <v>0</v>
      </c>
      <c r="T871">
        <v>0</v>
      </c>
      <c r="U871" t="b">
        <v>0</v>
      </c>
      <c r="V871">
        <v>2.7521248233675979</v>
      </c>
      <c r="Y871">
        <v>0</v>
      </c>
      <c r="Z871">
        <v>798</v>
      </c>
      <c r="AA871">
        <v>1.6343713592856E-2</v>
      </c>
      <c r="AB871">
        <v>1.5399059173632239</v>
      </c>
      <c r="AC871">
        <v>8.4896231953221993E-3</v>
      </c>
      <c r="AD871">
        <v>1.7077409756505901E-2</v>
      </c>
      <c r="AE871">
        <v>0</v>
      </c>
      <c r="AF871" t="b">
        <v>0</v>
      </c>
    </row>
    <row r="872" spans="1:35" x14ac:dyDescent="0.3">
      <c r="A872" t="s">
        <v>1887</v>
      </c>
      <c r="B872" t="s">
        <v>1888</v>
      </c>
      <c r="C872" t="s">
        <v>689</v>
      </c>
      <c r="D872">
        <v>2871</v>
      </c>
      <c r="E872">
        <v>62869</v>
      </c>
      <c r="F872">
        <v>548</v>
      </c>
      <c r="G872">
        <v>76</v>
      </c>
      <c r="H872">
        <v>1</v>
      </c>
      <c r="I872">
        <v>6.3990201848287701E-2</v>
      </c>
      <c r="J872">
        <v>0.31031283743707511</v>
      </c>
      <c r="K872" t="s">
        <v>432</v>
      </c>
      <c r="L872">
        <v>0.7012455705443098</v>
      </c>
      <c r="M872">
        <v>1</v>
      </c>
      <c r="N872">
        <v>1.6482682339673298E-2</v>
      </c>
      <c r="O872" t="s">
        <v>433</v>
      </c>
      <c r="P872">
        <v>45349</v>
      </c>
      <c r="Q872">
        <v>3.4840900571126099E-2</v>
      </c>
      <c r="R872">
        <v>0</v>
      </c>
      <c r="T872">
        <v>0</v>
      </c>
      <c r="U872" t="b">
        <v>0</v>
      </c>
      <c r="V872">
        <v>2.0724714802121968</v>
      </c>
      <c r="Y872">
        <v>0</v>
      </c>
      <c r="Z872">
        <v>1297</v>
      </c>
      <c r="AA872">
        <v>3.1655650385897E-3</v>
      </c>
      <c r="AB872">
        <v>0.29506387521586502</v>
      </c>
      <c r="AC872">
        <v>5.6943526166725001E-3</v>
      </c>
      <c r="AD872">
        <v>1.8541606650652001E-3</v>
      </c>
      <c r="AE872">
        <v>0</v>
      </c>
      <c r="AF872" t="b">
        <v>0</v>
      </c>
    </row>
    <row r="873" spans="1:35" x14ac:dyDescent="0.3">
      <c r="A873" t="s">
        <v>1889</v>
      </c>
      <c r="B873" t="s">
        <v>1890</v>
      </c>
      <c r="C873" t="s">
        <v>689</v>
      </c>
      <c r="D873">
        <v>312</v>
      </c>
      <c r="E873">
        <v>7887</v>
      </c>
      <c r="F873">
        <v>12</v>
      </c>
      <c r="G873">
        <v>60</v>
      </c>
      <c r="H873">
        <v>60</v>
      </c>
      <c r="I873">
        <v>1</v>
      </c>
      <c r="J873">
        <v>1</v>
      </c>
      <c r="K873" t="s">
        <v>86</v>
      </c>
      <c r="P873">
        <v>0</v>
      </c>
      <c r="R873">
        <v>0</v>
      </c>
      <c r="T873">
        <v>0</v>
      </c>
      <c r="U873" t="b">
        <v>0</v>
      </c>
      <c r="V873">
        <v>1.2222222222222221</v>
      </c>
      <c r="Y873">
        <v>0</v>
      </c>
      <c r="Z873">
        <v>205</v>
      </c>
      <c r="AA873">
        <v>-1.303667018681E-3</v>
      </c>
      <c r="AB873">
        <v>-0.12473867595818811</v>
      </c>
      <c r="AC873">
        <v>-1.26760563380281E-2</v>
      </c>
      <c r="AD873">
        <v>2.9359953024074999E-3</v>
      </c>
      <c r="AE873">
        <v>0</v>
      </c>
      <c r="AF873" t="b">
        <v>0</v>
      </c>
    </row>
    <row r="874" spans="1:35" x14ac:dyDescent="0.3">
      <c r="A874" t="s">
        <v>1891</v>
      </c>
      <c r="B874" t="s">
        <v>1892</v>
      </c>
      <c r="C874" t="s">
        <v>689</v>
      </c>
      <c r="D874">
        <v>1766</v>
      </c>
      <c r="E874">
        <v>37301</v>
      </c>
      <c r="F874">
        <v>346</v>
      </c>
      <c r="G874">
        <v>64</v>
      </c>
      <c r="H874">
        <v>1</v>
      </c>
      <c r="I874">
        <v>5.0829736468191201E-2</v>
      </c>
      <c r="J874">
        <v>0.28416153039564201</v>
      </c>
      <c r="K874" t="s">
        <v>86</v>
      </c>
      <c r="P874">
        <v>0</v>
      </c>
      <c r="R874">
        <v>0</v>
      </c>
      <c r="T874">
        <v>0</v>
      </c>
      <c r="U874" t="b">
        <v>0</v>
      </c>
      <c r="V874">
        <v>3.288072363366481</v>
      </c>
      <c r="Y874">
        <v>0</v>
      </c>
      <c r="Z874">
        <v>724</v>
      </c>
      <c r="AA874">
        <v>6.4124390259202996E-3</v>
      </c>
      <c r="AB874">
        <v>0.57315988567971177</v>
      </c>
      <c r="AC874">
        <v>1.5595491750085301E-2</v>
      </c>
      <c r="AD874">
        <v>1.9207572319307001E-3</v>
      </c>
      <c r="AE874">
        <v>0</v>
      </c>
      <c r="AF874" t="b">
        <v>0</v>
      </c>
    </row>
    <row r="875" spans="1:35" x14ac:dyDescent="0.3">
      <c r="A875" t="s">
        <v>1893</v>
      </c>
      <c r="B875" t="s">
        <v>1894</v>
      </c>
      <c r="C875" t="s">
        <v>689</v>
      </c>
      <c r="D875">
        <v>15325</v>
      </c>
      <c r="E875">
        <v>323835</v>
      </c>
      <c r="F875">
        <v>640</v>
      </c>
      <c r="G875">
        <v>87</v>
      </c>
      <c r="H875">
        <v>1</v>
      </c>
      <c r="I875">
        <v>3.2059536492349501E-2</v>
      </c>
      <c r="J875">
        <v>0.24587114310815511</v>
      </c>
      <c r="K875" t="s">
        <v>432</v>
      </c>
      <c r="L875">
        <v>0.76696796561300484</v>
      </c>
      <c r="M875">
        <v>0.98947421689185755</v>
      </c>
      <c r="N875">
        <v>1.9938190456421898E-2</v>
      </c>
      <c r="O875" t="s">
        <v>433</v>
      </c>
      <c r="P875">
        <v>254680</v>
      </c>
      <c r="Q875">
        <v>1.94243756871368E-2</v>
      </c>
      <c r="R875">
        <v>830</v>
      </c>
      <c r="S875">
        <v>0</v>
      </c>
      <c r="T875">
        <v>1</v>
      </c>
      <c r="U875" t="b">
        <v>1</v>
      </c>
      <c r="V875">
        <v>5.5020345302485634</v>
      </c>
      <c r="W875">
        <v>1.404109589041096</v>
      </c>
      <c r="X875" t="b">
        <v>1</v>
      </c>
      <c r="Y875">
        <v>0</v>
      </c>
      <c r="Z875">
        <v>5942</v>
      </c>
      <c r="AA875">
        <v>2.8994719968581099E-2</v>
      </c>
      <c r="AB875">
        <v>3.1781529122878132</v>
      </c>
      <c r="AC875">
        <v>2.10401856340947E-2</v>
      </c>
      <c r="AD875">
        <v>3.7248405108018003E-2</v>
      </c>
      <c r="AE875">
        <v>1</v>
      </c>
      <c r="AF875" t="b">
        <v>1</v>
      </c>
      <c r="AG875">
        <v>-2.6114085429264E-3</v>
      </c>
      <c r="AH875">
        <v>-1.0682773109243699</v>
      </c>
      <c r="AI875" t="b">
        <v>1</v>
      </c>
    </row>
    <row r="876" spans="1:35" x14ac:dyDescent="0.3">
      <c r="A876" t="s">
        <v>1895</v>
      </c>
      <c r="B876" t="s">
        <v>1896</v>
      </c>
      <c r="C876" t="s">
        <v>689</v>
      </c>
      <c r="D876">
        <v>2653</v>
      </c>
      <c r="E876">
        <v>67664</v>
      </c>
      <c r="F876">
        <v>370</v>
      </c>
      <c r="G876">
        <v>67</v>
      </c>
      <c r="H876">
        <v>1</v>
      </c>
      <c r="I876">
        <v>3.9888271458973702E-2</v>
      </c>
      <c r="J876">
        <v>0.21723054168977629</v>
      </c>
      <c r="K876" t="s">
        <v>432</v>
      </c>
      <c r="L876">
        <v>0.79821380320548374</v>
      </c>
      <c r="M876">
        <v>1</v>
      </c>
      <c r="N876">
        <v>1.93486316989737E-2</v>
      </c>
      <c r="O876" t="s">
        <v>433</v>
      </c>
      <c r="P876">
        <v>55042</v>
      </c>
      <c r="Q876">
        <v>2.1020311761927198E-2</v>
      </c>
      <c r="R876">
        <v>0</v>
      </c>
      <c r="T876">
        <v>0</v>
      </c>
      <c r="U876" t="b">
        <v>0</v>
      </c>
      <c r="V876">
        <v>2.339444048608637</v>
      </c>
      <c r="Y876">
        <v>0</v>
      </c>
      <c r="Z876">
        <v>1721</v>
      </c>
      <c r="AA876">
        <v>1.1304009017505501E-2</v>
      </c>
      <c r="AB876">
        <v>0.90347649571416544</v>
      </c>
      <c r="AC876">
        <v>7.2258031006115003E-3</v>
      </c>
      <c r="AD876">
        <v>1.98856067891648E-2</v>
      </c>
      <c r="AE876">
        <v>0</v>
      </c>
      <c r="AF876" t="b">
        <v>0</v>
      </c>
    </row>
    <row r="877" spans="1:35" x14ac:dyDescent="0.3">
      <c r="A877" t="s">
        <v>1897</v>
      </c>
      <c r="B877" t="s">
        <v>1898</v>
      </c>
      <c r="C877" t="s">
        <v>689</v>
      </c>
      <c r="D877">
        <v>23682</v>
      </c>
      <c r="E877">
        <v>478385</v>
      </c>
      <c r="F877">
        <v>793</v>
      </c>
      <c r="G877">
        <v>72</v>
      </c>
      <c r="H877">
        <v>1</v>
      </c>
      <c r="I877">
        <v>4.8414979566667002E-2</v>
      </c>
      <c r="J877">
        <v>0.25344327384306597</v>
      </c>
      <c r="K877" t="s">
        <v>432</v>
      </c>
      <c r="L877">
        <v>0.76775697864045189</v>
      </c>
      <c r="M877">
        <v>0.99987139366399436</v>
      </c>
      <c r="N877">
        <v>2.7652136025063799E-2</v>
      </c>
      <c r="O877" t="s">
        <v>433</v>
      </c>
      <c r="P877">
        <v>371692</v>
      </c>
      <c r="Q877">
        <v>0.42377290875240792</v>
      </c>
      <c r="R877">
        <v>15</v>
      </c>
      <c r="S877">
        <v>6.6666666666666596E-2</v>
      </c>
      <c r="T877">
        <v>2</v>
      </c>
      <c r="U877" t="b">
        <v>1</v>
      </c>
      <c r="V877">
        <v>4.11884384292836</v>
      </c>
      <c r="W877">
        <v>5.5516717325227969</v>
      </c>
      <c r="X877" t="b">
        <v>0</v>
      </c>
      <c r="Y877">
        <v>0</v>
      </c>
      <c r="Z877">
        <v>8900</v>
      </c>
      <c r="AA877">
        <v>2.6042616860404402E-2</v>
      </c>
      <c r="AB877">
        <v>2.4421195580623172</v>
      </c>
      <c r="AC877">
        <v>2.5566583398261199E-2</v>
      </c>
      <c r="AD877">
        <v>3.15549084207465E-2</v>
      </c>
      <c r="AE877">
        <v>2</v>
      </c>
      <c r="AF877" t="b">
        <v>1</v>
      </c>
      <c r="AG877">
        <v>3.0089745156409602E-2</v>
      </c>
      <c r="AH877">
        <v>2.9931775731857728</v>
      </c>
      <c r="AI877" t="b">
        <v>0</v>
      </c>
    </row>
    <row r="878" spans="1:35" x14ac:dyDescent="0.3">
      <c r="A878" t="s">
        <v>1899</v>
      </c>
      <c r="B878" t="s">
        <v>1900</v>
      </c>
      <c r="C878" t="s">
        <v>689</v>
      </c>
      <c r="D878">
        <v>3385</v>
      </c>
      <c r="E878">
        <v>87310</v>
      </c>
      <c r="F878">
        <v>493</v>
      </c>
      <c r="G878">
        <v>63</v>
      </c>
      <c r="H878">
        <v>1</v>
      </c>
      <c r="I878">
        <v>5.23536822815256E-2</v>
      </c>
      <c r="J878">
        <v>0.26155220128559931</v>
      </c>
      <c r="K878" t="s">
        <v>432</v>
      </c>
      <c r="L878">
        <v>0.75033352812110654</v>
      </c>
      <c r="M878">
        <v>1</v>
      </c>
      <c r="N878">
        <v>1.58405948304997E-2</v>
      </c>
      <c r="O878" t="s">
        <v>433</v>
      </c>
      <c r="P878">
        <v>47540</v>
      </c>
      <c r="Q878">
        <v>2.5115692048801E-2</v>
      </c>
      <c r="R878">
        <v>0</v>
      </c>
      <c r="T878">
        <v>0</v>
      </c>
      <c r="U878" t="b">
        <v>0</v>
      </c>
      <c r="V878">
        <v>4.7548746939561486</v>
      </c>
      <c r="Y878">
        <v>0</v>
      </c>
      <c r="Z878">
        <v>2226</v>
      </c>
      <c r="AA878">
        <v>3.3255443947151901E-2</v>
      </c>
      <c r="AB878">
        <v>2.7830484877918371</v>
      </c>
      <c r="AC878">
        <v>3.4966468407932598E-2</v>
      </c>
      <c r="AD878">
        <v>5.59546483995172E-2</v>
      </c>
      <c r="AE878">
        <v>0</v>
      </c>
      <c r="AF878" t="b">
        <v>0</v>
      </c>
    </row>
    <row r="879" spans="1:35" x14ac:dyDescent="0.3">
      <c r="A879" t="s">
        <v>1901</v>
      </c>
      <c r="B879" t="s">
        <v>1902</v>
      </c>
      <c r="C879" t="s">
        <v>431</v>
      </c>
      <c r="D879">
        <v>1541</v>
      </c>
      <c r="E879">
        <v>73397</v>
      </c>
      <c r="F879">
        <v>353</v>
      </c>
      <c r="G879">
        <v>50</v>
      </c>
      <c r="H879">
        <v>1</v>
      </c>
      <c r="I879">
        <v>1.7180538714116299E-2</v>
      </c>
      <c r="J879">
        <v>0.1122394512797245</v>
      </c>
      <c r="K879" t="s">
        <v>432</v>
      </c>
      <c r="L879">
        <v>0.90201233019295957</v>
      </c>
      <c r="M879">
        <v>1</v>
      </c>
      <c r="N879">
        <v>1.5799985206006301E-2</v>
      </c>
      <c r="O879" t="s">
        <v>433</v>
      </c>
      <c r="P879">
        <v>49878</v>
      </c>
      <c r="Q879">
        <v>0.2106940935883555</v>
      </c>
      <c r="R879">
        <v>0</v>
      </c>
      <c r="T879">
        <v>1</v>
      </c>
      <c r="U879" t="b">
        <v>1</v>
      </c>
      <c r="V879">
        <v>7.1873001863293133</v>
      </c>
      <c r="W879">
        <v>0</v>
      </c>
      <c r="X879" t="b">
        <v>1</v>
      </c>
      <c r="Y879">
        <v>0</v>
      </c>
      <c r="Z879">
        <v>2689</v>
      </c>
      <c r="AA879">
        <v>5.5811571528573301E-2</v>
      </c>
      <c r="AB879">
        <v>3.6157648396322299</v>
      </c>
      <c r="AC879">
        <v>5.1840270031559797E-2</v>
      </c>
      <c r="AD879">
        <v>0.1089399539745935</v>
      </c>
      <c r="AE879">
        <v>1</v>
      </c>
      <c r="AF879" t="b">
        <v>1</v>
      </c>
      <c r="AG879">
        <v>0</v>
      </c>
      <c r="AH879">
        <v>0</v>
      </c>
      <c r="AI879" t="b">
        <v>1</v>
      </c>
    </row>
    <row r="880" spans="1:35" x14ac:dyDescent="0.3">
      <c r="A880" t="s">
        <v>1903</v>
      </c>
      <c r="B880" t="s">
        <v>1904</v>
      </c>
      <c r="C880" t="s">
        <v>689</v>
      </c>
      <c r="D880">
        <v>1736</v>
      </c>
      <c r="E880">
        <v>44995</v>
      </c>
      <c r="F880">
        <v>355</v>
      </c>
      <c r="G880">
        <v>72</v>
      </c>
      <c r="H880">
        <v>1</v>
      </c>
      <c r="I880">
        <v>7.0607845316146195E-2</v>
      </c>
      <c r="J880">
        <v>0.2559970897263058</v>
      </c>
      <c r="K880" t="s">
        <v>432</v>
      </c>
      <c r="L880">
        <v>0.75600778926194601</v>
      </c>
      <c r="M880">
        <v>1</v>
      </c>
      <c r="N880">
        <v>1.5879305952616801E-2</v>
      </c>
      <c r="O880" t="s">
        <v>433</v>
      </c>
      <c r="P880">
        <v>34768</v>
      </c>
      <c r="Q880">
        <v>2.04498389323515E-2</v>
      </c>
      <c r="R880">
        <v>0</v>
      </c>
      <c r="T880">
        <v>0</v>
      </c>
      <c r="U880" t="b">
        <v>0</v>
      </c>
      <c r="V880">
        <v>3.081256073858115</v>
      </c>
      <c r="Y880">
        <v>0</v>
      </c>
      <c r="Z880">
        <v>1126</v>
      </c>
      <c r="AA880">
        <v>7.2027547911852003E-3</v>
      </c>
      <c r="AB880">
        <v>0.7107677575039919</v>
      </c>
      <c r="AC880">
        <v>-1.315384123177E-3</v>
      </c>
      <c r="AD880">
        <v>9.9399182888727997E-3</v>
      </c>
      <c r="AE880">
        <v>1</v>
      </c>
      <c r="AF880" t="b">
        <v>1</v>
      </c>
      <c r="AG880">
        <v>-7.1957671957671001E-3</v>
      </c>
      <c r="AH880">
        <v>-6.3809523809523787</v>
      </c>
      <c r="AI880" t="b">
        <v>1</v>
      </c>
    </row>
    <row r="881" spans="1:32" x14ac:dyDescent="0.3">
      <c r="A881" t="s">
        <v>1905</v>
      </c>
      <c r="B881" t="s">
        <v>1906</v>
      </c>
      <c r="C881" t="s">
        <v>689</v>
      </c>
      <c r="D881">
        <v>2152</v>
      </c>
      <c r="E881">
        <v>57250</v>
      </c>
      <c r="F881">
        <v>373</v>
      </c>
      <c r="G881">
        <v>73</v>
      </c>
      <c r="H881">
        <v>1</v>
      </c>
      <c r="I881">
        <v>2.17467248908296E-2</v>
      </c>
      <c r="J881">
        <v>0.2100816292182108</v>
      </c>
      <c r="K881" t="s">
        <v>432</v>
      </c>
      <c r="L881">
        <v>0.80065639989901538</v>
      </c>
      <c r="M881">
        <v>1</v>
      </c>
      <c r="N881">
        <v>1.34115322360261E-2</v>
      </c>
      <c r="O881" t="s">
        <v>433</v>
      </c>
      <c r="P881">
        <v>46933</v>
      </c>
      <c r="Q881">
        <v>1.9943323461104102E-2</v>
      </c>
      <c r="R881">
        <v>0</v>
      </c>
      <c r="T881">
        <v>0</v>
      </c>
      <c r="U881" t="b">
        <v>0</v>
      </c>
      <c r="V881">
        <v>5.8340429180986462</v>
      </c>
      <c r="Y881">
        <v>0</v>
      </c>
      <c r="Z881">
        <v>979</v>
      </c>
      <c r="AA881">
        <v>3.0432174529206199E-2</v>
      </c>
      <c r="AB881">
        <v>2.7909018380588142</v>
      </c>
      <c r="AC881">
        <v>2.29318162482617E-2</v>
      </c>
      <c r="AD881">
        <v>4.1477614690166198E-2</v>
      </c>
      <c r="AE881">
        <v>0</v>
      </c>
      <c r="AF881" t="b">
        <v>0</v>
      </c>
    </row>
    <row r="882" spans="1:32" x14ac:dyDescent="0.3">
      <c r="A882" t="s">
        <v>1907</v>
      </c>
      <c r="B882" t="s">
        <v>1908</v>
      </c>
      <c r="C882" t="s">
        <v>689</v>
      </c>
      <c r="D882">
        <v>2556</v>
      </c>
      <c r="E882">
        <v>70692</v>
      </c>
      <c r="F882">
        <v>558</v>
      </c>
      <c r="G882">
        <v>60</v>
      </c>
      <c r="H882">
        <v>1</v>
      </c>
      <c r="I882">
        <v>6.8352854637016902E-2</v>
      </c>
      <c r="J882">
        <v>0.3025406046720942</v>
      </c>
      <c r="K882" t="s">
        <v>432</v>
      </c>
      <c r="L882">
        <v>0.7087646088177938</v>
      </c>
      <c r="M882">
        <v>1</v>
      </c>
      <c r="N882">
        <v>1.59505897292825E-2</v>
      </c>
      <c r="O882" t="s">
        <v>433</v>
      </c>
      <c r="P882">
        <v>51031</v>
      </c>
      <c r="Q882">
        <v>2.3181987419411701E-2</v>
      </c>
      <c r="R882">
        <v>0</v>
      </c>
      <c r="T882">
        <v>0</v>
      </c>
      <c r="U882" t="b">
        <v>0</v>
      </c>
      <c r="V882">
        <v>5.6594219142721283</v>
      </c>
      <c r="Y882">
        <v>0</v>
      </c>
      <c r="Z882">
        <v>1269</v>
      </c>
      <c r="AA882">
        <v>1.8326703632560701E-2</v>
      </c>
      <c r="AB882">
        <v>1.6464665773767431</v>
      </c>
      <c r="AC882">
        <v>2.3746622997709799E-2</v>
      </c>
      <c r="AD882">
        <v>2.2962464938203302E-2</v>
      </c>
      <c r="AE882">
        <v>0</v>
      </c>
      <c r="AF882" t="b">
        <v>0</v>
      </c>
    </row>
    <row r="883" spans="1:32" x14ac:dyDescent="0.3">
      <c r="A883" t="s">
        <v>1909</v>
      </c>
      <c r="B883" t="s">
        <v>1910</v>
      </c>
      <c r="C883" t="s">
        <v>689</v>
      </c>
      <c r="D883">
        <v>3608</v>
      </c>
      <c r="E883">
        <v>96907</v>
      </c>
      <c r="F883">
        <v>462</v>
      </c>
      <c r="G883">
        <v>55</v>
      </c>
      <c r="H883">
        <v>1</v>
      </c>
      <c r="I883">
        <v>2.26918592052173E-2</v>
      </c>
      <c r="J883">
        <v>0.17219630119678861</v>
      </c>
      <c r="K883" t="s">
        <v>432</v>
      </c>
      <c r="L883">
        <v>0.84250738666321789</v>
      </c>
      <c r="M883">
        <v>1</v>
      </c>
      <c r="N883">
        <v>1.7452295484602299E-2</v>
      </c>
      <c r="O883" t="s">
        <v>433</v>
      </c>
      <c r="P883">
        <v>83210</v>
      </c>
      <c r="Q883">
        <v>2.8830669390698199E-2</v>
      </c>
      <c r="R883">
        <v>0</v>
      </c>
      <c r="T883">
        <v>0</v>
      </c>
      <c r="U883" t="b">
        <v>0</v>
      </c>
      <c r="V883">
        <v>3.5358692140139678</v>
      </c>
      <c r="Y883">
        <v>0</v>
      </c>
      <c r="Z883">
        <v>2137</v>
      </c>
      <c r="AA883">
        <v>1.6170889683925001E-2</v>
      </c>
      <c r="AB883">
        <v>1.0959405782187981</v>
      </c>
      <c r="AC883">
        <v>1.5737959880576101E-2</v>
      </c>
      <c r="AD883">
        <v>1.3949901721870101E-2</v>
      </c>
      <c r="AE883">
        <v>0</v>
      </c>
      <c r="AF883" t="b">
        <v>0</v>
      </c>
    </row>
    <row r="884" spans="1:32" x14ac:dyDescent="0.3">
      <c r="A884" t="s">
        <v>1911</v>
      </c>
      <c r="B884" t="s">
        <v>1912</v>
      </c>
      <c r="C884" t="s">
        <v>689</v>
      </c>
      <c r="D884">
        <v>2494</v>
      </c>
      <c r="E884">
        <v>63302</v>
      </c>
      <c r="F884">
        <v>732</v>
      </c>
      <c r="G884">
        <v>60</v>
      </c>
      <c r="H884">
        <v>1</v>
      </c>
      <c r="I884">
        <v>0.1574989731762029</v>
      </c>
      <c r="J884">
        <v>0.3677316536389163</v>
      </c>
      <c r="K884" t="s">
        <v>86</v>
      </c>
      <c r="P884">
        <v>0</v>
      </c>
      <c r="R884">
        <v>0</v>
      </c>
      <c r="T884">
        <v>0</v>
      </c>
      <c r="U884" t="b">
        <v>0</v>
      </c>
      <c r="V884">
        <v>4.2089075820151516</v>
      </c>
      <c r="Y884">
        <v>0</v>
      </c>
      <c r="Z884">
        <v>1192</v>
      </c>
      <c r="AA884">
        <v>1.6836748098355898E-2</v>
      </c>
      <c r="AB884">
        <v>1.202605358837443</v>
      </c>
      <c r="AC884">
        <v>2.0773607196590899E-2</v>
      </c>
      <c r="AD884">
        <v>1.9013519035750302E-2</v>
      </c>
      <c r="AE884">
        <v>0</v>
      </c>
      <c r="AF884" t="b">
        <v>0</v>
      </c>
    </row>
    <row r="885" spans="1:32" x14ac:dyDescent="0.3">
      <c r="A885" t="s">
        <v>1913</v>
      </c>
      <c r="B885" t="s">
        <v>1914</v>
      </c>
      <c r="C885" t="s">
        <v>689</v>
      </c>
      <c r="D885">
        <v>1333</v>
      </c>
      <c r="E885">
        <v>43097</v>
      </c>
      <c r="F885">
        <v>703</v>
      </c>
      <c r="G885">
        <v>58</v>
      </c>
      <c r="H885">
        <v>1</v>
      </c>
      <c r="I885">
        <v>1.7402603429473001E-2</v>
      </c>
      <c r="J885">
        <v>0.11235651586765689</v>
      </c>
      <c r="K885" t="s">
        <v>432</v>
      </c>
      <c r="L885">
        <v>0.90335358991672299</v>
      </c>
      <c r="M885">
        <v>1</v>
      </c>
      <c r="N885">
        <v>1.7390871038469199E-2</v>
      </c>
      <c r="O885" t="s">
        <v>433</v>
      </c>
      <c r="P885">
        <v>39438</v>
      </c>
      <c r="Q885">
        <v>2.61676555606268E-2</v>
      </c>
      <c r="R885">
        <v>0</v>
      </c>
      <c r="T885">
        <v>0</v>
      </c>
      <c r="U885" t="b">
        <v>0</v>
      </c>
      <c r="V885">
        <v>5.6580753270194251</v>
      </c>
      <c r="Y885">
        <v>0</v>
      </c>
      <c r="Z885">
        <v>570</v>
      </c>
      <c r="AA885">
        <v>3.2251988101549299E-2</v>
      </c>
      <c r="AB885">
        <v>2.0641308046559761</v>
      </c>
      <c r="AC885">
        <v>4.8571789747649001E-3</v>
      </c>
      <c r="AD885">
        <v>6.3817184034236599E-2</v>
      </c>
      <c r="AE885">
        <v>0</v>
      </c>
      <c r="AF885" t="b">
        <v>0</v>
      </c>
    </row>
    <row r="886" spans="1:32" x14ac:dyDescent="0.3">
      <c r="A886" t="s">
        <v>1915</v>
      </c>
      <c r="B886" t="s">
        <v>1916</v>
      </c>
      <c r="C886" t="s">
        <v>689</v>
      </c>
      <c r="D886">
        <v>2224</v>
      </c>
      <c r="E886">
        <v>48968</v>
      </c>
      <c r="F886">
        <v>845</v>
      </c>
      <c r="G886">
        <v>87</v>
      </c>
      <c r="H886">
        <v>1</v>
      </c>
      <c r="I886">
        <v>4.1455644502532203E-2</v>
      </c>
      <c r="J886">
        <v>0.20110553352735511</v>
      </c>
      <c r="K886" t="s">
        <v>432</v>
      </c>
      <c r="L886">
        <v>0.81952067503955306</v>
      </c>
      <c r="M886">
        <v>1</v>
      </c>
      <c r="N886">
        <v>2.5168625020854599E-2</v>
      </c>
      <c r="O886" t="s">
        <v>433</v>
      </c>
      <c r="P886">
        <v>40900</v>
      </c>
      <c r="Q886">
        <v>1.3349633251833699E-2</v>
      </c>
      <c r="R886">
        <v>0</v>
      </c>
      <c r="T886">
        <v>0</v>
      </c>
      <c r="U886" t="b">
        <v>0</v>
      </c>
      <c r="V886">
        <v>3.8970779384335379</v>
      </c>
      <c r="Y886">
        <v>0</v>
      </c>
      <c r="Z886">
        <v>885</v>
      </c>
      <c r="AA886">
        <v>1.29693831763591E-2</v>
      </c>
      <c r="AB886">
        <v>1.308068417572926</v>
      </c>
      <c r="AC886">
        <v>1.8551189385092901E-2</v>
      </c>
      <c r="AD886">
        <v>2.99848367864529E-2</v>
      </c>
      <c r="AE886">
        <v>0</v>
      </c>
      <c r="AF886" t="b">
        <v>0</v>
      </c>
    </row>
    <row r="887" spans="1:32" x14ac:dyDescent="0.3">
      <c r="A887" t="s">
        <v>1917</v>
      </c>
      <c r="B887" t="s">
        <v>1918</v>
      </c>
      <c r="C887" t="s">
        <v>689</v>
      </c>
      <c r="D887">
        <v>1266</v>
      </c>
      <c r="E887">
        <v>29829</v>
      </c>
      <c r="F887">
        <v>778</v>
      </c>
      <c r="G887">
        <v>76</v>
      </c>
      <c r="H887">
        <v>1</v>
      </c>
      <c r="I887">
        <v>0.14613295785980079</v>
      </c>
      <c r="J887">
        <v>0.39388979814511732</v>
      </c>
      <c r="K887" t="s">
        <v>432</v>
      </c>
      <c r="L887">
        <v>0.61538461538461542</v>
      </c>
      <c r="M887">
        <v>1</v>
      </c>
      <c r="N887">
        <v>1.50709219858156E-2</v>
      </c>
      <c r="O887" t="s">
        <v>433</v>
      </c>
      <c r="P887">
        <v>18875</v>
      </c>
      <c r="Q887">
        <v>3.5973509933774801E-2</v>
      </c>
      <c r="R887">
        <v>0</v>
      </c>
      <c r="T887">
        <v>0</v>
      </c>
      <c r="U887" t="b">
        <v>0</v>
      </c>
      <c r="V887">
        <v>5.147381756756757</v>
      </c>
      <c r="Y887">
        <v>0</v>
      </c>
      <c r="Z887">
        <v>665</v>
      </c>
      <c r="AA887">
        <v>1.7993780455594601E-2</v>
      </c>
      <c r="AB887">
        <v>1.624602903362302</v>
      </c>
      <c r="AC887">
        <v>1.29437693032579E-2</v>
      </c>
      <c r="AD887">
        <v>2.0022568388431802E-2</v>
      </c>
      <c r="AE887">
        <v>0</v>
      </c>
      <c r="AF887" t="b">
        <v>0</v>
      </c>
    </row>
    <row r="888" spans="1:32" x14ac:dyDescent="0.3">
      <c r="A888" t="s">
        <v>1919</v>
      </c>
      <c r="B888" t="s">
        <v>1920</v>
      </c>
      <c r="C888" t="s">
        <v>431</v>
      </c>
      <c r="D888">
        <v>2085</v>
      </c>
      <c r="E888">
        <v>123508</v>
      </c>
      <c r="F888">
        <v>286</v>
      </c>
      <c r="G888">
        <v>35</v>
      </c>
      <c r="H888">
        <v>1</v>
      </c>
      <c r="I888">
        <v>8.8496291738187002E-3</v>
      </c>
      <c r="J888">
        <v>9.0801238922551403E-2</v>
      </c>
      <c r="K888" t="s">
        <v>432</v>
      </c>
      <c r="L888">
        <v>0.92781444825746662</v>
      </c>
      <c r="M888">
        <v>1</v>
      </c>
      <c r="N888">
        <v>2.0064019497627102E-2</v>
      </c>
      <c r="O888" t="s">
        <v>433</v>
      </c>
      <c r="P888">
        <v>114189</v>
      </c>
      <c r="Q888">
        <v>9.8214363905454904E-2</v>
      </c>
      <c r="R888">
        <v>0</v>
      </c>
      <c r="T888">
        <v>0</v>
      </c>
      <c r="U888" t="b">
        <v>0</v>
      </c>
      <c r="V888">
        <v>1.7214329542217259</v>
      </c>
      <c r="Y888">
        <v>0</v>
      </c>
      <c r="Z888">
        <v>4468</v>
      </c>
      <c r="AA888">
        <v>-4.0847788879787997E-3</v>
      </c>
      <c r="AB888">
        <v>-0.18020016942320641</v>
      </c>
      <c r="AC888">
        <v>-1.7063127898546401E-2</v>
      </c>
      <c r="AD888">
        <v>5.2060860053916996E-3</v>
      </c>
      <c r="AE888">
        <v>0</v>
      </c>
      <c r="AF888" t="b">
        <v>0</v>
      </c>
    </row>
    <row r="889" spans="1:32" x14ac:dyDescent="0.3">
      <c r="A889" t="s">
        <v>1921</v>
      </c>
      <c r="B889" t="s">
        <v>1922</v>
      </c>
      <c r="C889" t="s">
        <v>512</v>
      </c>
      <c r="D889">
        <v>269</v>
      </c>
      <c r="E889">
        <v>1505</v>
      </c>
      <c r="F889">
        <v>37</v>
      </c>
      <c r="G889">
        <v>600</v>
      </c>
      <c r="H889">
        <v>60</v>
      </c>
      <c r="I889">
        <v>1</v>
      </c>
      <c r="J889">
        <v>1</v>
      </c>
      <c r="K889" t="s">
        <v>86</v>
      </c>
      <c r="P889">
        <v>0</v>
      </c>
      <c r="R889">
        <v>0</v>
      </c>
      <c r="T889">
        <v>0</v>
      </c>
      <c r="U889" t="b">
        <v>0</v>
      </c>
      <c r="V889">
        <v>0.75</v>
      </c>
      <c r="Y889">
        <v>0</v>
      </c>
      <c r="Z889">
        <v>20</v>
      </c>
      <c r="AA889">
        <v>8.8028169014079999E-4</v>
      </c>
      <c r="AB889">
        <v>0.375</v>
      </c>
      <c r="AC889">
        <v>0</v>
      </c>
      <c r="AD889">
        <v>1.7605633802816E-3</v>
      </c>
      <c r="AE889">
        <v>0</v>
      </c>
      <c r="AF889" t="b">
        <v>0</v>
      </c>
    </row>
    <row r="890" spans="1:32" x14ac:dyDescent="0.3">
      <c r="A890" t="s">
        <v>1923</v>
      </c>
      <c r="B890" t="s">
        <v>1924</v>
      </c>
      <c r="C890" t="s">
        <v>689</v>
      </c>
      <c r="D890">
        <v>746</v>
      </c>
      <c r="E890">
        <v>21054</v>
      </c>
      <c r="F890">
        <v>169</v>
      </c>
      <c r="G890">
        <v>59</v>
      </c>
      <c r="H890">
        <v>1</v>
      </c>
      <c r="I890">
        <v>0.10862543934644241</v>
      </c>
      <c r="J890">
        <v>0.3623731602523082</v>
      </c>
      <c r="K890" t="s">
        <v>432</v>
      </c>
      <c r="L890">
        <v>0.6496480482676662</v>
      </c>
      <c r="M890">
        <v>1</v>
      </c>
      <c r="N890">
        <v>1.85041863083092E-2</v>
      </c>
      <c r="O890" t="s">
        <v>518</v>
      </c>
      <c r="P890">
        <v>13950</v>
      </c>
      <c r="Q890">
        <v>5.2186379928315402E-2</v>
      </c>
      <c r="R890">
        <v>0</v>
      </c>
      <c r="T890">
        <v>0</v>
      </c>
      <c r="U890" t="b">
        <v>0</v>
      </c>
      <c r="V890">
        <v>8.5713605442176881</v>
      </c>
      <c r="Y890">
        <v>0</v>
      </c>
      <c r="Z890">
        <v>740</v>
      </c>
      <c r="AA890">
        <v>3.7153639405147799E-2</v>
      </c>
      <c r="AB890">
        <v>2.624603677103678</v>
      </c>
      <c r="AC890">
        <v>3.6259959303258003E-2</v>
      </c>
      <c r="AD890">
        <v>4.7246643422842502E-2</v>
      </c>
      <c r="AE890">
        <v>0</v>
      </c>
      <c r="AF890" t="b">
        <v>0</v>
      </c>
    </row>
    <row r="891" spans="1:32" x14ac:dyDescent="0.3">
      <c r="A891" t="s">
        <v>1925</v>
      </c>
      <c r="B891" t="s">
        <v>1926</v>
      </c>
      <c r="C891" t="s">
        <v>431</v>
      </c>
      <c r="D891">
        <v>543</v>
      </c>
      <c r="E891">
        <v>29320</v>
      </c>
      <c r="F891">
        <v>148</v>
      </c>
      <c r="G891">
        <v>34</v>
      </c>
      <c r="H891">
        <v>1</v>
      </c>
      <c r="I891">
        <v>6.5825375170532E-3</v>
      </c>
      <c r="J891">
        <v>0.11874225630378719</v>
      </c>
      <c r="K891" t="s">
        <v>432</v>
      </c>
      <c r="L891">
        <v>0.89257609751197131</v>
      </c>
      <c r="M891">
        <v>0.99563591022443876</v>
      </c>
      <c r="N891">
        <v>1.32057775276683E-2</v>
      </c>
      <c r="O891" t="s">
        <v>433</v>
      </c>
      <c r="P891">
        <v>21117</v>
      </c>
      <c r="Q891">
        <v>0.24127480229199219</v>
      </c>
      <c r="R891">
        <v>14</v>
      </c>
      <c r="S891">
        <v>0</v>
      </c>
      <c r="T891">
        <v>0</v>
      </c>
      <c r="U891" t="b">
        <v>0</v>
      </c>
      <c r="V891">
        <v>0.60402684563758391</v>
      </c>
      <c r="Y891">
        <v>0</v>
      </c>
      <c r="Z891">
        <v>1372</v>
      </c>
      <c r="AA891">
        <v>3.1533428065188998E-3</v>
      </c>
      <c r="AB891">
        <v>0.13101311953352771</v>
      </c>
      <c r="AC891">
        <v>0</v>
      </c>
      <c r="AD891">
        <v>1.45631067961165E-2</v>
      </c>
      <c r="AE891">
        <v>0</v>
      </c>
      <c r="AF891" t="b">
        <v>0</v>
      </c>
    </row>
    <row r="892" spans="1:32" x14ac:dyDescent="0.3">
      <c r="A892" t="s">
        <v>1927</v>
      </c>
      <c r="B892" t="s">
        <v>1928</v>
      </c>
      <c r="C892" t="s">
        <v>689</v>
      </c>
      <c r="D892">
        <v>302</v>
      </c>
      <c r="E892">
        <v>8549</v>
      </c>
      <c r="F892">
        <v>149</v>
      </c>
      <c r="G892">
        <v>71</v>
      </c>
      <c r="H892">
        <v>1</v>
      </c>
      <c r="I892">
        <v>5.5912972277459297E-2</v>
      </c>
      <c r="J892">
        <v>0.21534289910744539</v>
      </c>
      <c r="K892" t="s">
        <v>432</v>
      </c>
      <c r="L892">
        <v>0.80601062026889614</v>
      </c>
      <c r="M892">
        <v>1</v>
      </c>
      <c r="N892">
        <v>2.6492851135407901E-2</v>
      </c>
      <c r="O892" t="s">
        <v>433</v>
      </c>
      <c r="P892">
        <v>6945</v>
      </c>
      <c r="Q892">
        <v>3.71490280777537E-2</v>
      </c>
      <c r="R892">
        <v>0</v>
      </c>
      <c r="T892">
        <v>0</v>
      </c>
      <c r="U892" t="b">
        <v>0</v>
      </c>
      <c r="V892">
        <v>0</v>
      </c>
      <c r="Y892">
        <v>0</v>
      </c>
      <c r="Z892">
        <v>235</v>
      </c>
      <c r="AA892">
        <v>0</v>
      </c>
      <c r="AB892">
        <v>0</v>
      </c>
      <c r="AC892">
        <v>0</v>
      </c>
      <c r="AD892">
        <v>0</v>
      </c>
      <c r="AE892">
        <v>0</v>
      </c>
      <c r="AF892" t="b">
        <v>0</v>
      </c>
    </row>
    <row r="893" spans="1:32" x14ac:dyDescent="0.3">
      <c r="A893" t="s">
        <v>1929</v>
      </c>
      <c r="B893" t="s">
        <v>1930</v>
      </c>
      <c r="C893" t="s">
        <v>689</v>
      </c>
      <c r="D893">
        <v>112</v>
      </c>
      <c r="E893">
        <v>409</v>
      </c>
      <c r="F893">
        <v>16</v>
      </c>
      <c r="G893">
        <v>2220</v>
      </c>
      <c r="H893">
        <v>120</v>
      </c>
      <c r="I893">
        <v>1</v>
      </c>
      <c r="J893">
        <v>1</v>
      </c>
      <c r="K893" t="s">
        <v>86</v>
      </c>
      <c r="P893">
        <v>0</v>
      </c>
      <c r="R893">
        <v>0</v>
      </c>
      <c r="T893">
        <v>0</v>
      </c>
      <c r="U893" t="b">
        <v>0</v>
      </c>
      <c r="Y893">
        <v>0</v>
      </c>
      <c r="Z893">
        <v>1</v>
      </c>
      <c r="AA893">
        <v>0</v>
      </c>
      <c r="AB893">
        <v>0</v>
      </c>
      <c r="AE893">
        <v>0</v>
      </c>
      <c r="AF893" t="b">
        <v>0</v>
      </c>
    </row>
    <row r="894" spans="1:32" x14ac:dyDescent="0.3">
      <c r="A894" t="s">
        <v>1931</v>
      </c>
      <c r="B894" t="s">
        <v>1932</v>
      </c>
      <c r="C894" t="s">
        <v>689</v>
      </c>
      <c r="D894">
        <v>400</v>
      </c>
      <c r="E894">
        <v>2853</v>
      </c>
      <c r="F894">
        <v>19</v>
      </c>
      <c r="G894">
        <v>180</v>
      </c>
      <c r="H894">
        <v>60</v>
      </c>
      <c r="I894">
        <v>1</v>
      </c>
      <c r="J894">
        <v>1</v>
      </c>
      <c r="K894" t="s">
        <v>86</v>
      </c>
      <c r="P894">
        <v>0</v>
      </c>
      <c r="R894">
        <v>0</v>
      </c>
      <c r="T894">
        <v>0</v>
      </c>
      <c r="U894" t="b">
        <v>0</v>
      </c>
      <c r="V894">
        <v>0</v>
      </c>
      <c r="Y894">
        <v>0</v>
      </c>
      <c r="Z894">
        <v>65</v>
      </c>
      <c r="AA894">
        <v>2.7700831024930699E-2</v>
      </c>
      <c r="AB894">
        <v>9.2307692307692299</v>
      </c>
      <c r="AC894">
        <v>4.1841004184100403E-2</v>
      </c>
      <c r="AD894">
        <v>3.7593984962405999E-2</v>
      </c>
      <c r="AE894">
        <v>0</v>
      </c>
      <c r="AF894" t="b">
        <v>0</v>
      </c>
    </row>
    <row r="895" spans="1:32" x14ac:dyDescent="0.3">
      <c r="A895" t="s">
        <v>1933</v>
      </c>
      <c r="B895" t="s">
        <v>1934</v>
      </c>
      <c r="C895" t="s">
        <v>431</v>
      </c>
      <c r="D895">
        <v>2518</v>
      </c>
      <c r="E895">
        <v>134168</v>
      </c>
      <c r="F895">
        <v>52</v>
      </c>
      <c r="G895">
        <v>60</v>
      </c>
      <c r="H895">
        <v>60</v>
      </c>
      <c r="I895">
        <v>1</v>
      </c>
      <c r="J895">
        <v>1</v>
      </c>
      <c r="K895" t="s">
        <v>432</v>
      </c>
      <c r="L895">
        <v>0.91124087758230199</v>
      </c>
      <c r="M895">
        <v>1</v>
      </c>
      <c r="N895">
        <v>1</v>
      </c>
      <c r="O895" t="s">
        <v>433</v>
      </c>
      <c r="P895">
        <v>0</v>
      </c>
      <c r="R895">
        <v>0</v>
      </c>
      <c r="T895">
        <v>0</v>
      </c>
      <c r="U895" t="b">
        <v>0</v>
      </c>
      <c r="V895">
        <v>9.9456289978678036</v>
      </c>
      <c r="Y895">
        <v>0</v>
      </c>
      <c r="Z895">
        <v>3936</v>
      </c>
      <c r="AA895">
        <v>4.1928876514347499E-2</v>
      </c>
      <c r="AB895">
        <v>3.156312141449336</v>
      </c>
      <c r="AC895">
        <v>6.1317526818725002E-3</v>
      </c>
      <c r="AD895">
        <v>8.0411434743651103E-2</v>
      </c>
      <c r="AE895">
        <v>0</v>
      </c>
      <c r="AF895" t="b">
        <v>0</v>
      </c>
    </row>
    <row r="896" spans="1:32" x14ac:dyDescent="0.3">
      <c r="A896" t="s">
        <v>1935</v>
      </c>
      <c r="B896" t="s">
        <v>1936</v>
      </c>
      <c r="C896" t="s">
        <v>431</v>
      </c>
      <c r="D896">
        <v>5557</v>
      </c>
      <c r="E896">
        <v>316353</v>
      </c>
      <c r="F896">
        <v>595</v>
      </c>
      <c r="G896">
        <v>57</v>
      </c>
      <c r="H896">
        <v>1</v>
      </c>
      <c r="I896">
        <v>1.65795804054331E-2</v>
      </c>
      <c r="J896">
        <v>0.1227668588182676</v>
      </c>
      <c r="K896" t="s">
        <v>432</v>
      </c>
      <c r="L896">
        <v>0.89176874720469113</v>
      </c>
      <c r="M896">
        <v>0.998392975005022</v>
      </c>
      <c r="N896">
        <v>1.6494787911716598E-2</v>
      </c>
      <c r="O896" t="s">
        <v>433</v>
      </c>
      <c r="P896">
        <v>226469</v>
      </c>
      <c r="Q896">
        <v>0.2535887914019137</v>
      </c>
      <c r="R896">
        <v>36</v>
      </c>
      <c r="S896">
        <v>0</v>
      </c>
      <c r="T896">
        <v>0</v>
      </c>
      <c r="U896" t="b">
        <v>0</v>
      </c>
      <c r="V896">
        <v>13.99327093677126</v>
      </c>
      <c r="Y896">
        <v>0</v>
      </c>
      <c r="Z896">
        <v>6896</v>
      </c>
      <c r="AA896">
        <v>6.2718516179011599E-2</v>
      </c>
      <c r="AB896">
        <v>4.5730494583487564</v>
      </c>
      <c r="AC896">
        <v>1.31115212193555E-2</v>
      </c>
      <c r="AD896">
        <v>0.1092584195349374</v>
      </c>
      <c r="AE896">
        <v>0</v>
      </c>
      <c r="AF896" t="b">
        <v>0</v>
      </c>
    </row>
    <row r="897" spans="1:35" x14ac:dyDescent="0.3">
      <c r="A897" t="s">
        <v>1937</v>
      </c>
      <c r="B897" t="s">
        <v>1938</v>
      </c>
      <c r="C897" t="s">
        <v>431</v>
      </c>
      <c r="D897">
        <v>1383</v>
      </c>
      <c r="E897">
        <v>82637</v>
      </c>
      <c r="F897">
        <v>371</v>
      </c>
      <c r="G897">
        <v>49</v>
      </c>
      <c r="H897">
        <v>1</v>
      </c>
      <c r="I897">
        <v>1.50779916986337E-2</v>
      </c>
      <c r="J897">
        <v>0.1068661406077052</v>
      </c>
      <c r="K897" t="s">
        <v>432</v>
      </c>
      <c r="L897">
        <v>0.90652336915771059</v>
      </c>
      <c r="M897">
        <v>1</v>
      </c>
      <c r="N897">
        <v>1.47701760604986E-2</v>
      </c>
      <c r="O897" t="s">
        <v>433</v>
      </c>
      <c r="P897">
        <v>75042</v>
      </c>
      <c r="Q897">
        <v>0.13990831800858181</v>
      </c>
      <c r="R897">
        <v>0</v>
      </c>
      <c r="T897">
        <v>0</v>
      </c>
      <c r="U897" t="b">
        <v>0</v>
      </c>
      <c r="V897">
        <v>5.8726723287845539</v>
      </c>
      <c r="Y897">
        <v>0</v>
      </c>
      <c r="Z897">
        <v>3124</v>
      </c>
      <c r="AA897">
        <v>6.312588463004E-2</v>
      </c>
      <c r="AB897">
        <v>3.9689202354055109</v>
      </c>
      <c r="AC897">
        <v>2.8409597473802801E-2</v>
      </c>
      <c r="AD897">
        <v>9.1449201040523106E-2</v>
      </c>
      <c r="AE897">
        <v>0</v>
      </c>
      <c r="AF897" t="b">
        <v>0</v>
      </c>
    </row>
    <row r="898" spans="1:35" x14ac:dyDescent="0.3">
      <c r="A898" t="s">
        <v>1939</v>
      </c>
      <c r="B898" t="s">
        <v>1940</v>
      </c>
      <c r="C898" t="s">
        <v>431</v>
      </c>
      <c r="D898">
        <v>72</v>
      </c>
      <c r="E898">
        <v>288</v>
      </c>
      <c r="F898">
        <v>2</v>
      </c>
      <c r="G898">
        <v>450</v>
      </c>
      <c r="I898">
        <v>1</v>
      </c>
      <c r="J898">
        <v>1</v>
      </c>
      <c r="K898" t="s">
        <v>86</v>
      </c>
      <c r="P898">
        <v>0</v>
      </c>
      <c r="R898">
        <v>0</v>
      </c>
      <c r="T898">
        <v>1</v>
      </c>
      <c r="U898" t="b">
        <v>0</v>
      </c>
      <c r="V898">
        <v>0</v>
      </c>
      <c r="W898">
        <v>4.7058823529411766</v>
      </c>
      <c r="Y898">
        <v>0</v>
      </c>
      <c r="Z898">
        <v>4</v>
      </c>
      <c r="AA898">
        <v>0</v>
      </c>
      <c r="AB898">
        <v>0</v>
      </c>
      <c r="AC898">
        <v>0</v>
      </c>
      <c r="AD898">
        <v>0</v>
      </c>
      <c r="AE898">
        <v>1</v>
      </c>
      <c r="AF898" t="b">
        <v>0</v>
      </c>
      <c r="AG898">
        <v>5.3571428571427999E-3</v>
      </c>
      <c r="AH898">
        <v>2.174369747899159</v>
      </c>
    </row>
    <row r="899" spans="1:35" x14ac:dyDescent="0.3">
      <c r="A899" t="s">
        <v>1941</v>
      </c>
      <c r="B899" t="s">
        <v>1942</v>
      </c>
      <c r="C899" t="s">
        <v>431</v>
      </c>
      <c r="D899">
        <v>417</v>
      </c>
      <c r="E899">
        <v>142</v>
      </c>
      <c r="F899">
        <v>9</v>
      </c>
      <c r="G899">
        <v>600</v>
      </c>
      <c r="H899">
        <v>120</v>
      </c>
      <c r="I899">
        <v>1</v>
      </c>
      <c r="J899">
        <v>1</v>
      </c>
      <c r="K899" t="s">
        <v>432</v>
      </c>
      <c r="L899">
        <v>0.99790180444817456</v>
      </c>
      <c r="M899">
        <v>1</v>
      </c>
      <c r="N899">
        <v>1</v>
      </c>
      <c r="O899" t="s">
        <v>433</v>
      </c>
      <c r="P899">
        <v>0</v>
      </c>
      <c r="R899">
        <v>0</v>
      </c>
      <c r="T899">
        <v>0</v>
      </c>
      <c r="U899" t="b">
        <v>0</v>
      </c>
      <c r="V899">
        <v>0</v>
      </c>
      <c r="Y899">
        <v>0.87082109385928097</v>
      </c>
      <c r="Z899">
        <v>5</v>
      </c>
      <c r="AA899">
        <v>0</v>
      </c>
      <c r="AB899">
        <v>0</v>
      </c>
      <c r="AC899">
        <v>0</v>
      </c>
      <c r="AD899">
        <v>0</v>
      </c>
      <c r="AE899">
        <v>0</v>
      </c>
      <c r="AF899" t="b">
        <v>0</v>
      </c>
    </row>
    <row r="900" spans="1:35" x14ac:dyDescent="0.3">
      <c r="A900" t="s">
        <v>1943</v>
      </c>
      <c r="B900" t="s">
        <v>1944</v>
      </c>
      <c r="C900" t="s">
        <v>1945</v>
      </c>
      <c r="D900">
        <v>1784</v>
      </c>
      <c r="E900">
        <v>42943</v>
      </c>
      <c r="F900">
        <v>771</v>
      </c>
      <c r="G900">
        <v>75</v>
      </c>
      <c r="H900">
        <v>1</v>
      </c>
      <c r="I900">
        <v>2.6034510863237301E-2</v>
      </c>
      <c r="J900">
        <v>1.7365844936638099E-2</v>
      </c>
      <c r="K900" t="s">
        <v>86</v>
      </c>
      <c r="P900">
        <v>0</v>
      </c>
      <c r="R900">
        <v>0</v>
      </c>
      <c r="T900">
        <v>0</v>
      </c>
      <c r="U900" t="b">
        <v>0</v>
      </c>
      <c r="Y900">
        <v>0</v>
      </c>
      <c r="Z900">
        <v>0</v>
      </c>
      <c r="AE900">
        <v>0</v>
      </c>
      <c r="AF900" t="b">
        <v>0</v>
      </c>
    </row>
    <row r="901" spans="1:35" x14ac:dyDescent="0.3">
      <c r="A901" t="s">
        <v>1946</v>
      </c>
      <c r="B901" t="s">
        <v>1947</v>
      </c>
      <c r="C901" t="s">
        <v>1299</v>
      </c>
      <c r="D901">
        <v>60293</v>
      </c>
      <c r="E901">
        <v>1196573</v>
      </c>
      <c r="F901">
        <v>453</v>
      </c>
      <c r="G901">
        <v>70</v>
      </c>
      <c r="H901">
        <v>1</v>
      </c>
      <c r="I901">
        <v>7.5013392413166596E-2</v>
      </c>
      <c r="J901">
        <v>4.4478090743165902E-2</v>
      </c>
      <c r="K901" t="s">
        <v>86</v>
      </c>
      <c r="P901">
        <v>0</v>
      </c>
      <c r="R901">
        <v>0</v>
      </c>
      <c r="T901">
        <v>0</v>
      </c>
      <c r="U901" t="b">
        <v>0</v>
      </c>
      <c r="V901">
        <v>15.004604649024801</v>
      </c>
      <c r="Y901">
        <v>0</v>
      </c>
      <c r="Z901">
        <v>3141</v>
      </c>
      <c r="AA901">
        <v>6.9399744190117699E-2</v>
      </c>
      <c r="AB901">
        <v>6.0278294742698941</v>
      </c>
      <c r="AC901">
        <v>4.1630573800942497E-2</v>
      </c>
      <c r="AD901">
        <v>0.1017993419962377</v>
      </c>
      <c r="AE901">
        <v>0</v>
      </c>
      <c r="AF901" t="b">
        <v>0</v>
      </c>
    </row>
    <row r="902" spans="1:35" x14ac:dyDescent="0.3">
      <c r="A902" t="s">
        <v>1948</v>
      </c>
      <c r="B902" t="s">
        <v>1949</v>
      </c>
      <c r="C902" t="s">
        <v>1950</v>
      </c>
      <c r="D902">
        <v>6629</v>
      </c>
      <c r="E902">
        <v>372078</v>
      </c>
      <c r="F902">
        <v>1098</v>
      </c>
      <c r="G902">
        <v>69</v>
      </c>
      <c r="H902">
        <v>1</v>
      </c>
      <c r="I902">
        <v>1.85444987341363E-2</v>
      </c>
      <c r="J902">
        <v>3.3904839361300398E-2</v>
      </c>
      <c r="K902" t="s">
        <v>86</v>
      </c>
      <c r="P902">
        <v>0</v>
      </c>
      <c r="R902">
        <v>0</v>
      </c>
      <c r="T902">
        <v>1</v>
      </c>
      <c r="U902" t="b">
        <v>0</v>
      </c>
      <c r="W902">
        <v>0.65181435948258892</v>
      </c>
      <c r="Y902">
        <v>0</v>
      </c>
      <c r="Z902">
        <v>0</v>
      </c>
      <c r="AE902">
        <v>1</v>
      </c>
      <c r="AF902" t="b">
        <v>0</v>
      </c>
      <c r="AG902">
        <v>-2.1087201329385002E-3</v>
      </c>
      <c r="AH902">
        <v>-0.18011585219628989</v>
      </c>
    </row>
    <row r="903" spans="1:35" x14ac:dyDescent="0.3">
      <c r="A903" t="s">
        <v>1951</v>
      </c>
      <c r="B903" t="s">
        <v>1952</v>
      </c>
      <c r="C903" t="s">
        <v>1299</v>
      </c>
      <c r="D903">
        <v>80950</v>
      </c>
      <c r="E903">
        <v>4170960</v>
      </c>
      <c r="F903">
        <v>2188</v>
      </c>
      <c r="G903">
        <v>96</v>
      </c>
      <c r="H903">
        <v>1</v>
      </c>
      <c r="I903">
        <v>1.72099468707443E-2</v>
      </c>
      <c r="J903">
        <v>3.2074491101328199E-2</v>
      </c>
      <c r="K903" t="s">
        <v>86</v>
      </c>
      <c r="P903">
        <v>0</v>
      </c>
      <c r="R903">
        <v>0</v>
      </c>
      <c r="T903">
        <v>0</v>
      </c>
      <c r="U903" t="b">
        <v>0</v>
      </c>
      <c r="V903">
        <v>15.66927462243464</v>
      </c>
      <c r="Y903">
        <v>0</v>
      </c>
      <c r="Z903">
        <v>41020</v>
      </c>
      <c r="AA903">
        <v>7.3141238286984905E-2</v>
      </c>
      <c r="AB903">
        <v>8.3605229843501583</v>
      </c>
      <c r="AC903">
        <v>1.9553767605577602E-2</v>
      </c>
      <c r="AD903">
        <v>0.1328452087886326</v>
      </c>
      <c r="AE903">
        <v>0</v>
      </c>
      <c r="AF903" t="b">
        <v>0</v>
      </c>
    </row>
    <row r="904" spans="1:35" x14ac:dyDescent="0.3">
      <c r="A904" t="s">
        <v>1953</v>
      </c>
      <c r="B904" t="s">
        <v>1954</v>
      </c>
      <c r="C904" t="s">
        <v>1955</v>
      </c>
      <c r="D904">
        <v>12308</v>
      </c>
      <c r="E904">
        <v>266352</v>
      </c>
      <c r="F904">
        <v>101</v>
      </c>
      <c r="G904">
        <v>120</v>
      </c>
      <c r="H904">
        <v>30</v>
      </c>
      <c r="I904">
        <v>0.55234802066438393</v>
      </c>
      <c r="J904">
        <v>0.5518648561499051</v>
      </c>
      <c r="K904" t="s">
        <v>86</v>
      </c>
      <c r="P904">
        <v>0</v>
      </c>
      <c r="R904">
        <v>0</v>
      </c>
      <c r="T904">
        <v>1</v>
      </c>
      <c r="U904" t="b">
        <v>1</v>
      </c>
      <c r="V904">
        <v>39.489311642242143</v>
      </c>
      <c r="W904">
        <v>6.6971558907040997E-3</v>
      </c>
      <c r="X904" t="b">
        <v>1</v>
      </c>
      <c r="Y904">
        <v>0</v>
      </c>
      <c r="Z904">
        <v>5596</v>
      </c>
      <c r="AA904">
        <v>8.3235981238983597E-2</v>
      </c>
      <c r="AB904">
        <v>13.915103013426609</v>
      </c>
      <c r="AC904">
        <v>1.7600666529050998E-2</v>
      </c>
      <c r="AD904">
        <v>0.1588478282985229</v>
      </c>
      <c r="AE904">
        <v>1</v>
      </c>
      <c r="AF904" t="b">
        <v>1</v>
      </c>
      <c r="AG904">
        <v>2.6502449968509998E-4</v>
      </c>
      <c r="AH904">
        <v>3.9764828841711203E-2</v>
      </c>
      <c r="AI904" t="b">
        <v>1</v>
      </c>
    </row>
    <row r="905" spans="1:35" x14ac:dyDescent="0.3">
      <c r="A905" t="s">
        <v>1956</v>
      </c>
      <c r="B905" t="s">
        <v>1957</v>
      </c>
      <c r="C905" t="s">
        <v>431</v>
      </c>
      <c r="D905">
        <v>158</v>
      </c>
      <c r="E905">
        <v>1274</v>
      </c>
      <c r="F905">
        <v>13</v>
      </c>
      <c r="G905">
        <v>60</v>
      </c>
      <c r="H905">
        <v>60</v>
      </c>
      <c r="I905">
        <v>1</v>
      </c>
      <c r="J905">
        <v>1</v>
      </c>
      <c r="K905" t="s">
        <v>86</v>
      </c>
      <c r="P905">
        <v>0</v>
      </c>
      <c r="R905">
        <v>0</v>
      </c>
      <c r="T905">
        <v>0</v>
      </c>
      <c r="U905" t="b">
        <v>0</v>
      </c>
      <c r="Y905">
        <v>0.4040725421571747</v>
      </c>
      <c r="Z905">
        <v>86</v>
      </c>
      <c r="AA905">
        <v>-3.1847133757961E-3</v>
      </c>
      <c r="AB905">
        <v>-0.34883720930232559</v>
      </c>
      <c r="AD905">
        <v>0</v>
      </c>
      <c r="AE905">
        <v>0</v>
      </c>
      <c r="AF905" t="b">
        <v>0</v>
      </c>
    </row>
    <row r="906" spans="1:35" x14ac:dyDescent="0.3">
      <c r="A906" t="s">
        <v>1958</v>
      </c>
      <c r="B906" t="s">
        <v>1959</v>
      </c>
      <c r="C906" t="s">
        <v>671</v>
      </c>
      <c r="D906">
        <v>44892</v>
      </c>
      <c r="E906">
        <v>891404</v>
      </c>
      <c r="F906">
        <v>3541</v>
      </c>
      <c r="G906">
        <v>1614</v>
      </c>
      <c r="H906">
        <v>1</v>
      </c>
      <c r="I906">
        <v>4.8530183844811101E-2</v>
      </c>
      <c r="J906">
        <v>6.2326592261523803E-2</v>
      </c>
      <c r="K906" t="s">
        <v>86</v>
      </c>
      <c r="P906">
        <v>0</v>
      </c>
      <c r="R906">
        <v>0</v>
      </c>
      <c r="T906">
        <v>0</v>
      </c>
      <c r="U906" t="b">
        <v>0</v>
      </c>
      <c r="V906">
        <v>93.833001896022495</v>
      </c>
      <c r="Y906">
        <v>0</v>
      </c>
      <c r="Z906">
        <v>8144</v>
      </c>
      <c r="AA906">
        <v>4.5493773027807998E-3</v>
      </c>
      <c r="AB906">
        <v>5.9575505676101246</v>
      </c>
      <c r="AC906">
        <v>-2.0432801842430601E-2</v>
      </c>
      <c r="AD906">
        <v>1.41157958038278E-2</v>
      </c>
      <c r="AE906">
        <v>0</v>
      </c>
      <c r="AF906" t="b">
        <v>0</v>
      </c>
    </row>
    <row r="907" spans="1:35" x14ac:dyDescent="0.3">
      <c r="A907" t="s">
        <v>1960</v>
      </c>
      <c r="B907" t="s">
        <v>1961</v>
      </c>
      <c r="C907" t="s">
        <v>512</v>
      </c>
      <c r="D907">
        <v>39444</v>
      </c>
      <c r="E907">
        <v>784295</v>
      </c>
      <c r="F907">
        <v>53</v>
      </c>
      <c r="G907">
        <v>60</v>
      </c>
      <c r="H907">
        <v>60</v>
      </c>
      <c r="I907">
        <v>0.96504121535901677</v>
      </c>
      <c r="J907">
        <v>0.98247042802595397</v>
      </c>
      <c r="K907" t="s">
        <v>86</v>
      </c>
      <c r="P907">
        <v>0</v>
      </c>
      <c r="R907">
        <v>0</v>
      </c>
      <c r="T907">
        <v>2</v>
      </c>
      <c r="U907" t="b">
        <v>1</v>
      </c>
      <c r="V907">
        <v>4.1754840693698174</v>
      </c>
      <c r="W907">
        <v>1.7710843373493981</v>
      </c>
      <c r="X907" t="b">
        <v>1</v>
      </c>
      <c r="Y907">
        <v>0</v>
      </c>
      <c r="Z907">
        <v>14968</v>
      </c>
      <c r="AA907">
        <v>1.42692350194999E-2</v>
      </c>
      <c r="AB907">
        <v>1.4545319761728399</v>
      </c>
      <c r="AC907">
        <v>1.19213665325534E-2</v>
      </c>
      <c r="AD907">
        <v>2.6104500409029702E-2</v>
      </c>
      <c r="AE907">
        <v>2</v>
      </c>
      <c r="AF907" t="b">
        <v>1</v>
      </c>
      <c r="AG907">
        <v>1.2587824786001E-3</v>
      </c>
      <c r="AH907">
        <v>0.45643776824034338</v>
      </c>
      <c r="AI907" t="b">
        <v>1</v>
      </c>
    </row>
    <row r="908" spans="1:35" x14ac:dyDescent="0.3">
      <c r="A908" t="s">
        <v>1962</v>
      </c>
      <c r="B908" t="s">
        <v>1963</v>
      </c>
      <c r="C908" t="s">
        <v>1247</v>
      </c>
      <c r="D908">
        <v>576</v>
      </c>
      <c r="E908">
        <v>10285</v>
      </c>
      <c r="F908">
        <v>5</v>
      </c>
      <c r="G908">
        <v>60</v>
      </c>
      <c r="H908">
        <v>60</v>
      </c>
      <c r="I908">
        <v>1</v>
      </c>
      <c r="J908">
        <v>1</v>
      </c>
      <c r="K908" t="s">
        <v>432</v>
      </c>
      <c r="L908">
        <v>4.6756336352822697E-2</v>
      </c>
      <c r="M908">
        <v>1</v>
      </c>
      <c r="N908">
        <v>1</v>
      </c>
      <c r="O908" t="s">
        <v>433</v>
      </c>
      <c r="P908">
        <v>0</v>
      </c>
      <c r="R908">
        <v>0</v>
      </c>
      <c r="T908">
        <v>0</v>
      </c>
      <c r="U908" t="b">
        <v>0</v>
      </c>
      <c r="V908">
        <v>0.31914893617021278</v>
      </c>
      <c r="Y908">
        <v>0</v>
      </c>
      <c r="Z908">
        <v>478</v>
      </c>
      <c r="AA908">
        <v>6.5758010521280001E-4</v>
      </c>
      <c r="AB908">
        <v>5.7531380753138003E-2</v>
      </c>
      <c r="AC908">
        <v>2.9069767441860001E-3</v>
      </c>
      <c r="AD908">
        <v>0</v>
      </c>
      <c r="AE908">
        <v>0</v>
      </c>
      <c r="AF908" t="b">
        <v>0</v>
      </c>
    </row>
    <row r="909" spans="1:35" x14ac:dyDescent="0.3">
      <c r="A909" t="s">
        <v>1964</v>
      </c>
      <c r="B909" t="s">
        <v>1965</v>
      </c>
      <c r="C909" t="s">
        <v>1247</v>
      </c>
      <c r="D909">
        <v>183</v>
      </c>
      <c r="E909">
        <v>5565</v>
      </c>
      <c r="F909">
        <v>5</v>
      </c>
      <c r="G909">
        <v>60</v>
      </c>
      <c r="H909">
        <v>60</v>
      </c>
      <c r="I909">
        <v>1</v>
      </c>
      <c r="J909">
        <v>1</v>
      </c>
      <c r="K909" t="s">
        <v>432</v>
      </c>
      <c r="L909">
        <v>1.7041581458750001E-4</v>
      </c>
      <c r="M909">
        <v>1</v>
      </c>
      <c r="N909">
        <v>1</v>
      </c>
      <c r="O909" t="s">
        <v>433</v>
      </c>
      <c r="P909">
        <v>0</v>
      </c>
      <c r="R909">
        <v>0</v>
      </c>
      <c r="T909">
        <v>0</v>
      </c>
      <c r="U909" t="b">
        <v>0</v>
      </c>
      <c r="V909">
        <v>8.08</v>
      </c>
      <c r="Y909">
        <v>0</v>
      </c>
      <c r="Z909">
        <v>120</v>
      </c>
      <c r="AA909">
        <v>-4.7505938242279998E-4</v>
      </c>
      <c r="AB909">
        <v>-4.5238095238095299E-2</v>
      </c>
      <c r="AC909">
        <v>8.4466714387970005E-4</v>
      </c>
      <c r="AD909">
        <v>-2.9852726549023999E-3</v>
      </c>
      <c r="AE909">
        <v>0</v>
      </c>
      <c r="AF909" t="b">
        <v>0</v>
      </c>
    </row>
    <row r="910" spans="1:35" x14ac:dyDescent="0.3">
      <c r="A910" t="s">
        <v>1966</v>
      </c>
      <c r="B910" t="s">
        <v>1967</v>
      </c>
      <c r="C910" t="s">
        <v>1247</v>
      </c>
      <c r="D910">
        <v>228</v>
      </c>
      <c r="E910">
        <v>5851</v>
      </c>
      <c r="F910">
        <v>10</v>
      </c>
      <c r="G910">
        <v>60</v>
      </c>
      <c r="H910">
        <v>60</v>
      </c>
      <c r="I910">
        <v>1</v>
      </c>
      <c r="J910">
        <v>1</v>
      </c>
      <c r="K910" t="s">
        <v>86</v>
      </c>
      <c r="P910">
        <v>0</v>
      </c>
      <c r="R910">
        <v>0</v>
      </c>
      <c r="T910">
        <v>0</v>
      </c>
      <c r="U910" t="b">
        <v>0</v>
      </c>
      <c r="V910">
        <v>4.0350877192982457</v>
      </c>
      <c r="Y910">
        <v>0</v>
      </c>
      <c r="Z910">
        <v>173</v>
      </c>
      <c r="AA910">
        <v>2.858796875335E-3</v>
      </c>
      <c r="AB910">
        <v>0.27525461051472611</v>
      </c>
      <c r="AC910">
        <v>-2.2907311166052002E-3</v>
      </c>
      <c r="AD910">
        <v>1.1714809248316801E-2</v>
      </c>
      <c r="AE910">
        <v>0</v>
      </c>
      <c r="AF910" t="b">
        <v>0</v>
      </c>
    </row>
    <row r="911" spans="1:35" x14ac:dyDescent="0.3">
      <c r="A911" t="s">
        <v>1968</v>
      </c>
      <c r="B911" t="s">
        <v>1969</v>
      </c>
      <c r="C911" t="s">
        <v>1247</v>
      </c>
      <c r="D911">
        <v>60</v>
      </c>
      <c r="E911">
        <v>957</v>
      </c>
      <c r="F911">
        <v>7</v>
      </c>
      <c r="G911">
        <v>60</v>
      </c>
      <c r="H911">
        <v>60</v>
      </c>
      <c r="I911">
        <v>1</v>
      </c>
      <c r="J911">
        <v>1</v>
      </c>
      <c r="K911" t="s">
        <v>86</v>
      </c>
      <c r="P911">
        <v>0</v>
      </c>
      <c r="R911">
        <v>0</v>
      </c>
      <c r="T911">
        <v>0</v>
      </c>
      <c r="U911" t="b">
        <v>0</v>
      </c>
      <c r="Y911">
        <v>0</v>
      </c>
      <c r="Z911">
        <v>34</v>
      </c>
      <c r="AA911">
        <v>6.8027210884353002E-3</v>
      </c>
      <c r="AB911">
        <v>0.58823529411764708</v>
      </c>
      <c r="AE911">
        <v>0</v>
      </c>
      <c r="AF911" t="b">
        <v>0</v>
      </c>
    </row>
    <row r="912" spans="1:35" x14ac:dyDescent="0.3">
      <c r="A912" t="s">
        <v>1970</v>
      </c>
      <c r="B912" t="s">
        <v>1971</v>
      </c>
      <c r="C912" t="s">
        <v>1247</v>
      </c>
      <c r="D912">
        <v>161</v>
      </c>
      <c r="E912">
        <v>3366</v>
      </c>
      <c r="F912">
        <v>18</v>
      </c>
      <c r="G912">
        <v>60</v>
      </c>
      <c r="H912">
        <v>60</v>
      </c>
      <c r="I912">
        <v>1</v>
      </c>
      <c r="J912">
        <v>1</v>
      </c>
      <c r="K912" t="s">
        <v>86</v>
      </c>
      <c r="P912">
        <v>0</v>
      </c>
      <c r="R912">
        <v>0</v>
      </c>
      <c r="T912">
        <v>0</v>
      </c>
      <c r="U912" t="b">
        <v>0</v>
      </c>
      <c r="V912">
        <v>0</v>
      </c>
      <c r="Y912">
        <v>0</v>
      </c>
      <c r="Z912">
        <v>67</v>
      </c>
      <c r="AA912">
        <v>9.8684210526315003E-3</v>
      </c>
      <c r="AB912">
        <v>0.67164179104477617</v>
      </c>
      <c r="AC912">
        <v>0</v>
      </c>
      <c r="AD912">
        <v>0</v>
      </c>
      <c r="AE912">
        <v>0</v>
      </c>
      <c r="AF912" t="b">
        <v>0</v>
      </c>
    </row>
    <row r="913" spans="1:35" x14ac:dyDescent="0.3">
      <c r="A913" t="s">
        <v>1972</v>
      </c>
      <c r="B913" t="s">
        <v>1973</v>
      </c>
      <c r="C913" t="s">
        <v>431</v>
      </c>
      <c r="D913">
        <v>200</v>
      </c>
      <c r="E913">
        <v>4291</v>
      </c>
      <c r="F913">
        <v>190</v>
      </c>
      <c r="G913">
        <v>60</v>
      </c>
      <c r="H913">
        <v>1</v>
      </c>
      <c r="I913">
        <v>5.36005593101841E-2</v>
      </c>
      <c r="J913">
        <v>5.73374340949033E-2</v>
      </c>
      <c r="K913" t="s">
        <v>432</v>
      </c>
      <c r="L913">
        <v>0.70101054481546576</v>
      </c>
      <c r="M913">
        <v>0.15576781778104329</v>
      </c>
      <c r="N913">
        <v>1.5355687872140301E-2</v>
      </c>
      <c r="O913" t="s">
        <v>433</v>
      </c>
      <c r="P913">
        <v>3138</v>
      </c>
      <c r="Q913">
        <v>4.8119821542383603E-2</v>
      </c>
      <c r="R913">
        <v>931</v>
      </c>
      <c r="S913">
        <v>3.2223415682062301E-2</v>
      </c>
      <c r="T913">
        <v>0</v>
      </c>
      <c r="U913" t="b">
        <v>0</v>
      </c>
      <c r="Y913">
        <v>0</v>
      </c>
      <c r="Z913">
        <v>297</v>
      </c>
      <c r="AA913">
        <v>2.6283777912937699E-2</v>
      </c>
      <c r="AB913">
        <v>2.0370370370370372</v>
      </c>
      <c r="AE913">
        <v>0</v>
      </c>
      <c r="AF913" t="b">
        <v>0</v>
      </c>
    </row>
    <row r="914" spans="1:35" x14ac:dyDescent="0.3">
      <c r="A914" t="s">
        <v>1974</v>
      </c>
      <c r="B914" t="s">
        <v>1965</v>
      </c>
      <c r="C914" t="s">
        <v>1247</v>
      </c>
      <c r="D914">
        <v>161</v>
      </c>
      <c r="E914">
        <v>4557</v>
      </c>
      <c r="F914">
        <v>16</v>
      </c>
      <c r="G914">
        <v>120</v>
      </c>
      <c r="H914">
        <v>60</v>
      </c>
      <c r="I914">
        <v>1</v>
      </c>
      <c r="J914">
        <v>1</v>
      </c>
      <c r="K914" t="s">
        <v>432</v>
      </c>
      <c r="L914">
        <v>2.1003990758239999E-4</v>
      </c>
      <c r="M914">
        <v>1</v>
      </c>
      <c r="N914">
        <v>1</v>
      </c>
      <c r="O914" t="s">
        <v>433</v>
      </c>
      <c r="P914">
        <v>0</v>
      </c>
      <c r="R914">
        <v>0</v>
      </c>
      <c r="T914">
        <v>0</v>
      </c>
      <c r="U914" t="b">
        <v>0</v>
      </c>
      <c r="Y914">
        <v>0</v>
      </c>
      <c r="Z914">
        <v>4</v>
      </c>
      <c r="AA914">
        <v>0</v>
      </c>
      <c r="AB914">
        <v>0</v>
      </c>
      <c r="AC914">
        <v>0</v>
      </c>
      <c r="AE914">
        <v>0</v>
      </c>
      <c r="AF914" t="b">
        <v>0</v>
      </c>
    </row>
    <row r="915" spans="1:35" x14ac:dyDescent="0.3">
      <c r="A915" t="s">
        <v>1975</v>
      </c>
      <c r="B915" t="s">
        <v>1976</v>
      </c>
      <c r="C915" t="s">
        <v>1247</v>
      </c>
      <c r="D915">
        <v>299</v>
      </c>
      <c r="E915">
        <v>10417</v>
      </c>
      <c r="F915">
        <v>18</v>
      </c>
      <c r="G915">
        <v>120</v>
      </c>
      <c r="H915">
        <v>60</v>
      </c>
      <c r="I915">
        <v>1</v>
      </c>
      <c r="J915">
        <v>1</v>
      </c>
      <c r="K915" t="s">
        <v>432</v>
      </c>
      <c r="L915">
        <v>9.324009324009324E-5</v>
      </c>
      <c r="M915">
        <v>1</v>
      </c>
      <c r="N915">
        <v>1</v>
      </c>
      <c r="O915" t="s">
        <v>433</v>
      </c>
      <c r="P915">
        <v>0</v>
      </c>
      <c r="R915">
        <v>0</v>
      </c>
      <c r="T915">
        <v>0</v>
      </c>
      <c r="U915" t="b">
        <v>0</v>
      </c>
      <c r="Y915">
        <v>0</v>
      </c>
      <c r="Z915">
        <v>17</v>
      </c>
      <c r="AA915">
        <v>5.5555555555555497E-2</v>
      </c>
      <c r="AB915">
        <v>5.882352941176471</v>
      </c>
      <c r="AE915">
        <v>0</v>
      </c>
      <c r="AF915" t="b">
        <v>0</v>
      </c>
    </row>
    <row r="916" spans="1:35" x14ac:dyDescent="0.3">
      <c r="A916" t="s">
        <v>1977</v>
      </c>
      <c r="B916" t="s">
        <v>1978</v>
      </c>
      <c r="C916" t="s">
        <v>1247</v>
      </c>
      <c r="D916">
        <v>104</v>
      </c>
      <c r="E916">
        <v>3392</v>
      </c>
      <c r="F916">
        <v>19</v>
      </c>
      <c r="G916">
        <v>120</v>
      </c>
      <c r="H916">
        <v>60</v>
      </c>
      <c r="I916">
        <v>1</v>
      </c>
      <c r="J916">
        <v>1</v>
      </c>
      <c r="K916" t="s">
        <v>86</v>
      </c>
      <c r="P916">
        <v>0</v>
      </c>
      <c r="R916">
        <v>0</v>
      </c>
      <c r="T916">
        <v>0</v>
      </c>
      <c r="U916" t="b">
        <v>0</v>
      </c>
      <c r="Y916">
        <v>0</v>
      </c>
      <c r="Z916">
        <v>0</v>
      </c>
      <c r="AE916">
        <v>0</v>
      </c>
      <c r="AF916" t="b">
        <v>0</v>
      </c>
    </row>
    <row r="917" spans="1:35" x14ac:dyDescent="0.3">
      <c r="A917" t="s">
        <v>1979</v>
      </c>
      <c r="B917" t="s">
        <v>1980</v>
      </c>
      <c r="C917" t="s">
        <v>431</v>
      </c>
      <c r="D917">
        <v>223</v>
      </c>
      <c r="E917">
        <v>62</v>
      </c>
      <c r="F917">
        <v>2</v>
      </c>
      <c r="G917">
        <v>300</v>
      </c>
      <c r="I917">
        <v>1</v>
      </c>
      <c r="J917">
        <v>1</v>
      </c>
      <c r="K917" t="s">
        <v>432</v>
      </c>
      <c r="L917">
        <v>0.92542345009044558</v>
      </c>
      <c r="M917">
        <v>1</v>
      </c>
      <c r="N917">
        <v>1</v>
      </c>
      <c r="O917" t="s">
        <v>433</v>
      </c>
      <c r="P917">
        <v>0</v>
      </c>
      <c r="R917">
        <v>0</v>
      </c>
      <c r="T917">
        <v>0</v>
      </c>
      <c r="U917" t="b">
        <v>0</v>
      </c>
      <c r="Y917">
        <v>0.85356026969248477</v>
      </c>
      <c r="Z917">
        <v>4</v>
      </c>
      <c r="AA917">
        <v>0</v>
      </c>
      <c r="AB917">
        <v>0</v>
      </c>
      <c r="AE917">
        <v>0</v>
      </c>
      <c r="AF917" t="b">
        <v>0</v>
      </c>
    </row>
    <row r="918" spans="1:35" x14ac:dyDescent="0.3">
      <c r="A918" t="s">
        <v>1981</v>
      </c>
      <c r="B918" t="s">
        <v>1982</v>
      </c>
      <c r="C918" t="s">
        <v>474</v>
      </c>
      <c r="D918">
        <v>5649</v>
      </c>
      <c r="E918">
        <v>175542</v>
      </c>
      <c r="F918">
        <v>1209</v>
      </c>
      <c r="G918">
        <v>67</v>
      </c>
      <c r="H918">
        <v>1</v>
      </c>
      <c r="I918">
        <v>8.8708115436761506E-2</v>
      </c>
      <c r="J918">
        <v>0.32460960969237301</v>
      </c>
      <c r="K918" t="s">
        <v>86</v>
      </c>
      <c r="P918">
        <v>0</v>
      </c>
      <c r="R918">
        <v>0</v>
      </c>
      <c r="T918">
        <v>0</v>
      </c>
      <c r="U918" t="b">
        <v>0</v>
      </c>
      <c r="V918">
        <v>10.519784810943349</v>
      </c>
      <c r="Y918">
        <v>0</v>
      </c>
      <c r="Z918">
        <v>1515</v>
      </c>
      <c r="AA918">
        <v>1.3741328221051501E-2</v>
      </c>
      <c r="AB918">
        <v>1.6273558197630169</v>
      </c>
      <c r="AC918">
        <v>1.92056866944261E-2</v>
      </c>
      <c r="AD918">
        <v>3.40163326013685E-2</v>
      </c>
      <c r="AE918">
        <v>0</v>
      </c>
      <c r="AF918" t="b">
        <v>0</v>
      </c>
    </row>
    <row r="919" spans="1:35" x14ac:dyDescent="0.3">
      <c r="A919" t="s">
        <v>1983</v>
      </c>
      <c r="B919" t="s">
        <v>1984</v>
      </c>
      <c r="C919" t="s">
        <v>431</v>
      </c>
      <c r="D919">
        <v>50</v>
      </c>
      <c r="E919">
        <v>241</v>
      </c>
      <c r="F919">
        <v>31</v>
      </c>
      <c r="G919">
        <v>600</v>
      </c>
      <c r="H919">
        <v>60</v>
      </c>
      <c r="I919">
        <v>1</v>
      </c>
      <c r="J919">
        <v>1</v>
      </c>
      <c r="K919" t="s">
        <v>432</v>
      </c>
      <c r="L919">
        <v>0.1065292096219931</v>
      </c>
      <c r="M919">
        <v>1</v>
      </c>
      <c r="N919">
        <v>1</v>
      </c>
      <c r="O919" t="s">
        <v>433</v>
      </c>
      <c r="P919">
        <v>0</v>
      </c>
      <c r="R919">
        <v>0</v>
      </c>
      <c r="T919">
        <v>0</v>
      </c>
      <c r="U919" t="b">
        <v>0</v>
      </c>
      <c r="Y919">
        <v>0</v>
      </c>
      <c r="Z919">
        <v>0</v>
      </c>
      <c r="AE919">
        <v>0</v>
      </c>
      <c r="AF919" t="b">
        <v>0</v>
      </c>
    </row>
    <row r="920" spans="1:35" x14ac:dyDescent="0.3">
      <c r="A920" t="s">
        <v>1985</v>
      </c>
      <c r="B920" t="s">
        <v>1986</v>
      </c>
      <c r="C920" t="s">
        <v>558</v>
      </c>
      <c r="D920">
        <v>172</v>
      </c>
      <c r="E920">
        <v>2901</v>
      </c>
      <c r="F920">
        <v>1</v>
      </c>
      <c r="G920">
        <v>60</v>
      </c>
      <c r="I920">
        <v>1</v>
      </c>
      <c r="J920">
        <v>1</v>
      </c>
      <c r="K920" t="s">
        <v>86</v>
      </c>
      <c r="P920">
        <v>0</v>
      </c>
      <c r="R920">
        <v>0</v>
      </c>
      <c r="T920">
        <v>0</v>
      </c>
      <c r="U920" t="b">
        <v>0</v>
      </c>
      <c r="V920">
        <v>0</v>
      </c>
      <c r="Y920">
        <v>0</v>
      </c>
      <c r="Z920">
        <v>62</v>
      </c>
      <c r="AA920">
        <v>0</v>
      </c>
      <c r="AB920">
        <v>0</v>
      </c>
      <c r="AC920">
        <v>0</v>
      </c>
      <c r="AD920">
        <v>0</v>
      </c>
      <c r="AE920">
        <v>0</v>
      </c>
      <c r="AF920" t="b">
        <v>0</v>
      </c>
    </row>
    <row r="921" spans="1:35" x14ac:dyDescent="0.3">
      <c r="A921" t="s">
        <v>1987</v>
      </c>
      <c r="B921" t="s">
        <v>1988</v>
      </c>
      <c r="C921" t="s">
        <v>558</v>
      </c>
      <c r="D921">
        <v>1166</v>
      </c>
      <c r="E921">
        <v>21704</v>
      </c>
      <c r="F921">
        <v>1</v>
      </c>
      <c r="G921">
        <v>60</v>
      </c>
      <c r="I921">
        <v>1</v>
      </c>
      <c r="J921">
        <v>1</v>
      </c>
      <c r="K921" t="s">
        <v>86</v>
      </c>
      <c r="P921">
        <v>0</v>
      </c>
      <c r="R921">
        <v>0</v>
      </c>
      <c r="T921">
        <v>0</v>
      </c>
      <c r="U921" t="b">
        <v>0</v>
      </c>
      <c r="V921">
        <v>0</v>
      </c>
      <c r="Y921">
        <v>0</v>
      </c>
      <c r="Z921">
        <v>401</v>
      </c>
      <c r="AA921">
        <v>0</v>
      </c>
      <c r="AB921">
        <v>0</v>
      </c>
      <c r="AC921">
        <v>0</v>
      </c>
      <c r="AD921">
        <v>0</v>
      </c>
      <c r="AE921">
        <v>0</v>
      </c>
      <c r="AF921" t="b">
        <v>0</v>
      </c>
    </row>
    <row r="922" spans="1:35" x14ac:dyDescent="0.3">
      <c r="A922" t="s">
        <v>1989</v>
      </c>
      <c r="B922" t="s">
        <v>1990</v>
      </c>
      <c r="C922" t="s">
        <v>558</v>
      </c>
      <c r="D922">
        <v>1722</v>
      </c>
      <c r="E922">
        <v>70776</v>
      </c>
      <c r="F922">
        <v>1</v>
      </c>
      <c r="G922">
        <v>60</v>
      </c>
      <c r="I922">
        <v>1</v>
      </c>
      <c r="J922">
        <v>1</v>
      </c>
      <c r="K922" t="s">
        <v>86</v>
      </c>
      <c r="P922">
        <v>0</v>
      </c>
      <c r="R922">
        <v>0</v>
      </c>
      <c r="T922">
        <v>0</v>
      </c>
      <c r="U922" t="b">
        <v>0</v>
      </c>
      <c r="V922">
        <v>0</v>
      </c>
      <c r="Y922">
        <v>0</v>
      </c>
      <c r="Z922">
        <v>1085</v>
      </c>
      <c r="AA922">
        <v>0</v>
      </c>
      <c r="AB922">
        <v>0</v>
      </c>
      <c r="AC922">
        <v>0</v>
      </c>
      <c r="AD922">
        <v>0</v>
      </c>
      <c r="AE922">
        <v>0</v>
      </c>
      <c r="AF922" t="b">
        <v>0</v>
      </c>
    </row>
    <row r="923" spans="1:35" x14ac:dyDescent="0.3">
      <c r="A923" t="s">
        <v>1991</v>
      </c>
      <c r="B923" t="s">
        <v>1992</v>
      </c>
      <c r="C923" t="s">
        <v>558</v>
      </c>
      <c r="D923">
        <v>11195</v>
      </c>
      <c r="E923">
        <v>288121</v>
      </c>
      <c r="F923">
        <v>783</v>
      </c>
      <c r="G923">
        <v>28</v>
      </c>
      <c r="H923">
        <v>1</v>
      </c>
      <c r="I923">
        <v>6.5406547943398702E-2</v>
      </c>
      <c r="J923">
        <v>9.18116252139764E-2</v>
      </c>
      <c r="K923" t="s">
        <v>86</v>
      </c>
      <c r="P923">
        <v>0</v>
      </c>
      <c r="R923">
        <v>0</v>
      </c>
      <c r="T923">
        <v>0</v>
      </c>
      <c r="U923" t="b">
        <v>0</v>
      </c>
      <c r="V923">
        <v>0</v>
      </c>
      <c r="Y923">
        <v>0</v>
      </c>
      <c r="Z923">
        <v>6460</v>
      </c>
      <c r="AA923">
        <v>0</v>
      </c>
      <c r="AB923">
        <v>0</v>
      </c>
      <c r="AC923">
        <v>0</v>
      </c>
      <c r="AD923">
        <v>0</v>
      </c>
      <c r="AE923">
        <v>0</v>
      </c>
      <c r="AF923" t="b">
        <v>0</v>
      </c>
    </row>
    <row r="924" spans="1:35" x14ac:dyDescent="0.3">
      <c r="A924" t="s">
        <v>1993</v>
      </c>
      <c r="B924" t="s">
        <v>1994</v>
      </c>
      <c r="C924" t="s">
        <v>558</v>
      </c>
      <c r="D924">
        <v>6064</v>
      </c>
      <c r="E924">
        <v>150311</v>
      </c>
      <c r="F924">
        <v>16</v>
      </c>
      <c r="G924">
        <v>90</v>
      </c>
      <c r="H924">
        <v>10</v>
      </c>
      <c r="I924">
        <v>0.1751634943550372</v>
      </c>
      <c r="J924">
        <v>0.4952134904749419</v>
      </c>
      <c r="K924" t="s">
        <v>86</v>
      </c>
      <c r="P924">
        <v>0</v>
      </c>
      <c r="R924">
        <v>0</v>
      </c>
      <c r="T924">
        <v>0</v>
      </c>
      <c r="U924" t="b">
        <v>0</v>
      </c>
      <c r="V924">
        <v>0</v>
      </c>
      <c r="Y924">
        <v>0</v>
      </c>
      <c r="Z924">
        <v>2192</v>
      </c>
      <c r="AA924">
        <v>0</v>
      </c>
      <c r="AB924">
        <v>0</v>
      </c>
      <c r="AC924">
        <v>0</v>
      </c>
      <c r="AD924">
        <v>0</v>
      </c>
      <c r="AE924">
        <v>0</v>
      </c>
      <c r="AF924" t="b">
        <v>0</v>
      </c>
    </row>
    <row r="925" spans="1:35" x14ac:dyDescent="0.3">
      <c r="A925" t="s">
        <v>1995</v>
      </c>
      <c r="B925" t="s">
        <v>1996</v>
      </c>
      <c r="C925" t="s">
        <v>558</v>
      </c>
      <c r="D925">
        <v>16878</v>
      </c>
      <c r="E925">
        <v>840162</v>
      </c>
      <c r="F925">
        <v>808</v>
      </c>
      <c r="G925">
        <v>30</v>
      </c>
      <c r="H925">
        <v>1</v>
      </c>
      <c r="I925">
        <v>7.0843480185964003E-3</v>
      </c>
      <c r="J925">
        <v>3.5991703654348201E-2</v>
      </c>
      <c r="K925" t="s">
        <v>86</v>
      </c>
      <c r="P925">
        <v>0</v>
      </c>
      <c r="R925">
        <v>0</v>
      </c>
      <c r="T925">
        <v>1</v>
      </c>
      <c r="U925" t="b">
        <v>1</v>
      </c>
      <c r="V925">
        <v>0</v>
      </c>
      <c r="W925">
        <v>0</v>
      </c>
      <c r="X925" t="b">
        <v>0</v>
      </c>
      <c r="Y925">
        <v>0</v>
      </c>
      <c r="Z925">
        <v>23021</v>
      </c>
      <c r="AA925">
        <v>0</v>
      </c>
      <c r="AB925">
        <v>0</v>
      </c>
      <c r="AC925">
        <v>0</v>
      </c>
      <c r="AD925">
        <v>0</v>
      </c>
      <c r="AE925">
        <v>1</v>
      </c>
      <c r="AF925" t="b">
        <v>1</v>
      </c>
      <c r="AG925">
        <v>0</v>
      </c>
      <c r="AH925">
        <v>0</v>
      </c>
      <c r="AI925" t="b">
        <v>0</v>
      </c>
    </row>
    <row r="926" spans="1:35" x14ac:dyDescent="0.3">
      <c r="A926" t="s">
        <v>1997</v>
      </c>
      <c r="B926" t="s">
        <v>1998</v>
      </c>
      <c r="C926" t="s">
        <v>558</v>
      </c>
      <c r="D926">
        <v>502</v>
      </c>
      <c r="E926">
        <v>9832</v>
      </c>
      <c r="F926">
        <v>6</v>
      </c>
      <c r="G926">
        <v>60</v>
      </c>
      <c r="H926">
        <v>60</v>
      </c>
      <c r="I926">
        <v>1</v>
      </c>
      <c r="J926">
        <v>1</v>
      </c>
      <c r="K926" t="s">
        <v>86</v>
      </c>
      <c r="P926">
        <v>0</v>
      </c>
      <c r="R926">
        <v>0</v>
      </c>
      <c r="T926">
        <v>0</v>
      </c>
      <c r="U926" t="b">
        <v>0</v>
      </c>
      <c r="V926">
        <v>0</v>
      </c>
      <c r="Y926">
        <v>0</v>
      </c>
      <c r="Z926">
        <v>201</v>
      </c>
      <c r="AA926">
        <v>0</v>
      </c>
      <c r="AB926">
        <v>0</v>
      </c>
      <c r="AC926">
        <v>0</v>
      </c>
      <c r="AD926">
        <v>0</v>
      </c>
      <c r="AE926">
        <v>0</v>
      </c>
      <c r="AF926" t="b">
        <v>0</v>
      </c>
    </row>
    <row r="927" spans="1:35" x14ac:dyDescent="0.3">
      <c r="A927" t="s">
        <v>1999</v>
      </c>
      <c r="B927" t="s">
        <v>2000</v>
      </c>
      <c r="C927" t="s">
        <v>558</v>
      </c>
      <c r="D927">
        <v>803</v>
      </c>
      <c r="E927">
        <v>7382</v>
      </c>
      <c r="F927">
        <v>25</v>
      </c>
      <c r="G927">
        <v>180</v>
      </c>
      <c r="H927">
        <v>30</v>
      </c>
      <c r="I927">
        <v>0.78163099431048499</v>
      </c>
      <c r="J927">
        <v>0.86849239715531801</v>
      </c>
      <c r="K927" t="s">
        <v>86</v>
      </c>
      <c r="P927">
        <v>0</v>
      </c>
      <c r="R927">
        <v>0</v>
      </c>
      <c r="T927">
        <v>0</v>
      </c>
      <c r="U927" t="b">
        <v>0</v>
      </c>
      <c r="V927">
        <v>0</v>
      </c>
      <c r="Y927">
        <v>0</v>
      </c>
      <c r="Z927">
        <v>139</v>
      </c>
      <c r="AA927">
        <v>0</v>
      </c>
      <c r="AB927">
        <v>0</v>
      </c>
      <c r="AC927">
        <v>0</v>
      </c>
      <c r="AD927">
        <v>0</v>
      </c>
      <c r="AE927">
        <v>0</v>
      </c>
      <c r="AF927" t="b">
        <v>0</v>
      </c>
    </row>
    <row r="928" spans="1:35" x14ac:dyDescent="0.3">
      <c r="A928" t="s">
        <v>2001</v>
      </c>
      <c r="B928" t="s">
        <v>2002</v>
      </c>
      <c r="C928" t="s">
        <v>558</v>
      </c>
      <c r="D928">
        <v>10591</v>
      </c>
      <c r="E928">
        <v>625546</v>
      </c>
      <c r="F928">
        <v>559</v>
      </c>
      <c r="G928">
        <v>61</v>
      </c>
      <c r="H928">
        <v>1</v>
      </c>
      <c r="I928">
        <v>2.1477237485332801E-2</v>
      </c>
      <c r="J928">
        <v>2.3464865815229299E-2</v>
      </c>
      <c r="K928" t="s">
        <v>86</v>
      </c>
      <c r="P928">
        <v>0</v>
      </c>
      <c r="R928">
        <v>0</v>
      </c>
      <c r="T928">
        <v>2</v>
      </c>
      <c r="U928" t="b">
        <v>1</v>
      </c>
      <c r="V928">
        <v>0</v>
      </c>
      <c r="W928">
        <v>0</v>
      </c>
      <c r="X928" t="b">
        <v>0</v>
      </c>
      <c r="Y928">
        <v>0</v>
      </c>
      <c r="Z928">
        <v>7495</v>
      </c>
      <c r="AA928">
        <v>0</v>
      </c>
      <c r="AB928">
        <v>0</v>
      </c>
      <c r="AC928">
        <v>0</v>
      </c>
      <c r="AD928">
        <v>0</v>
      </c>
      <c r="AE928">
        <v>2</v>
      </c>
      <c r="AF928" t="b">
        <v>1</v>
      </c>
      <c r="AG928">
        <v>0</v>
      </c>
      <c r="AH928">
        <v>0</v>
      </c>
      <c r="AI928" t="b">
        <v>0</v>
      </c>
    </row>
    <row r="929" spans="1:35" x14ac:dyDescent="0.3">
      <c r="A929" t="s">
        <v>2003</v>
      </c>
      <c r="B929" t="s">
        <v>2004</v>
      </c>
      <c r="C929" t="s">
        <v>558</v>
      </c>
      <c r="D929">
        <v>1476</v>
      </c>
      <c r="E929">
        <v>110069</v>
      </c>
      <c r="F929">
        <v>46</v>
      </c>
      <c r="G929">
        <v>50</v>
      </c>
      <c r="H929">
        <v>10</v>
      </c>
      <c r="I929">
        <v>6.7503111684488002E-3</v>
      </c>
      <c r="J929">
        <v>0.14503112544225</v>
      </c>
      <c r="K929" t="s">
        <v>86</v>
      </c>
      <c r="P929">
        <v>0</v>
      </c>
      <c r="R929">
        <v>0</v>
      </c>
      <c r="T929">
        <v>2</v>
      </c>
      <c r="U929" t="b">
        <v>1</v>
      </c>
      <c r="V929">
        <v>0</v>
      </c>
      <c r="W929">
        <v>0</v>
      </c>
      <c r="X929" t="b">
        <v>0</v>
      </c>
      <c r="Y929">
        <v>0</v>
      </c>
      <c r="Z929">
        <v>2221</v>
      </c>
      <c r="AA929">
        <v>0</v>
      </c>
      <c r="AB929">
        <v>0</v>
      </c>
      <c r="AC929">
        <v>0</v>
      </c>
      <c r="AD929">
        <v>0</v>
      </c>
      <c r="AE929">
        <v>2</v>
      </c>
      <c r="AF929" t="b">
        <v>1</v>
      </c>
      <c r="AG929">
        <v>0</v>
      </c>
      <c r="AH929">
        <v>0</v>
      </c>
      <c r="AI929" t="b">
        <v>0</v>
      </c>
    </row>
    <row r="930" spans="1:35" x14ac:dyDescent="0.3">
      <c r="A930" t="s">
        <v>2005</v>
      </c>
      <c r="B930" t="s">
        <v>2006</v>
      </c>
      <c r="C930" t="s">
        <v>558</v>
      </c>
      <c r="D930">
        <v>2220</v>
      </c>
      <c r="E930">
        <v>105809</v>
      </c>
      <c r="F930">
        <v>121</v>
      </c>
      <c r="G930">
        <v>60</v>
      </c>
      <c r="H930">
        <v>1</v>
      </c>
      <c r="I930">
        <v>0.88012361897381131</v>
      </c>
      <c r="J930">
        <v>0.88371382830068201</v>
      </c>
      <c r="K930" t="s">
        <v>86</v>
      </c>
      <c r="P930">
        <v>0</v>
      </c>
      <c r="R930">
        <v>0</v>
      </c>
      <c r="T930">
        <v>0</v>
      </c>
      <c r="U930" t="b">
        <v>0</v>
      </c>
      <c r="V930">
        <v>0</v>
      </c>
      <c r="Y930">
        <v>0</v>
      </c>
      <c r="Z930">
        <v>3211</v>
      </c>
      <c r="AA930">
        <v>0</v>
      </c>
      <c r="AB930">
        <v>0</v>
      </c>
      <c r="AC930">
        <v>0</v>
      </c>
      <c r="AD930">
        <v>0</v>
      </c>
      <c r="AE930">
        <v>0</v>
      </c>
      <c r="AF930" t="b">
        <v>0</v>
      </c>
    </row>
    <row r="931" spans="1:35" x14ac:dyDescent="0.3">
      <c r="A931" t="s">
        <v>2007</v>
      </c>
      <c r="B931" t="s">
        <v>2008</v>
      </c>
      <c r="C931" t="s">
        <v>558</v>
      </c>
      <c r="D931">
        <v>62</v>
      </c>
      <c r="E931">
        <v>2356</v>
      </c>
      <c r="F931">
        <v>54</v>
      </c>
      <c r="G931">
        <v>39</v>
      </c>
      <c r="H931">
        <v>1</v>
      </c>
      <c r="I931">
        <v>1.35823429541595E-2</v>
      </c>
      <c r="J931">
        <v>5.0806451612903203E-2</v>
      </c>
      <c r="K931" t="s">
        <v>86</v>
      </c>
      <c r="P931">
        <v>0</v>
      </c>
      <c r="R931">
        <v>0</v>
      </c>
      <c r="T931">
        <v>0</v>
      </c>
      <c r="U931" t="b">
        <v>0</v>
      </c>
      <c r="V931">
        <v>0</v>
      </c>
      <c r="Y931">
        <v>0</v>
      </c>
      <c r="Z931">
        <v>76</v>
      </c>
      <c r="AA931">
        <v>0</v>
      </c>
      <c r="AB931">
        <v>0</v>
      </c>
      <c r="AC931">
        <v>0</v>
      </c>
      <c r="AD931">
        <v>0</v>
      </c>
      <c r="AE931">
        <v>0</v>
      </c>
      <c r="AF931" t="b">
        <v>0</v>
      </c>
    </row>
    <row r="932" spans="1:35" x14ac:dyDescent="0.3">
      <c r="A932" t="s">
        <v>2009</v>
      </c>
      <c r="B932" t="s">
        <v>2010</v>
      </c>
      <c r="C932" t="s">
        <v>558</v>
      </c>
      <c r="D932">
        <v>356</v>
      </c>
      <c r="E932">
        <v>12719</v>
      </c>
      <c r="F932">
        <v>1</v>
      </c>
      <c r="G932">
        <v>60</v>
      </c>
      <c r="I932">
        <v>1</v>
      </c>
      <c r="J932">
        <v>1</v>
      </c>
      <c r="K932" t="s">
        <v>86</v>
      </c>
      <c r="P932">
        <v>0</v>
      </c>
      <c r="R932">
        <v>0</v>
      </c>
      <c r="T932">
        <v>0</v>
      </c>
      <c r="U932" t="b">
        <v>0</v>
      </c>
      <c r="V932">
        <v>0</v>
      </c>
      <c r="Y932">
        <v>0</v>
      </c>
      <c r="Z932">
        <v>371</v>
      </c>
      <c r="AA932">
        <v>0</v>
      </c>
      <c r="AB932">
        <v>0</v>
      </c>
      <c r="AC932">
        <v>0</v>
      </c>
      <c r="AD932">
        <v>0</v>
      </c>
      <c r="AE932">
        <v>0</v>
      </c>
      <c r="AF932" t="b">
        <v>0</v>
      </c>
    </row>
    <row r="933" spans="1:35" x14ac:dyDescent="0.3">
      <c r="A933" t="s">
        <v>2011</v>
      </c>
      <c r="B933" t="s">
        <v>2012</v>
      </c>
      <c r="C933" t="s">
        <v>558</v>
      </c>
      <c r="D933">
        <v>7517</v>
      </c>
      <c r="E933">
        <v>462126</v>
      </c>
      <c r="F933">
        <v>241</v>
      </c>
      <c r="G933">
        <v>60</v>
      </c>
      <c r="H933">
        <v>1</v>
      </c>
      <c r="I933">
        <v>0.29514028641539319</v>
      </c>
      <c r="J933">
        <v>4.8422742486309699E-2</v>
      </c>
      <c r="K933" t="s">
        <v>86</v>
      </c>
      <c r="P933">
        <v>0</v>
      </c>
      <c r="R933">
        <v>0</v>
      </c>
      <c r="T933">
        <v>2</v>
      </c>
      <c r="U933" t="b">
        <v>1</v>
      </c>
      <c r="V933">
        <v>0</v>
      </c>
      <c r="W933">
        <v>0</v>
      </c>
      <c r="X933" t="b">
        <v>0</v>
      </c>
      <c r="Y933">
        <v>0</v>
      </c>
      <c r="Z933">
        <v>14161</v>
      </c>
      <c r="AA933">
        <v>0</v>
      </c>
      <c r="AB933">
        <v>0</v>
      </c>
      <c r="AC933">
        <v>0</v>
      </c>
      <c r="AD933">
        <v>0</v>
      </c>
      <c r="AE933">
        <v>2</v>
      </c>
      <c r="AF933" t="b">
        <v>1</v>
      </c>
      <c r="AG933">
        <v>0</v>
      </c>
      <c r="AH933">
        <v>0</v>
      </c>
      <c r="AI933" t="b">
        <v>0</v>
      </c>
    </row>
    <row r="934" spans="1:35" x14ac:dyDescent="0.3">
      <c r="A934" t="s">
        <v>2013</v>
      </c>
      <c r="B934" t="s">
        <v>2014</v>
      </c>
      <c r="C934" t="s">
        <v>558</v>
      </c>
      <c r="D934">
        <v>14759</v>
      </c>
      <c r="E934">
        <v>461174</v>
      </c>
      <c r="F934">
        <v>8</v>
      </c>
      <c r="G934">
        <v>60</v>
      </c>
      <c r="H934">
        <v>30</v>
      </c>
      <c r="I934">
        <v>0.99787065185808399</v>
      </c>
      <c r="J934">
        <v>0.99768630278709602</v>
      </c>
      <c r="K934" t="s">
        <v>86</v>
      </c>
      <c r="P934">
        <v>0</v>
      </c>
      <c r="R934">
        <v>0</v>
      </c>
      <c r="T934">
        <v>0</v>
      </c>
      <c r="U934" t="b">
        <v>0</v>
      </c>
      <c r="V934">
        <v>0</v>
      </c>
      <c r="Y934">
        <v>0</v>
      </c>
      <c r="Z934">
        <v>8351</v>
      </c>
      <c r="AA934">
        <v>0</v>
      </c>
      <c r="AB934">
        <v>0</v>
      </c>
      <c r="AC934">
        <v>0</v>
      </c>
      <c r="AD934">
        <v>0</v>
      </c>
      <c r="AE934">
        <v>0</v>
      </c>
      <c r="AF934" t="b">
        <v>0</v>
      </c>
    </row>
    <row r="935" spans="1:35" x14ac:dyDescent="0.3">
      <c r="A935" t="s">
        <v>2015</v>
      </c>
      <c r="B935" t="s">
        <v>2016</v>
      </c>
      <c r="C935" t="s">
        <v>431</v>
      </c>
      <c r="D935">
        <v>72</v>
      </c>
      <c r="E935">
        <v>1236</v>
      </c>
      <c r="F935">
        <v>9</v>
      </c>
      <c r="G935">
        <v>120</v>
      </c>
      <c r="H935">
        <v>60</v>
      </c>
      <c r="I935">
        <v>1</v>
      </c>
      <c r="J935">
        <v>1</v>
      </c>
      <c r="K935" t="s">
        <v>86</v>
      </c>
      <c r="P935">
        <v>0</v>
      </c>
      <c r="R935">
        <v>0</v>
      </c>
      <c r="T935">
        <v>0</v>
      </c>
      <c r="U935" t="b">
        <v>0</v>
      </c>
      <c r="Y935">
        <v>0</v>
      </c>
      <c r="Z935">
        <v>74</v>
      </c>
      <c r="AA935">
        <v>0</v>
      </c>
      <c r="AB935">
        <v>0</v>
      </c>
      <c r="AC935">
        <v>0</v>
      </c>
      <c r="AD935">
        <v>0</v>
      </c>
      <c r="AE935">
        <v>0</v>
      </c>
      <c r="AF935" t="b">
        <v>0</v>
      </c>
    </row>
    <row r="936" spans="1:35" x14ac:dyDescent="0.3">
      <c r="A936" t="s">
        <v>2017</v>
      </c>
      <c r="B936" t="s">
        <v>2018</v>
      </c>
      <c r="C936" t="s">
        <v>1707</v>
      </c>
      <c r="D936">
        <v>795</v>
      </c>
      <c r="E936">
        <v>25997</v>
      </c>
      <c r="F936">
        <v>53</v>
      </c>
      <c r="G936">
        <v>126</v>
      </c>
      <c r="H936">
        <v>63</v>
      </c>
      <c r="I936">
        <v>3.0772781474779998E-4</v>
      </c>
      <c r="J936">
        <v>5.2763162804582202E-2</v>
      </c>
      <c r="K936" t="s">
        <v>86</v>
      </c>
      <c r="P936">
        <v>0</v>
      </c>
      <c r="R936">
        <v>0</v>
      </c>
      <c r="T936">
        <v>0</v>
      </c>
      <c r="U936" t="b">
        <v>0</v>
      </c>
      <c r="Y936">
        <v>0</v>
      </c>
      <c r="Z936">
        <v>0</v>
      </c>
      <c r="AE936">
        <v>0</v>
      </c>
      <c r="AF936" t="b">
        <v>0</v>
      </c>
    </row>
    <row r="937" spans="1:35" x14ac:dyDescent="0.3">
      <c r="A937" t="s">
        <v>2019</v>
      </c>
      <c r="B937" t="s">
        <v>2020</v>
      </c>
      <c r="C937" t="s">
        <v>431</v>
      </c>
      <c r="D937">
        <v>72</v>
      </c>
      <c r="E937">
        <v>24</v>
      </c>
      <c r="F937">
        <v>2</v>
      </c>
      <c r="G937">
        <v>540</v>
      </c>
      <c r="I937">
        <v>1</v>
      </c>
      <c r="J937">
        <v>1</v>
      </c>
      <c r="K937" t="s">
        <v>86</v>
      </c>
      <c r="P937">
        <v>0</v>
      </c>
      <c r="R937">
        <v>0</v>
      </c>
      <c r="T937">
        <v>0</v>
      </c>
      <c r="U937" t="b">
        <v>0</v>
      </c>
      <c r="Y937">
        <v>0.81270903010033446</v>
      </c>
      <c r="Z937">
        <v>2</v>
      </c>
      <c r="AA937">
        <v>0</v>
      </c>
      <c r="AB937">
        <v>0</v>
      </c>
      <c r="AE937">
        <v>0</v>
      </c>
      <c r="AF937" t="b">
        <v>0</v>
      </c>
    </row>
    <row r="938" spans="1:35" x14ac:dyDescent="0.3">
      <c r="A938" t="s">
        <v>2021</v>
      </c>
      <c r="B938" t="s">
        <v>2022</v>
      </c>
      <c r="C938" t="s">
        <v>462</v>
      </c>
      <c r="D938">
        <v>34826</v>
      </c>
      <c r="E938">
        <v>932394</v>
      </c>
      <c r="F938">
        <v>631</v>
      </c>
      <c r="G938">
        <v>60</v>
      </c>
      <c r="H938">
        <v>1</v>
      </c>
      <c r="I938">
        <v>0.50568750978663524</v>
      </c>
      <c r="J938">
        <v>0.62124420847947726</v>
      </c>
      <c r="K938" t="s">
        <v>432</v>
      </c>
      <c r="L938">
        <v>0.6434515083314406</v>
      </c>
      <c r="M938">
        <v>0.9935593356900424</v>
      </c>
      <c r="N938">
        <v>0.41493744672123711</v>
      </c>
      <c r="O938" t="s">
        <v>433</v>
      </c>
      <c r="P938">
        <v>36582</v>
      </c>
      <c r="Q938">
        <v>0.58547919741949594</v>
      </c>
      <c r="R938">
        <v>2497</v>
      </c>
      <c r="S938">
        <v>0.38526231477773321</v>
      </c>
      <c r="T938">
        <v>3</v>
      </c>
      <c r="U938" t="b">
        <v>1</v>
      </c>
      <c r="V938">
        <v>7.2920957707774523</v>
      </c>
      <c r="W938">
        <v>15.683557056496619</v>
      </c>
      <c r="X938" t="b">
        <v>0</v>
      </c>
      <c r="Y938">
        <v>0</v>
      </c>
      <c r="Z938">
        <v>24633</v>
      </c>
      <c r="AA938">
        <v>5.0341288396132097E-2</v>
      </c>
      <c r="AB938">
        <v>4.0887761131180813</v>
      </c>
      <c r="AC938">
        <v>3.5744529617655001E-2</v>
      </c>
      <c r="AD938">
        <v>7.0443014784593097E-2</v>
      </c>
      <c r="AE938">
        <v>3</v>
      </c>
      <c r="AF938" t="b">
        <v>1</v>
      </c>
      <c r="AG938">
        <v>6.9261765376719996E-4</v>
      </c>
      <c r="AH938">
        <v>0.12185660781166389</v>
      </c>
      <c r="AI938" t="b">
        <v>1</v>
      </c>
    </row>
    <row r="939" spans="1:35" x14ac:dyDescent="0.3">
      <c r="A939" t="s">
        <v>2023</v>
      </c>
      <c r="B939" t="s">
        <v>1265</v>
      </c>
      <c r="C939" t="s">
        <v>431</v>
      </c>
      <c r="D939">
        <v>193</v>
      </c>
      <c r="E939">
        <v>4206</v>
      </c>
      <c r="F939">
        <v>169</v>
      </c>
      <c r="G939">
        <v>52</v>
      </c>
      <c r="H939">
        <v>1</v>
      </c>
      <c r="I939">
        <v>2.9957203994293798E-2</v>
      </c>
      <c r="J939">
        <v>0.19663559899977259</v>
      </c>
      <c r="K939" t="s">
        <v>432</v>
      </c>
      <c r="L939">
        <v>0.82041373039327115</v>
      </c>
      <c r="M939">
        <v>1</v>
      </c>
      <c r="N939">
        <v>2.0781379883624201E-2</v>
      </c>
      <c r="O939" t="s">
        <v>433</v>
      </c>
      <c r="P939">
        <v>3534</v>
      </c>
      <c r="Q939">
        <v>0.96406338426711957</v>
      </c>
      <c r="R939">
        <v>0</v>
      </c>
      <c r="T939">
        <v>0</v>
      </c>
      <c r="U939" t="b">
        <v>0</v>
      </c>
      <c r="Y939">
        <v>0</v>
      </c>
      <c r="Z939">
        <v>247</v>
      </c>
      <c r="AA939">
        <v>1.0948905109489E-2</v>
      </c>
      <c r="AB939">
        <v>0.72874493927125505</v>
      </c>
      <c r="AE939">
        <v>0</v>
      </c>
      <c r="AF939" t="b">
        <v>0</v>
      </c>
    </row>
    <row r="940" spans="1:35" x14ac:dyDescent="0.3">
      <c r="A940" t="s">
        <v>2024</v>
      </c>
      <c r="B940" t="s">
        <v>2025</v>
      </c>
      <c r="C940" t="s">
        <v>431</v>
      </c>
      <c r="D940">
        <v>902</v>
      </c>
      <c r="E940">
        <v>23133</v>
      </c>
      <c r="F940">
        <v>272</v>
      </c>
      <c r="G940">
        <v>63</v>
      </c>
      <c r="H940">
        <v>1</v>
      </c>
      <c r="I940">
        <v>1.0331560973501E-2</v>
      </c>
      <c r="J940">
        <v>0.20505033696646971</v>
      </c>
      <c r="K940" t="s">
        <v>432</v>
      </c>
      <c r="L940">
        <v>0.81296280888593064</v>
      </c>
      <c r="M940">
        <v>1</v>
      </c>
      <c r="N940">
        <v>2.21574045645276E-2</v>
      </c>
      <c r="O940" t="s">
        <v>433</v>
      </c>
      <c r="P940">
        <v>19092</v>
      </c>
      <c r="Q940">
        <v>0.83396186884558976</v>
      </c>
      <c r="R940">
        <v>0</v>
      </c>
      <c r="T940">
        <v>0</v>
      </c>
      <c r="U940" t="b">
        <v>0</v>
      </c>
      <c r="V940">
        <v>1.276964769647696</v>
      </c>
      <c r="Y940">
        <v>0</v>
      </c>
      <c r="Z940">
        <v>1100</v>
      </c>
      <c r="AA940">
        <v>5.5810701356649997E-3</v>
      </c>
      <c r="AB940">
        <v>0.4320826446280992</v>
      </c>
      <c r="AC940">
        <v>7.6257163514961996E-3</v>
      </c>
      <c r="AD940">
        <v>8.3967646522841999E-3</v>
      </c>
      <c r="AE940">
        <v>0</v>
      </c>
      <c r="AF940" t="b">
        <v>0</v>
      </c>
    </row>
    <row r="941" spans="1:35" x14ac:dyDescent="0.3">
      <c r="A941" t="s">
        <v>2026</v>
      </c>
      <c r="B941" t="s">
        <v>2027</v>
      </c>
      <c r="C941" t="s">
        <v>431</v>
      </c>
      <c r="D941">
        <v>3156</v>
      </c>
      <c r="E941">
        <v>841</v>
      </c>
      <c r="F941">
        <v>33</v>
      </c>
      <c r="G941">
        <v>600</v>
      </c>
      <c r="H941">
        <v>60</v>
      </c>
      <c r="I941">
        <v>1</v>
      </c>
      <c r="J941">
        <v>1</v>
      </c>
      <c r="K941" t="s">
        <v>86</v>
      </c>
      <c r="P941">
        <v>0</v>
      </c>
      <c r="R941">
        <v>0</v>
      </c>
      <c r="T941">
        <v>0</v>
      </c>
      <c r="U941" t="b">
        <v>0</v>
      </c>
      <c r="V941">
        <v>90.78947368421052</v>
      </c>
      <c r="Y941">
        <v>0.89605203408392764</v>
      </c>
      <c r="Z941">
        <v>27</v>
      </c>
      <c r="AA941">
        <v>5.3167049556941202E-2</v>
      </c>
      <c r="AB941">
        <v>35.000000000000007</v>
      </c>
      <c r="AC941">
        <v>-1.0716637729749101E-2</v>
      </c>
      <c r="AD941">
        <v>0.113213195234389</v>
      </c>
      <c r="AE941">
        <v>0</v>
      </c>
      <c r="AF941" t="b">
        <v>0</v>
      </c>
    </row>
    <row r="942" spans="1:35" x14ac:dyDescent="0.3">
      <c r="A942" t="s">
        <v>2028</v>
      </c>
      <c r="B942" t="s">
        <v>2029</v>
      </c>
      <c r="C942" t="s">
        <v>431</v>
      </c>
      <c r="D942">
        <v>437</v>
      </c>
      <c r="E942">
        <v>15474</v>
      </c>
      <c r="F942">
        <v>139</v>
      </c>
      <c r="G942">
        <v>60</v>
      </c>
      <c r="H942">
        <v>1</v>
      </c>
      <c r="I942">
        <v>0.49722114514669769</v>
      </c>
      <c r="J942">
        <v>0.70699516058073031</v>
      </c>
      <c r="K942" t="s">
        <v>432</v>
      </c>
      <c r="L942">
        <v>0.77191879831563071</v>
      </c>
      <c r="M942">
        <v>0.83411408101405349</v>
      </c>
      <c r="N942">
        <v>0.66943494544862403</v>
      </c>
      <c r="O942" t="s">
        <v>433</v>
      </c>
      <c r="P942">
        <v>4027</v>
      </c>
      <c r="Q942">
        <v>4.1966724608889901E-2</v>
      </c>
      <c r="R942">
        <v>515</v>
      </c>
      <c r="S942">
        <v>1.9417475728155001E-3</v>
      </c>
      <c r="T942">
        <v>0</v>
      </c>
      <c r="U942" t="b">
        <v>0</v>
      </c>
      <c r="V942">
        <v>1.012578616352201</v>
      </c>
      <c r="Y942">
        <v>0</v>
      </c>
      <c r="Z942">
        <v>857</v>
      </c>
      <c r="AA942">
        <v>2.5471260932429998E-4</v>
      </c>
      <c r="AB942">
        <v>1.74400278834351E-2</v>
      </c>
      <c r="AC942">
        <v>-4.7116201573482001E-3</v>
      </c>
      <c r="AD942">
        <v>4.4925902225471997E-3</v>
      </c>
      <c r="AE942">
        <v>0</v>
      </c>
      <c r="AF942" t="b">
        <v>0</v>
      </c>
    </row>
    <row r="943" spans="1:35" x14ac:dyDescent="0.3">
      <c r="A943" t="s">
        <v>2030</v>
      </c>
      <c r="B943" t="s">
        <v>2031</v>
      </c>
      <c r="C943" t="s">
        <v>431</v>
      </c>
      <c r="D943">
        <v>898</v>
      </c>
      <c r="E943">
        <v>41613</v>
      </c>
      <c r="F943">
        <v>288</v>
      </c>
      <c r="G943">
        <v>36</v>
      </c>
      <c r="H943">
        <v>1</v>
      </c>
      <c r="I943">
        <v>1.5451902049840101E-2</v>
      </c>
      <c r="J943">
        <v>0.15264284538119541</v>
      </c>
      <c r="K943" t="s">
        <v>432</v>
      </c>
      <c r="L943">
        <v>0.86549363694102699</v>
      </c>
      <c r="M943">
        <v>1</v>
      </c>
      <c r="N943">
        <v>2.0955072975837701E-2</v>
      </c>
      <c r="O943" t="s">
        <v>433</v>
      </c>
      <c r="P943">
        <v>36022</v>
      </c>
      <c r="Q943">
        <v>0.182249736272278</v>
      </c>
      <c r="R943">
        <v>0</v>
      </c>
      <c r="T943">
        <v>0</v>
      </c>
      <c r="U943" t="b">
        <v>0</v>
      </c>
      <c r="V943">
        <v>0.15823412698412689</v>
      </c>
      <c r="Y943">
        <v>0</v>
      </c>
      <c r="Z943">
        <v>2230</v>
      </c>
      <c r="AA943">
        <v>-5.0907811482759999E-3</v>
      </c>
      <c r="AB943">
        <v>-0.26265177647464638</v>
      </c>
      <c r="AC943">
        <v>1.2794922974559999E-4</v>
      </c>
      <c r="AD943">
        <v>-2.6289155407115002E-3</v>
      </c>
      <c r="AE943">
        <v>0</v>
      </c>
      <c r="AF943" t="b">
        <v>0</v>
      </c>
    </row>
    <row r="944" spans="1:35" x14ac:dyDescent="0.3">
      <c r="A944" t="s">
        <v>2032</v>
      </c>
      <c r="B944" t="s">
        <v>2033</v>
      </c>
      <c r="C944" t="s">
        <v>431</v>
      </c>
      <c r="D944">
        <v>119</v>
      </c>
      <c r="E944">
        <v>328</v>
      </c>
      <c r="F944">
        <v>13</v>
      </c>
      <c r="G944">
        <v>180</v>
      </c>
      <c r="H944">
        <v>60</v>
      </c>
      <c r="I944">
        <v>1</v>
      </c>
      <c r="J944">
        <v>1</v>
      </c>
      <c r="K944" t="s">
        <v>432</v>
      </c>
      <c r="L944">
        <v>0.6419014084507042</v>
      </c>
      <c r="M944">
        <v>1</v>
      </c>
      <c r="O944" t="s">
        <v>433</v>
      </c>
      <c r="P944">
        <v>0</v>
      </c>
      <c r="R944">
        <v>0</v>
      </c>
      <c r="T944">
        <v>0</v>
      </c>
      <c r="U944" t="b">
        <v>0</v>
      </c>
      <c r="V944">
        <v>46.666666666666657</v>
      </c>
      <c r="Y944">
        <v>0.6419014084507042</v>
      </c>
      <c r="Z944">
        <v>0</v>
      </c>
      <c r="AE944">
        <v>0</v>
      </c>
      <c r="AF944" t="b">
        <v>0</v>
      </c>
    </row>
    <row r="945" spans="1:35" x14ac:dyDescent="0.3">
      <c r="A945" t="s">
        <v>2034</v>
      </c>
      <c r="B945" t="s">
        <v>2035</v>
      </c>
      <c r="C945" t="s">
        <v>431</v>
      </c>
      <c r="D945">
        <v>92</v>
      </c>
      <c r="E945">
        <v>710</v>
      </c>
      <c r="F945">
        <v>15</v>
      </c>
      <c r="G945">
        <v>300</v>
      </c>
      <c r="H945">
        <v>60</v>
      </c>
      <c r="I945">
        <v>1</v>
      </c>
      <c r="J945">
        <v>1</v>
      </c>
      <c r="K945" t="s">
        <v>86</v>
      </c>
      <c r="P945">
        <v>0</v>
      </c>
      <c r="R945">
        <v>0</v>
      </c>
      <c r="T945">
        <v>0</v>
      </c>
      <c r="U945" t="b">
        <v>0</v>
      </c>
      <c r="Y945">
        <v>0</v>
      </c>
      <c r="Z945">
        <v>10</v>
      </c>
      <c r="AA945">
        <v>4.3478260869565202E-2</v>
      </c>
      <c r="AB945">
        <v>20</v>
      </c>
      <c r="AE945">
        <v>0</v>
      </c>
      <c r="AF945" t="b">
        <v>0</v>
      </c>
    </row>
    <row r="946" spans="1:35" x14ac:dyDescent="0.3">
      <c r="A946" t="s">
        <v>2036</v>
      </c>
      <c r="B946" t="s">
        <v>2037</v>
      </c>
      <c r="C946" t="s">
        <v>431</v>
      </c>
      <c r="D946">
        <v>904</v>
      </c>
      <c r="E946">
        <v>23496</v>
      </c>
      <c r="F946">
        <v>324</v>
      </c>
      <c r="G946">
        <v>63</v>
      </c>
      <c r="H946">
        <v>1</v>
      </c>
      <c r="I946">
        <v>3.23459312223357E-2</v>
      </c>
      <c r="J946">
        <v>0.21352459016393441</v>
      </c>
      <c r="K946" t="s">
        <v>432</v>
      </c>
      <c r="L946">
        <v>0.80426229508196723</v>
      </c>
      <c r="M946">
        <v>1</v>
      </c>
      <c r="N946">
        <v>2.2115776600081499E-2</v>
      </c>
      <c r="O946" t="s">
        <v>433</v>
      </c>
      <c r="P946">
        <v>18766</v>
      </c>
      <c r="Q946">
        <v>0.75210487051049768</v>
      </c>
      <c r="R946">
        <v>0</v>
      </c>
      <c r="T946">
        <v>0</v>
      </c>
      <c r="U946" t="b">
        <v>0</v>
      </c>
      <c r="V946">
        <v>9.8232464559317751</v>
      </c>
      <c r="Y946">
        <v>0</v>
      </c>
      <c r="Z946">
        <v>1018</v>
      </c>
      <c r="AA946">
        <v>2.2951540885408E-2</v>
      </c>
      <c r="AB946">
        <v>1.7681937741367999</v>
      </c>
      <c r="AC946">
        <v>2.9096963408713999E-3</v>
      </c>
      <c r="AD946">
        <v>4.3365422617953002E-2</v>
      </c>
      <c r="AE946">
        <v>0</v>
      </c>
      <c r="AF946" t="b">
        <v>0</v>
      </c>
    </row>
    <row r="947" spans="1:35" x14ac:dyDescent="0.3">
      <c r="A947" t="s">
        <v>2038</v>
      </c>
      <c r="B947" t="s">
        <v>2039</v>
      </c>
      <c r="C947" t="s">
        <v>431</v>
      </c>
      <c r="D947">
        <v>60</v>
      </c>
      <c r="E947">
        <v>686</v>
      </c>
      <c r="F947">
        <v>6</v>
      </c>
      <c r="G947">
        <v>60</v>
      </c>
      <c r="H947">
        <v>60</v>
      </c>
      <c r="I947">
        <v>1</v>
      </c>
      <c r="J947">
        <v>1</v>
      </c>
      <c r="K947" t="s">
        <v>432</v>
      </c>
      <c r="L947">
        <v>0.84496124031007747</v>
      </c>
      <c r="M947">
        <v>1</v>
      </c>
      <c r="N947">
        <v>1</v>
      </c>
      <c r="O947" t="s">
        <v>433</v>
      </c>
      <c r="P947">
        <v>0</v>
      </c>
      <c r="R947">
        <v>0</v>
      </c>
      <c r="T947">
        <v>0</v>
      </c>
      <c r="U947" t="b">
        <v>0</v>
      </c>
      <c r="V947">
        <v>0</v>
      </c>
      <c r="Y947">
        <v>0</v>
      </c>
      <c r="Z947">
        <v>46</v>
      </c>
      <c r="AA947">
        <v>0</v>
      </c>
      <c r="AB947">
        <v>0</v>
      </c>
      <c r="AC947">
        <v>0</v>
      </c>
      <c r="AD947">
        <v>0</v>
      </c>
      <c r="AE947">
        <v>0</v>
      </c>
      <c r="AF947" t="b">
        <v>0</v>
      </c>
    </row>
    <row r="948" spans="1:35" x14ac:dyDescent="0.3">
      <c r="A948" t="s">
        <v>2040</v>
      </c>
      <c r="B948" t="s">
        <v>2041</v>
      </c>
      <c r="C948" t="s">
        <v>431</v>
      </c>
      <c r="D948">
        <v>2761</v>
      </c>
      <c r="E948">
        <v>86119</v>
      </c>
      <c r="F948">
        <v>355</v>
      </c>
      <c r="G948">
        <v>53</v>
      </c>
      <c r="H948">
        <v>1</v>
      </c>
      <c r="I948">
        <v>1.6221739685783599E-2</v>
      </c>
      <c r="J948">
        <v>0.14420556436824281</v>
      </c>
      <c r="K948" t="s">
        <v>432</v>
      </c>
      <c r="L948">
        <v>0.86869845984227168</v>
      </c>
      <c r="M948">
        <v>1</v>
      </c>
      <c r="N948">
        <v>1.48544343141317E-2</v>
      </c>
      <c r="O948" t="s">
        <v>433</v>
      </c>
      <c r="P948">
        <v>48923</v>
      </c>
      <c r="Q948">
        <v>0.31465772744925702</v>
      </c>
      <c r="R948">
        <v>0</v>
      </c>
      <c r="T948">
        <v>0</v>
      </c>
      <c r="U948" t="b">
        <v>0</v>
      </c>
      <c r="V948">
        <v>8.6620886660571568</v>
      </c>
      <c r="Y948">
        <v>0</v>
      </c>
      <c r="Z948">
        <v>1804</v>
      </c>
      <c r="AA948">
        <v>4.4727795266706602E-2</v>
      </c>
      <c r="AB948">
        <v>2.7477647070526241</v>
      </c>
      <c r="AC948">
        <v>-1.4513698977564601E-2</v>
      </c>
      <c r="AD948">
        <v>9.9054453885829299E-2</v>
      </c>
      <c r="AE948">
        <v>0</v>
      </c>
      <c r="AF948" t="b">
        <v>0</v>
      </c>
    </row>
    <row r="949" spans="1:35" x14ac:dyDescent="0.3">
      <c r="A949" t="s">
        <v>2042</v>
      </c>
      <c r="B949" t="s">
        <v>2043</v>
      </c>
      <c r="C949" t="s">
        <v>431</v>
      </c>
      <c r="D949">
        <v>206</v>
      </c>
      <c r="E949">
        <v>1709</v>
      </c>
      <c r="F949">
        <v>18</v>
      </c>
      <c r="G949">
        <v>120</v>
      </c>
      <c r="H949">
        <v>60</v>
      </c>
      <c r="I949">
        <v>1</v>
      </c>
      <c r="J949">
        <v>1</v>
      </c>
      <c r="K949" t="s">
        <v>432</v>
      </c>
      <c r="L949">
        <v>0.33681462140992169</v>
      </c>
      <c r="M949">
        <v>1</v>
      </c>
      <c r="N949">
        <v>1</v>
      </c>
      <c r="O949" t="s">
        <v>433</v>
      </c>
      <c r="P949">
        <v>0</v>
      </c>
      <c r="R949">
        <v>0</v>
      </c>
      <c r="T949">
        <v>0</v>
      </c>
      <c r="U949" t="b">
        <v>0</v>
      </c>
      <c r="V949">
        <v>0</v>
      </c>
      <c r="Y949">
        <v>0</v>
      </c>
      <c r="Z949">
        <v>133</v>
      </c>
      <c r="AA949">
        <v>0</v>
      </c>
      <c r="AB949">
        <v>0</v>
      </c>
      <c r="AC949">
        <v>0</v>
      </c>
      <c r="AD949">
        <v>0</v>
      </c>
      <c r="AE949">
        <v>0</v>
      </c>
      <c r="AF949" t="b">
        <v>0</v>
      </c>
    </row>
    <row r="950" spans="1:35" x14ac:dyDescent="0.3">
      <c r="A950" t="s">
        <v>2044</v>
      </c>
      <c r="B950" t="s">
        <v>2045</v>
      </c>
      <c r="C950" t="s">
        <v>431</v>
      </c>
      <c r="D950">
        <v>6915</v>
      </c>
      <c r="E950">
        <v>338837</v>
      </c>
      <c r="F950">
        <v>379</v>
      </c>
      <c r="G950">
        <v>37</v>
      </c>
      <c r="H950">
        <v>1</v>
      </c>
      <c r="I950">
        <v>8.8508633944935008E-3</v>
      </c>
      <c r="J950">
        <v>0.1075915685231032</v>
      </c>
      <c r="K950" t="s">
        <v>432</v>
      </c>
      <c r="L950">
        <v>0.90480170758231337</v>
      </c>
      <c r="M950">
        <v>0.98152817864195641</v>
      </c>
      <c r="N950">
        <v>1.5640733033496598E-2</v>
      </c>
      <c r="O950" t="s">
        <v>433</v>
      </c>
      <c r="P950">
        <v>230904</v>
      </c>
      <c r="Q950">
        <v>0.21026054117728579</v>
      </c>
      <c r="R950">
        <v>309</v>
      </c>
      <c r="S950">
        <v>0</v>
      </c>
      <c r="T950">
        <v>1</v>
      </c>
      <c r="U950" t="b">
        <v>1</v>
      </c>
      <c r="V950">
        <v>5.6010438560678839</v>
      </c>
      <c r="W950">
        <v>0</v>
      </c>
      <c r="X950" t="b">
        <v>1</v>
      </c>
      <c r="Y950">
        <v>0</v>
      </c>
      <c r="Z950">
        <v>8277</v>
      </c>
      <c r="AA950">
        <v>8.0877175290151204E-2</v>
      </c>
      <c r="AB950">
        <v>3.6885314168371961</v>
      </c>
      <c r="AC950">
        <v>3.4558930082985599E-2</v>
      </c>
      <c r="AD950">
        <v>0.134692328360938</v>
      </c>
      <c r="AE950">
        <v>1</v>
      </c>
      <c r="AF950" t="b">
        <v>1</v>
      </c>
      <c r="AG950">
        <v>0</v>
      </c>
      <c r="AH950">
        <v>0</v>
      </c>
      <c r="AI950" t="b">
        <v>1</v>
      </c>
    </row>
    <row r="951" spans="1:35" x14ac:dyDescent="0.3">
      <c r="A951" t="s">
        <v>2046</v>
      </c>
      <c r="B951" t="s">
        <v>2047</v>
      </c>
      <c r="C951" t="s">
        <v>431</v>
      </c>
      <c r="D951">
        <v>1577</v>
      </c>
      <c r="E951">
        <v>56710</v>
      </c>
      <c r="F951">
        <v>295</v>
      </c>
      <c r="G951">
        <v>72</v>
      </c>
      <c r="H951">
        <v>1</v>
      </c>
      <c r="I951">
        <v>2.5022041967906802E-2</v>
      </c>
      <c r="J951">
        <v>0.1390876181652855</v>
      </c>
      <c r="K951" t="s">
        <v>432</v>
      </c>
      <c r="L951">
        <v>0.87026266577452949</v>
      </c>
      <c r="M951">
        <v>0.9795027770431104</v>
      </c>
      <c r="N951">
        <v>1.37999014292755E-2</v>
      </c>
      <c r="O951" t="s">
        <v>433</v>
      </c>
      <c r="P951">
        <v>41097</v>
      </c>
      <c r="Q951">
        <v>0.28902352969803141</v>
      </c>
      <c r="R951">
        <v>105</v>
      </c>
      <c r="S951">
        <v>0</v>
      </c>
      <c r="T951">
        <v>0</v>
      </c>
      <c r="U951" t="b">
        <v>0</v>
      </c>
      <c r="V951">
        <v>16.950165292520619</v>
      </c>
      <c r="Y951">
        <v>0</v>
      </c>
      <c r="Z951">
        <v>1077</v>
      </c>
      <c r="AA951">
        <v>6.3900161376931497E-2</v>
      </c>
      <c r="AB951">
        <v>5.0930466748058763</v>
      </c>
      <c r="AC951">
        <v>-2.9272147559857398E-2</v>
      </c>
      <c r="AD951">
        <v>0.15293305139382449</v>
      </c>
      <c r="AE951">
        <v>0</v>
      </c>
      <c r="AF951" t="b">
        <v>0</v>
      </c>
    </row>
    <row r="952" spans="1:35" x14ac:dyDescent="0.3">
      <c r="A952" t="s">
        <v>2048</v>
      </c>
      <c r="B952" t="s">
        <v>2049</v>
      </c>
      <c r="C952" t="s">
        <v>431</v>
      </c>
      <c r="D952">
        <v>248</v>
      </c>
      <c r="E952">
        <v>1809</v>
      </c>
      <c r="F952">
        <v>124</v>
      </c>
      <c r="G952">
        <v>200</v>
      </c>
      <c r="H952">
        <v>1</v>
      </c>
      <c r="I952">
        <v>0.25649530127142067</v>
      </c>
      <c r="J952">
        <v>0.57802625182304324</v>
      </c>
      <c r="K952" t="s">
        <v>432</v>
      </c>
      <c r="L952">
        <v>0.42245989304812831</v>
      </c>
      <c r="M952">
        <v>1</v>
      </c>
      <c r="N952">
        <v>1.1507479861910001E-3</v>
      </c>
      <c r="O952" t="s">
        <v>433</v>
      </c>
      <c r="P952">
        <v>868</v>
      </c>
      <c r="Q952">
        <v>1</v>
      </c>
      <c r="R952">
        <v>0</v>
      </c>
      <c r="T952">
        <v>0</v>
      </c>
      <c r="U952" t="b">
        <v>0</v>
      </c>
      <c r="V952">
        <v>0.45578231292517069</v>
      </c>
      <c r="Y952">
        <v>0</v>
      </c>
      <c r="Z952">
        <v>52</v>
      </c>
      <c r="AA952">
        <v>0</v>
      </c>
      <c r="AB952">
        <v>0</v>
      </c>
      <c r="AC952">
        <v>0</v>
      </c>
      <c r="AD952">
        <v>0</v>
      </c>
      <c r="AE952">
        <v>0</v>
      </c>
      <c r="AF952" t="b">
        <v>0</v>
      </c>
    </row>
    <row r="953" spans="1:35" x14ac:dyDescent="0.3">
      <c r="A953" t="s">
        <v>2050</v>
      </c>
      <c r="B953" t="s">
        <v>2051</v>
      </c>
      <c r="C953" t="s">
        <v>431</v>
      </c>
      <c r="D953">
        <v>874</v>
      </c>
      <c r="E953">
        <v>905</v>
      </c>
      <c r="F953">
        <v>8</v>
      </c>
      <c r="G953">
        <v>120</v>
      </c>
      <c r="H953">
        <v>60</v>
      </c>
      <c r="I953">
        <v>1</v>
      </c>
      <c r="J953">
        <v>1</v>
      </c>
      <c r="K953" t="s">
        <v>432</v>
      </c>
      <c r="L953">
        <v>0.65242463958060293</v>
      </c>
      <c r="M953">
        <v>1</v>
      </c>
      <c r="N953">
        <v>1</v>
      </c>
      <c r="O953" t="s">
        <v>433</v>
      </c>
      <c r="P953">
        <v>0</v>
      </c>
      <c r="R953">
        <v>0</v>
      </c>
      <c r="T953">
        <v>0</v>
      </c>
      <c r="U953" t="b">
        <v>0</v>
      </c>
      <c r="V953">
        <v>22.5</v>
      </c>
      <c r="Y953">
        <v>0.65146352118829187</v>
      </c>
      <c r="Z953">
        <v>14</v>
      </c>
      <c r="AA953">
        <v>7.2777777777777705E-2</v>
      </c>
      <c r="AB953">
        <v>14.03571428571429</v>
      </c>
      <c r="AC953">
        <v>2.27272727272727E-2</v>
      </c>
      <c r="AD953">
        <v>0.10232558139534879</v>
      </c>
      <c r="AE953">
        <v>0</v>
      </c>
      <c r="AF953" t="b">
        <v>0</v>
      </c>
    </row>
    <row r="954" spans="1:35" x14ac:dyDescent="0.3">
      <c r="A954" t="s">
        <v>2052</v>
      </c>
      <c r="B954" t="s">
        <v>2053</v>
      </c>
      <c r="C954" t="s">
        <v>431</v>
      </c>
      <c r="D954">
        <v>618</v>
      </c>
      <c r="E954">
        <v>17793</v>
      </c>
      <c r="F954">
        <v>331</v>
      </c>
      <c r="G954">
        <v>67</v>
      </c>
      <c r="H954">
        <v>1</v>
      </c>
      <c r="I954">
        <v>1.47810936885291E-2</v>
      </c>
      <c r="J954">
        <v>0.18928901200369341</v>
      </c>
      <c r="K954" t="s">
        <v>432</v>
      </c>
      <c r="L954">
        <v>0.82141111292162294</v>
      </c>
      <c r="M954">
        <v>1</v>
      </c>
      <c r="N954">
        <v>1.30265159029293E-2</v>
      </c>
      <c r="O954" t="s">
        <v>433</v>
      </c>
      <c r="P954">
        <v>14926</v>
      </c>
      <c r="Q954">
        <v>0.13580329626155699</v>
      </c>
      <c r="R954">
        <v>0</v>
      </c>
      <c r="T954">
        <v>0</v>
      </c>
      <c r="U954" t="b">
        <v>0</v>
      </c>
      <c r="V954">
        <v>20.972875885047891</v>
      </c>
      <c r="Y954">
        <v>0</v>
      </c>
      <c r="Z954">
        <v>455</v>
      </c>
      <c r="AA954">
        <v>9.14915194048221E-2</v>
      </c>
      <c r="AB954">
        <v>7.7261305422294431</v>
      </c>
      <c r="AC954">
        <v>-1.8134721000923299E-2</v>
      </c>
      <c r="AD954">
        <v>0.2008614568191627</v>
      </c>
      <c r="AE954">
        <v>0</v>
      </c>
      <c r="AF954" t="b">
        <v>0</v>
      </c>
    </row>
    <row r="955" spans="1:35" x14ac:dyDescent="0.3">
      <c r="A955" t="s">
        <v>2054</v>
      </c>
      <c r="B955" t="s">
        <v>2055</v>
      </c>
      <c r="C955" t="s">
        <v>431</v>
      </c>
      <c r="D955">
        <v>408</v>
      </c>
      <c r="E955">
        <v>13464</v>
      </c>
      <c r="F955">
        <v>152</v>
      </c>
      <c r="G955">
        <v>32</v>
      </c>
      <c r="H955">
        <v>1</v>
      </c>
      <c r="I955">
        <v>1.47801544860368E-2</v>
      </c>
      <c r="J955">
        <v>0.13775951557093419</v>
      </c>
      <c r="K955" t="s">
        <v>432</v>
      </c>
      <c r="L955">
        <v>0.88386678200692037</v>
      </c>
      <c r="M955">
        <v>1</v>
      </c>
      <c r="N955">
        <v>2.4467824810374302E-2</v>
      </c>
      <c r="O955" t="s">
        <v>433</v>
      </c>
      <c r="P955">
        <v>11100</v>
      </c>
      <c r="Q955">
        <v>0.80333333333333334</v>
      </c>
      <c r="R955">
        <v>0</v>
      </c>
      <c r="T955">
        <v>0</v>
      </c>
      <c r="U955" t="b">
        <v>0</v>
      </c>
      <c r="V955">
        <v>0</v>
      </c>
      <c r="Y955">
        <v>0</v>
      </c>
      <c r="Z955">
        <v>673</v>
      </c>
      <c r="AA955">
        <v>2.2172949002217E-3</v>
      </c>
      <c r="AB955">
        <v>0.100668647845468</v>
      </c>
      <c r="AC955">
        <v>2.6022449217384001E-3</v>
      </c>
      <c r="AD955">
        <v>3.0252404388856E-3</v>
      </c>
      <c r="AE955">
        <v>0</v>
      </c>
      <c r="AF955" t="b">
        <v>0</v>
      </c>
    </row>
    <row r="956" spans="1:35" x14ac:dyDescent="0.3">
      <c r="A956" t="s">
        <v>2056</v>
      </c>
      <c r="B956" t="s">
        <v>2057</v>
      </c>
      <c r="C956" t="s">
        <v>431</v>
      </c>
      <c r="D956">
        <v>724</v>
      </c>
      <c r="E956">
        <v>13203</v>
      </c>
      <c r="F956">
        <v>29</v>
      </c>
      <c r="G956">
        <v>60</v>
      </c>
      <c r="H956">
        <v>30</v>
      </c>
      <c r="I956">
        <v>0.49572066954480037</v>
      </c>
      <c r="J956">
        <v>0.75120269979177134</v>
      </c>
      <c r="K956" t="s">
        <v>432</v>
      </c>
      <c r="L956">
        <v>0.64924247863861562</v>
      </c>
      <c r="M956">
        <v>0.93879222108495397</v>
      </c>
      <c r="N956">
        <v>0.64985622649856223</v>
      </c>
      <c r="O956" t="s">
        <v>518</v>
      </c>
      <c r="P956">
        <v>3166</v>
      </c>
      <c r="Q956">
        <v>1</v>
      </c>
      <c r="R956">
        <v>299</v>
      </c>
      <c r="S956">
        <v>1</v>
      </c>
      <c r="T956">
        <v>0</v>
      </c>
      <c r="U956" t="b">
        <v>0</v>
      </c>
      <c r="V956">
        <v>0</v>
      </c>
      <c r="Y956">
        <v>0</v>
      </c>
      <c r="Z956">
        <v>421</v>
      </c>
      <c r="AA956">
        <v>1.7712958114710801E-2</v>
      </c>
      <c r="AB956">
        <v>1.5775824331361861</v>
      </c>
      <c r="AC956">
        <v>4.1782145294166198E-2</v>
      </c>
      <c r="AD956">
        <v>4.1782145294166198E-2</v>
      </c>
      <c r="AE956">
        <v>0</v>
      </c>
      <c r="AF956" t="b">
        <v>0</v>
      </c>
    </row>
    <row r="957" spans="1:35" x14ac:dyDescent="0.3">
      <c r="A957" t="s">
        <v>2058</v>
      </c>
      <c r="B957" t="s">
        <v>2059</v>
      </c>
      <c r="C957" t="s">
        <v>431</v>
      </c>
      <c r="D957">
        <v>139</v>
      </c>
      <c r="E957">
        <v>316</v>
      </c>
      <c r="F957">
        <v>11</v>
      </c>
      <c r="G957">
        <v>300</v>
      </c>
      <c r="H957">
        <v>60</v>
      </c>
      <c r="I957">
        <v>1</v>
      </c>
      <c r="J957">
        <v>1</v>
      </c>
      <c r="K957" t="s">
        <v>432</v>
      </c>
      <c r="L957">
        <v>0.96013289036544835</v>
      </c>
      <c r="M957">
        <v>1</v>
      </c>
      <c r="N957">
        <v>1</v>
      </c>
      <c r="O957" t="s">
        <v>433</v>
      </c>
      <c r="P957">
        <v>0</v>
      </c>
      <c r="R957">
        <v>0</v>
      </c>
      <c r="T957">
        <v>0</v>
      </c>
      <c r="U957" t="b">
        <v>0</v>
      </c>
      <c r="V957">
        <v>0</v>
      </c>
      <c r="Y957">
        <v>0.51993355481727577</v>
      </c>
      <c r="Z957">
        <v>14</v>
      </c>
      <c r="AA957">
        <v>0</v>
      </c>
      <c r="AB957">
        <v>0</v>
      </c>
      <c r="AC957">
        <v>0</v>
      </c>
      <c r="AD957">
        <v>0</v>
      </c>
      <c r="AE957">
        <v>0</v>
      </c>
      <c r="AF957" t="b">
        <v>0</v>
      </c>
    </row>
    <row r="958" spans="1:35" x14ac:dyDescent="0.3">
      <c r="A958" t="s">
        <v>2060</v>
      </c>
      <c r="B958" t="s">
        <v>2061</v>
      </c>
      <c r="C958" t="s">
        <v>431</v>
      </c>
      <c r="D958">
        <v>18803</v>
      </c>
      <c r="E958">
        <v>1135084</v>
      </c>
      <c r="F958">
        <v>667</v>
      </c>
      <c r="G958">
        <v>44</v>
      </c>
      <c r="H958">
        <v>1</v>
      </c>
      <c r="I958">
        <v>1.1412371243009299E-2</v>
      </c>
      <c r="J958">
        <v>3.8816625891443399E-2</v>
      </c>
      <c r="K958" t="s">
        <v>86</v>
      </c>
      <c r="P958">
        <v>0</v>
      </c>
      <c r="R958">
        <v>0</v>
      </c>
      <c r="T958">
        <v>1</v>
      </c>
      <c r="U958" t="b">
        <v>1</v>
      </c>
      <c r="V958">
        <v>8.3205433537464994</v>
      </c>
      <c r="W958">
        <v>1.508473142959269</v>
      </c>
      <c r="X958" t="b">
        <v>1</v>
      </c>
      <c r="Y958">
        <v>0</v>
      </c>
      <c r="Z958">
        <v>12051</v>
      </c>
      <c r="AA958">
        <v>7.9503647902843796E-2</v>
      </c>
      <c r="AB958">
        <v>4.0523181354911566</v>
      </c>
      <c r="AC958">
        <v>1.0577801809648501E-2</v>
      </c>
      <c r="AD958">
        <v>0.13759287921290739</v>
      </c>
      <c r="AE958">
        <v>1</v>
      </c>
      <c r="AF958" t="b">
        <v>1</v>
      </c>
      <c r="AG958">
        <v>3.9750139770305002E-3</v>
      </c>
      <c r="AH958">
        <v>0.53089369366302253</v>
      </c>
      <c r="AI958" t="b">
        <v>1</v>
      </c>
    </row>
    <row r="959" spans="1:35" x14ac:dyDescent="0.3">
      <c r="A959" t="s">
        <v>2062</v>
      </c>
      <c r="B959" t="s">
        <v>2063</v>
      </c>
      <c r="C959" t="s">
        <v>431</v>
      </c>
      <c r="D959">
        <v>815</v>
      </c>
      <c r="E959">
        <v>18944</v>
      </c>
      <c r="F959">
        <v>126</v>
      </c>
      <c r="G959">
        <v>41</v>
      </c>
      <c r="H959">
        <v>1</v>
      </c>
      <c r="I959">
        <v>1.8792229729729701E-2</v>
      </c>
      <c r="J959">
        <v>0.1914064476947214</v>
      </c>
      <c r="K959" t="s">
        <v>432</v>
      </c>
      <c r="L959">
        <v>0.82706614707222026</v>
      </c>
      <c r="M959">
        <v>1</v>
      </c>
      <c r="N959">
        <v>2.2335087504589402E-2</v>
      </c>
      <c r="O959" t="s">
        <v>433</v>
      </c>
      <c r="P959">
        <v>15977</v>
      </c>
      <c r="Q959">
        <v>0.74137823120736057</v>
      </c>
      <c r="R959">
        <v>0</v>
      </c>
      <c r="T959">
        <v>0</v>
      </c>
      <c r="U959" t="b">
        <v>0</v>
      </c>
      <c r="V959">
        <v>0.30110775427995973</v>
      </c>
      <c r="Y959">
        <v>0</v>
      </c>
      <c r="Z959">
        <v>734</v>
      </c>
      <c r="AA959">
        <v>-2.2939191569650999E-3</v>
      </c>
      <c r="AB959">
        <v>-0.11405216037368621</v>
      </c>
      <c r="AC959">
        <v>4.6506925487809999E-4</v>
      </c>
      <c r="AD959">
        <v>-5.6065239551477998E-3</v>
      </c>
      <c r="AE959">
        <v>0</v>
      </c>
      <c r="AF959" t="b">
        <v>0</v>
      </c>
    </row>
    <row r="960" spans="1:35" x14ac:dyDescent="0.3">
      <c r="A960" t="s">
        <v>2064</v>
      </c>
      <c r="B960" t="s">
        <v>2065</v>
      </c>
      <c r="C960" t="s">
        <v>431</v>
      </c>
      <c r="D960">
        <v>150</v>
      </c>
      <c r="E960">
        <v>5636</v>
      </c>
      <c r="F960">
        <v>121</v>
      </c>
      <c r="G960">
        <v>45</v>
      </c>
      <c r="H960">
        <v>1</v>
      </c>
      <c r="I960">
        <v>9.5812633073101006E-3</v>
      </c>
      <c r="J960">
        <v>0.21102661596958169</v>
      </c>
      <c r="K960" t="s">
        <v>432</v>
      </c>
      <c r="L960">
        <v>0.80556515727618394</v>
      </c>
      <c r="M960">
        <v>1</v>
      </c>
      <c r="N960">
        <v>2.0596438532503699E-2</v>
      </c>
      <c r="O960" t="s">
        <v>433</v>
      </c>
      <c r="P960">
        <v>4565</v>
      </c>
      <c r="Q960">
        <v>0.97984665936473159</v>
      </c>
      <c r="R960">
        <v>0</v>
      </c>
      <c r="T960">
        <v>0</v>
      </c>
      <c r="U960" t="b">
        <v>0</v>
      </c>
      <c r="V960">
        <v>0.56338028169014087</v>
      </c>
      <c r="Y960">
        <v>0</v>
      </c>
      <c r="Z960">
        <v>302</v>
      </c>
      <c r="AA960">
        <v>-4.1220701320482996E-3</v>
      </c>
      <c r="AB960">
        <v>-0.24006622516556289</v>
      </c>
      <c r="AC960">
        <v>-5.9199148596513996E-3</v>
      </c>
      <c r="AD960">
        <v>-1.39683384328854E-2</v>
      </c>
      <c r="AE960">
        <v>0</v>
      </c>
      <c r="AF960" t="b">
        <v>0</v>
      </c>
    </row>
    <row r="961" spans="1:35" x14ac:dyDescent="0.3">
      <c r="A961" t="s">
        <v>2066</v>
      </c>
      <c r="B961" t="s">
        <v>2067</v>
      </c>
      <c r="C961" t="s">
        <v>431</v>
      </c>
      <c r="D961">
        <v>1475</v>
      </c>
      <c r="E961">
        <v>61445</v>
      </c>
      <c r="F961">
        <v>294</v>
      </c>
      <c r="G961">
        <v>53</v>
      </c>
      <c r="H961">
        <v>1</v>
      </c>
      <c r="I961">
        <v>2.2361461469606901E-2</v>
      </c>
      <c r="J961">
        <v>0.18963763509218051</v>
      </c>
      <c r="K961" t="s">
        <v>432</v>
      </c>
      <c r="L961">
        <v>0.82859186268277174</v>
      </c>
      <c r="M961">
        <v>1</v>
      </c>
      <c r="N961">
        <v>2.2000575429174201E-2</v>
      </c>
      <c r="O961" t="s">
        <v>433</v>
      </c>
      <c r="P961">
        <v>50988</v>
      </c>
      <c r="Q961">
        <v>0.12526476818074839</v>
      </c>
      <c r="R961">
        <v>0</v>
      </c>
      <c r="T961">
        <v>0</v>
      </c>
      <c r="U961" t="b">
        <v>0</v>
      </c>
      <c r="V961">
        <v>6.3590104075818372</v>
      </c>
      <c r="Y961">
        <v>0</v>
      </c>
      <c r="Z961">
        <v>1600</v>
      </c>
      <c r="AA961">
        <v>5.8541238633886099E-2</v>
      </c>
      <c r="AB961">
        <v>3.563288833938679</v>
      </c>
      <c r="AC961">
        <v>4.06474386446928E-2</v>
      </c>
      <c r="AD961">
        <v>8.4022052230793898E-2</v>
      </c>
      <c r="AE961">
        <v>0</v>
      </c>
      <c r="AF961" t="b">
        <v>0</v>
      </c>
    </row>
    <row r="962" spans="1:35" x14ac:dyDescent="0.3">
      <c r="A962" t="s">
        <v>2068</v>
      </c>
      <c r="B962" t="s">
        <v>2069</v>
      </c>
      <c r="C962" t="s">
        <v>431</v>
      </c>
      <c r="D962">
        <v>416</v>
      </c>
      <c r="E962">
        <v>12128</v>
      </c>
      <c r="F962">
        <v>125</v>
      </c>
      <c r="G962">
        <v>42</v>
      </c>
      <c r="H962">
        <v>1</v>
      </c>
      <c r="I962">
        <v>2.2592348284960401E-2</v>
      </c>
      <c r="J962">
        <v>0.15019132653061221</v>
      </c>
      <c r="K962" t="s">
        <v>432</v>
      </c>
      <c r="L962">
        <v>0.86200573979591832</v>
      </c>
      <c r="M962">
        <v>1</v>
      </c>
      <c r="N962">
        <v>1.4149634698973399E-2</v>
      </c>
      <c r="O962" t="s">
        <v>433</v>
      </c>
      <c r="P962">
        <v>9939</v>
      </c>
      <c r="Q962">
        <v>0.99104537679847082</v>
      </c>
      <c r="R962">
        <v>0</v>
      </c>
      <c r="T962">
        <v>0</v>
      </c>
      <c r="U962" t="b">
        <v>0</v>
      </c>
      <c r="V962">
        <v>0.86323924731182788</v>
      </c>
      <c r="Y962">
        <v>0</v>
      </c>
      <c r="Z962">
        <v>451</v>
      </c>
      <c r="AA962">
        <v>3.8498871331828E-3</v>
      </c>
      <c r="AB962">
        <v>0.18907982261640799</v>
      </c>
      <c r="AC962">
        <v>8.8921395026560004E-3</v>
      </c>
      <c r="AD962">
        <v>4.1415662650601997E-3</v>
      </c>
      <c r="AE962">
        <v>0</v>
      </c>
      <c r="AF962" t="b">
        <v>0</v>
      </c>
    </row>
    <row r="963" spans="1:35" x14ac:dyDescent="0.3">
      <c r="A963" t="s">
        <v>2070</v>
      </c>
      <c r="B963" t="s">
        <v>2071</v>
      </c>
      <c r="C963" t="s">
        <v>431</v>
      </c>
      <c r="D963">
        <v>372</v>
      </c>
      <c r="E963">
        <v>25</v>
      </c>
      <c r="F963">
        <v>1</v>
      </c>
      <c r="G963">
        <v>120</v>
      </c>
      <c r="I963">
        <v>1</v>
      </c>
      <c r="J963">
        <v>1</v>
      </c>
      <c r="K963" t="s">
        <v>432</v>
      </c>
      <c r="L963">
        <v>0.78524180508599151</v>
      </c>
      <c r="M963">
        <v>1</v>
      </c>
      <c r="O963" t="s">
        <v>433</v>
      </c>
      <c r="P963">
        <v>0</v>
      </c>
      <c r="R963">
        <v>0</v>
      </c>
      <c r="T963">
        <v>0</v>
      </c>
      <c r="U963" t="b">
        <v>0</v>
      </c>
      <c r="V963">
        <v>0</v>
      </c>
      <c r="Y963">
        <v>0.78524180508599151</v>
      </c>
      <c r="Z963">
        <v>1</v>
      </c>
      <c r="AA963">
        <v>0</v>
      </c>
      <c r="AB963">
        <v>0</v>
      </c>
      <c r="AC963">
        <v>0</v>
      </c>
      <c r="AD963">
        <v>0</v>
      </c>
      <c r="AE963">
        <v>0</v>
      </c>
      <c r="AF963" t="b">
        <v>0</v>
      </c>
    </row>
    <row r="964" spans="1:35" x14ac:dyDescent="0.3">
      <c r="A964" t="s">
        <v>2072</v>
      </c>
      <c r="B964" t="s">
        <v>2073</v>
      </c>
      <c r="C964" t="s">
        <v>431</v>
      </c>
      <c r="D964">
        <v>224</v>
      </c>
      <c r="E964">
        <v>1805</v>
      </c>
      <c r="F964">
        <v>9</v>
      </c>
      <c r="G964">
        <v>60</v>
      </c>
      <c r="H964">
        <v>60</v>
      </c>
      <c r="I964">
        <v>1</v>
      </c>
      <c r="J964">
        <v>1</v>
      </c>
      <c r="K964" t="s">
        <v>86</v>
      </c>
      <c r="P964">
        <v>0</v>
      </c>
      <c r="R964">
        <v>0</v>
      </c>
      <c r="T964">
        <v>0</v>
      </c>
      <c r="U964" t="b">
        <v>0</v>
      </c>
      <c r="V964">
        <v>0</v>
      </c>
      <c r="Y964">
        <v>0.55666732064613167</v>
      </c>
      <c r="Z964">
        <v>57</v>
      </c>
      <c r="AA964">
        <v>0</v>
      </c>
      <c r="AB964">
        <v>0</v>
      </c>
      <c r="AC964">
        <v>0</v>
      </c>
      <c r="AD964">
        <v>0</v>
      </c>
      <c r="AE964">
        <v>0</v>
      </c>
      <c r="AF964" t="b">
        <v>0</v>
      </c>
    </row>
    <row r="965" spans="1:35" x14ac:dyDescent="0.3">
      <c r="A965" t="s">
        <v>2074</v>
      </c>
      <c r="B965" t="s">
        <v>2075</v>
      </c>
      <c r="C965" t="s">
        <v>431</v>
      </c>
      <c r="D965">
        <v>1734</v>
      </c>
      <c r="E965">
        <v>59847</v>
      </c>
      <c r="F965">
        <v>268</v>
      </c>
      <c r="G965">
        <v>44</v>
      </c>
      <c r="H965">
        <v>1</v>
      </c>
      <c r="I965">
        <v>5.1180510301268203E-2</v>
      </c>
      <c r="J965">
        <v>0.23745960604731969</v>
      </c>
      <c r="K965" t="s">
        <v>432</v>
      </c>
      <c r="L965">
        <v>0.77429726701417645</v>
      </c>
      <c r="M965">
        <v>1</v>
      </c>
      <c r="N965">
        <v>1.5183926848706E-2</v>
      </c>
      <c r="O965" t="s">
        <v>433</v>
      </c>
      <c r="P965">
        <v>46958</v>
      </c>
      <c r="Q965">
        <v>0.50530261084373274</v>
      </c>
      <c r="R965">
        <v>0</v>
      </c>
      <c r="T965">
        <v>0</v>
      </c>
      <c r="U965" t="b">
        <v>0</v>
      </c>
      <c r="V965">
        <v>6.3021897162421219</v>
      </c>
      <c r="Y965">
        <v>0</v>
      </c>
      <c r="Z965">
        <v>1662</v>
      </c>
      <c r="AA965">
        <v>4.1742212993438298E-2</v>
      </c>
      <c r="AB965">
        <v>2.234050011930135</v>
      </c>
      <c r="AC965">
        <v>5.2445052656316998E-3</v>
      </c>
      <c r="AD965">
        <v>7.8676948584635295E-2</v>
      </c>
      <c r="AE965">
        <v>0</v>
      </c>
      <c r="AF965" t="b">
        <v>0</v>
      </c>
    </row>
    <row r="966" spans="1:35" x14ac:dyDescent="0.3">
      <c r="A966" t="s">
        <v>2076</v>
      </c>
      <c r="B966" t="s">
        <v>2077</v>
      </c>
      <c r="C966" t="s">
        <v>431</v>
      </c>
      <c r="D966">
        <v>1275</v>
      </c>
      <c r="E966">
        <v>44126</v>
      </c>
      <c r="F966">
        <v>245</v>
      </c>
      <c r="G966">
        <v>41</v>
      </c>
      <c r="H966">
        <v>1</v>
      </c>
      <c r="I966">
        <v>1.14218374654398E-2</v>
      </c>
      <c r="J966">
        <v>0.1466945330546694</v>
      </c>
      <c r="K966" t="s">
        <v>432</v>
      </c>
      <c r="L966">
        <v>0.86406335936640633</v>
      </c>
      <c r="M966">
        <v>0.99854345363327401</v>
      </c>
      <c r="N966">
        <v>1.26794989306446E-2</v>
      </c>
      <c r="O966" t="s">
        <v>433</v>
      </c>
      <c r="P966">
        <v>27013</v>
      </c>
      <c r="Q966">
        <v>0.2602080479769</v>
      </c>
      <c r="R966">
        <v>6</v>
      </c>
      <c r="S966">
        <v>0</v>
      </c>
      <c r="T966">
        <v>0</v>
      </c>
      <c r="U966" t="b">
        <v>0</v>
      </c>
      <c r="V966">
        <v>2.9559319226872418</v>
      </c>
      <c r="Y966">
        <v>0</v>
      </c>
      <c r="Z966">
        <v>1498</v>
      </c>
      <c r="AA966">
        <v>-7.4961192901657004E-3</v>
      </c>
      <c r="AB966">
        <v>-0.39968505523373299</v>
      </c>
      <c r="AC966">
        <v>-1.37453034256921E-2</v>
      </c>
      <c r="AD966">
        <v>-6.8474215308750004E-4</v>
      </c>
      <c r="AE966">
        <v>0</v>
      </c>
      <c r="AF966" t="b">
        <v>0</v>
      </c>
    </row>
    <row r="967" spans="1:35" x14ac:dyDescent="0.3">
      <c r="A967" t="s">
        <v>2078</v>
      </c>
      <c r="B967" t="s">
        <v>2079</v>
      </c>
      <c r="C967" t="s">
        <v>431</v>
      </c>
      <c r="D967">
        <v>1083</v>
      </c>
      <c r="E967">
        <v>72909</v>
      </c>
      <c r="F967">
        <v>259</v>
      </c>
      <c r="G967">
        <v>33</v>
      </c>
      <c r="H967">
        <v>1</v>
      </c>
      <c r="I967">
        <v>1.17680944739332E-2</v>
      </c>
      <c r="J967">
        <v>0.14163693372256461</v>
      </c>
      <c r="K967" t="s">
        <v>432</v>
      </c>
      <c r="L967">
        <v>0.87351335279489672</v>
      </c>
      <c r="M967">
        <v>1</v>
      </c>
      <c r="N967">
        <v>1.73440811969117E-2</v>
      </c>
      <c r="O967" t="s">
        <v>433</v>
      </c>
      <c r="P967">
        <v>63512</v>
      </c>
      <c r="Q967">
        <v>0.1463975311752109</v>
      </c>
      <c r="R967">
        <v>0</v>
      </c>
      <c r="T967">
        <v>0</v>
      </c>
      <c r="U967" t="b">
        <v>0</v>
      </c>
      <c r="V967">
        <v>1.9186413902053709</v>
      </c>
      <c r="Y967">
        <v>0</v>
      </c>
      <c r="Z967">
        <v>3215</v>
      </c>
      <c r="AA967">
        <v>-4.1813675372256998E-3</v>
      </c>
      <c r="AB967">
        <v>-0.1703510331037546</v>
      </c>
      <c r="AC967">
        <v>-6.0621682404454003E-3</v>
      </c>
      <c r="AD967">
        <v>-7.8080852363838996E-3</v>
      </c>
      <c r="AE967">
        <v>0</v>
      </c>
      <c r="AF967" t="b">
        <v>0</v>
      </c>
    </row>
    <row r="968" spans="1:35" x14ac:dyDescent="0.3">
      <c r="A968" t="s">
        <v>2080</v>
      </c>
      <c r="B968" t="s">
        <v>2081</v>
      </c>
      <c r="C968" t="s">
        <v>431</v>
      </c>
      <c r="D968">
        <v>2331</v>
      </c>
      <c r="E968">
        <v>154109</v>
      </c>
      <c r="F968">
        <v>310</v>
      </c>
      <c r="G968">
        <v>49</v>
      </c>
      <c r="H968">
        <v>1</v>
      </c>
      <c r="I968">
        <v>3.1795677085698998E-2</v>
      </c>
      <c r="J968">
        <v>0.20706292857188499</v>
      </c>
      <c r="K968" t="s">
        <v>432</v>
      </c>
      <c r="L968">
        <v>0.80641491829574574</v>
      </c>
      <c r="M968">
        <v>1</v>
      </c>
      <c r="N968">
        <v>1.6713290592533299E-2</v>
      </c>
      <c r="O968" t="s">
        <v>433</v>
      </c>
      <c r="P968">
        <v>113811</v>
      </c>
      <c r="Q968">
        <v>0.48488283206368449</v>
      </c>
      <c r="R968">
        <v>0</v>
      </c>
      <c r="T968">
        <v>0</v>
      </c>
      <c r="U968" t="b">
        <v>0</v>
      </c>
      <c r="V968">
        <v>6.7130398529554967</v>
      </c>
      <c r="Y968">
        <v>0</v>
      </c>
      <c r="Z968">
        <v>3536</v>
      </c>
      <c r="AA968">
        <v>2.1486860312097799E-2</v>
      </c>
      <c r="AB968">
        <v>1.269542993881728</v>
      </c>
      <c r="AC968">
        <v>-3.0642739721068301E-2</v>
      </c>
      <c r="AD968">
        <v>6.9098231449830197E-2</v>
      </c>
      <c r="AE968">
        <v>0</v>
      </c>
      <c r="AF968" t="b">
        <v>0</v>
      </c>
    </row>
    <row r="969" spans="1:35" x14ac:dyDescent="0.3">
      <c r="A969" t="s">
        <v>2082</v>
      </c>
      <c r="B969" t="s">
        <v>2083</v>
      </c>
      <c r="C969" t="s">
        <v>431</v>
      </c>
      <c r="D969">
        <v>3799</v>
      </c>
      <c r="E969">
        <v>160317</v>
      </c>
      <c r="F969">
        <v>20</v>
      </c>
      <c r="G969">
        <v>60</v>
      </c>
      <c r="H969">
        <v>60</v>
      </c>
      <c r="I969">
        <v>1</v>
      </c>
      <c r="J969">
        <v>1</v>
      </c>
      <c r="K969" t="s">
        <v>432</v>
      </c>
      <c r="L969">
        <v>0.90707555596983036</v>
      </c>
      <c r="M969">
        <v>1</v>
      </c>
      <c r="N969">
        <v>1</v>
      </c>
      <c r="O969" t="s">
        <v>433</v>
      </c>
      <c r="P969">
        <v>0</v>
      </c>
      <c r="R969">
        <v>0</v>
      </c>
      <c r="T969">
        <v>1</v>
      </c>
      <c r="U969" t="b">
        <v>1</v>
      </c>
      <c r="V969">
        <v>3.7269640708268872</v>
      </c>
      <c r="W969">
        <v>0</v>
      </c>
      <c r="X969" t="b">
        <v>1</v>
      </c>
      <c r="Y969">
        <v>0</v>
      </c>
      <c r="Z969">
        <v>3962</v>
      </c>
      <c r="AA969">
        <v>5.5785004387617996E-3</v>
      </c>
      <c r="AB969">
        <v>0.37665387388492189</v>
      </c>
      <c r="AC969">
        <v>-8.2655659116618006E-3</v>
      </c>
      <c r="AD969">
        <v>2.0540652621814901E-2</v>
      </c>
      <c r="AE969">
        <v>1</v>
      </c>
      <c r="AF969" t="b">
        <v>1</v>
      </c>
      <c r="AG969">
        <v>0</v>
      </c>
      <c r="AH969">
        <v>0</v>
      </c>
      <c r="AI969" t="b">
        <v>1</v>
      </c>
    </row>
    <row r="970" spans="1:35" x14ac:dyDescent="0.3">
      <c r="A970" t="s">
        <v>2084</v>
      </c>
      <c r="B970" t="s">
        <v>2085</v>
      </c>
      <c r="C970" t="s">
        <v>431</v>
      </c>
      <c r="D970">
        <v>98</v>
      </c>
      <c r="E970">
        <v>706</v>
      </c>
      <c r="F970">
        <v>27</v>
      </c>
      <c r="G970">
        <v>180</v>
      </c>
      <c r="H970">
        <v>60</v>
      </c>
      <c r="I970">
        <v>1</v>
      </c>
      <c r="J970">
        <v>1</v>
      </c>
      <c r="K970" t="s">
        <v>86</v>
      </c>
      <c r="P970">
        <v>0</v>
      </c>
      <c r="R970">
        <v>0</v>
      </c>
      <c r="T970">
        <v>0</v>
      </c>
      <c r="U970" t="b">
        <v>0</v>
      </c>
      <c r="Y970">
        <v>0</v>
      </c>
      <c r="Z970">
        <v>0</v>
      </c>
      <c r="AE970">
        <v>0</v>
      </c>
      <c r="AF970" t="b">
        <v>0</v>
      </c>
    </row>
    <row r="971" spans="1:35" x14ac:dyDescent="0.3">
      <c r="A971" t="s">
        <v>2086</v>
      </c>
      <c r="B971" t="s">
        <v>2087</v>
      </c>
      <c r="C971" t="s">
        <v>431</v>
      </c>
      <c r="D971">
        <v>66</v>
      </c>
      <c r="E971">
        <v>78</v>
      </c>
      <c r="F971">
        <v>13</v>
      </c>
      <c r="G971">
        <v>180</v>
      </c>
      <c r="H971">
        <v>60</v>
      </c>
      <c r="I971">
        <v>1</v>
      </c>
      <c r="J971">
        <v>1</v>
      </c>
      <c r="K971" t="s">
        <v>86</v>
      </c>
      <c r="P971">
        <v>0</v>
      </c>
      <c r="R971">
        <v>0</v>
      </c>
      <c r="T971">
        <v>0</v>
      </c>
      <c r="U971" t="b">
        <v>0</v>
      </c>
      <c r="Y971">
        <v>0.72868217054263562</v>
      </c>
      <c r="Z971">
        <v>0</v>
      </c>
      <c r="AE971">
        <v>0</v>
      </c>
      <c r="AF971" t="b">
        <v>0</v>
      </c>
    </row>
    <row r="972" spans="1:35" x14ac:dyDescent="0.3">
      <c r="A972" t="s">
        <v>2088</v>
      </c>
      <c r="B972" t="s">
        <v>2089</v>
      </c>
      <c r="C972" t="s">
        <v>431</v>
      </c>
      <c r="D972">
        <v>5266</v>
      </c>
      <c r="E972">
        <v>299383</v>
      </c>
      <c r="F972">
        <v>526</v>
      </c>
      <c r="G972">
        <v>37</v>
      </c>
      <c r="H972">
        <v>1</v>
      </c>
      <c r="I972">
        <v>9.1387954559877995E-3</v>
      </c>
      <c r="J972">
        <v>0.13501111114758291</v>
      </c>
      <c r="K972" t="s">
        <v>432</v>
      </c>
      <c r="L972">
        <v>0.87879165859727093</v>
      </c>
      <c r="M972">
        <v>0.99721063749119865</v>
      </c>
      <c r="N972">
        <v>1.6091258502257899E-2</v>
      </c>
      <c r="O972" t="s">
        <v>433</v>
      </c>
      <c r="P972">
        <v>263415</v>
      </c>
      <c r="Q972">
        <v>0.11399502685875899</v>
      </c>
      <c r="R972">
        <v>0</v>
      </c>
      <c r="T972">
        <v>1</v>
      </c>
      <c r="U972" t="b">
        <v>1</v>
      </c>
      <c r="V972">
        <v>6.9148687430634732</v>
      </c>
      <c r="W972">
        <v>5.3578145917001336</v>
      </c>
      <c r="X972" t="b">
        <v>1</v>
      </c>
      <c r="Y972">
        <v>0</v>
      </c>
      <c r="Z972">
        <v>8617</v>
      </c>
      <c r="AA972">
        <v>4.8948636289922999E-2</v>
      </c>
      <c r="AB972">
        <v>2.4492456930702491</v>
      </c>
      <c r="AC972">
        <v>-8.2984190024642003E-3</v>
      </c>
      <c r="AD972">
        <v>0.10353722346457089</v>
      </c>
      <c r="AE972">
        <v>1</v>
      </c>
      <c r="AF972" t="b">
        <v>1</v>
      </c>
      <c r="AG972">
        <v>2.4186700156212299E-2</v>
      </c>
      <c r="AH972">
        <v>2.479136766011766</v>
      </c>
      <c r="AI972" t="b">
        <v>1</v>
      </c>
    </row>
    <row r="973" spans="1:35" x14ac:dyDescent="0.3">
      <c r="A973" t="s">
        <v>2090</v>
      </c>
      <c r="B973" t="s">
        <v>2091</v>
      </c>
      <c r="C973" t="s">
        <v>431</v>
      </c>
      <c r="D973">
        <v>417</v>
      </c>
      <c r="E973">
        <v>15922</v>
      </c>
      <c r="F973">
        <v>172</v>
      </c>
      <c r="G973">
        <v>52</v>
      </c>
      <c r="H973">
        <v>1</v>
      </c>
      <c r="I973">
        <v>2.0035171460871699E-2</v>
      </c>
      <c r="J973">
        <v>0.16016892098659649</v>
      </c>
      <c r="K973" t="s">
        <v>432</v>
      </c>
      <c r="L973">
        <v>0.83983107901340348</v>
      </c>
      <c r="M973">
        <v>1</v>
      </c>
      <c r="N973">
        <v>0</v>
      </c>
      <c r="O973" t="s">
        <v>518</v>
      </c>
      <c r="P973">
        <v>13722</v>
      </c>
      <c r="Q973">
        <v>3.3085556041393301E-2</v>
      </c>
      <c r="R973">
        <v>0</v>
      </c>
      <c r="T973">
        <v>0</v>
      </c>
      <c r="U973" t="b">
        <v>0</v>
      </c>
      <c r="V973">
        <v>6.3965865493116674</v>
      </c>
      <c r="Y973">
        <v>0</v>
      </c>
      <c r="Z973">
        <v>547</v>
      </c>
      <c r="AA973">
        <v>-4.7942546839289E-3</v>
      </c>
      <c r="AB973">
        <v>-0.2748188232648926</v>
      </c>
      <c r="AC973">
        <v>-6.8912770141178706E-2</v>
      </c>
      <c r="AD973">
        <v>3.8256036723180599E-2</v>
      </c>
      <c r="AE973">
        <v>0</v>
      </c>
      <c r="AF973" t="b">
        <v>0</v>
      </c>
    </row>
    <row r="974" spans="1:35" x14ac:dyDescent="0.3">
      <c r="A974" t="s">
        <v>2092</v>
      </c>
      <c r="B974" t="s">
        <v>2093</v>
      </c>
      <c r="C974" t="s">
        <v>431</v>
      </c>
      <c r="D974">
        <v>363</v>
      </c>
      <c r="E974">
        <v>19268</v>
      </c>
      <c r="F974">
        <v>209</v>
      </c>
      <c r="G974">
        <v>36</v>
      </c>
      <c r="H974">
        <v>1</v>
      </c>
      <c r="I974">
        <v>2.2731990865684001E-2</v>
      </c>
      <c r="J974">
        <v>0.1663185777596658</v>
      </c>
      <c r="K974" t="s">
        <v>432</v>
      </c>
      <c r="L974">
        <v>0.85410829809994393</v>
      </c>
      <c r="M974">
        <v>1</v>
      </c>
      <c r="N974">
        <v>2.3916025526331399E-2</v>
      </c>
      <c r="O974" t="s">
        <v>433</v>
      </c>
      <c r="P974">
        <v>16366</v>
      </c>
      <c r="Q974">
        <v>0.9976170108762068</v>
      </c>
      <c r="R974">
        <v>0</v>
      </c>
      <c r="T974">
        <v>0</v>
      </c>
      <c r="U974" t="b">
        <v>0</v>
      </c>
      <c r="V974">
        <v>0</v>
      </c>
      <c r="Y974">
        <v>0</v>
      </c>
      <c r="Z974">
        <v>989</v>
      </c>
      <c r="AA974">
        <v>0</v>
      </c>
      <c r="AB974">
        <v>0</v>
      </c>
      <c r="AC974">
        <v>0</v>
      </c>
      <c r="AD974">
        <v>0</v>
      </c>
      <c r="AE974">
        <v>0</v>
      </c>
      <c r="AF974" t="b">
        <v>0</v>
      </c>
    </row>
    <row r="975" spans="1:35" x14ac:dyDescent="0.3">
      <c r="A975" t="s">
        <v>2094</v>
      </c>
      <c r="B975" t="s">
        <v>2095</v>
      </c>
      <c r="C975" t="s">
        <v>431</v>
      </c>
      <c r="D975">
        <v>569</v>
      </c>
      <c r="E975">
        <v>1470</v>
      </c>
      <c r="F975">
        <v>104</v>
      </c>
      <c r="G975">
        <v>60</v>
      </c>
      <c r="H975">
        <v>1</v>
      </c>
      <c r="I975">
        <v>0.1931972789115646</v>
      </c>
      <c r="J975">
        <v>0.76722408026755851</v>
      </c>
      <c r="K975" t="s">
        <v>432</v>
      </c>
      <c r="L975">
        <v>0.87516836845535517</v>
      </c>
      <c r="M975">
        <v>1</v>
      </c>
      <c r="N975">
        <v>0.35235732009925558</v>
      </c>
      <c r="O975" t="s">
        <v>433</v>
      </c>
      <c r="P975">
        <v>800</v>
      </c>
      <c r="Q975">
        <v>0.1925</v>
      </c>
      <c r="R975">
        <v>0</v>
      </c>
      <c r="T975">
        <v>0</v>
      </c>
      <c r="U975" t="b">
        <v>0</v>
      </c>
      <c r="V975">
        <v>109.09090909090909</v>
      </c>
      <c r="Y975">
        <v>0.80512709102759072</v>
      </c>
      <c r="Z975">
        <v>63</v>
      </c>
      <c r="AA975">
        <v>0</v>
      </c>
      <c r="AB975">
        <v>0</v>
      </c>
      <c r="AC975">
        <v>0</v>
      </c>
      <c r="AD975">
        <v>0</v>
      </c>
      <c r="AE975">
        <v>0</v>
      </c>
      <c r="AF975" t="b">
        <v>0</v>
      </c>
    </row>
    <row r="976" spans="1:35" x14ac:dyDescent="0.3">
      <c r="A976" t="s">
        <v>2096</v>
      </c>
      <c r="B976" t="s">
        <v>2097</v>
      </c>
      <c r="C976" t="s">
        <v>431</v>
      </c>
      <c r="D976">
        <v>56</v>
      </c>
      <c r="E976">
        <v>159</v>
      </c>
      <c r="F976">
        <v>11</v>
      </c>
      <c r="G976">
        <v>2100</v>
      </c>
      <c r="H976">
        <v>300</v>
      </c>
      <c r="I976">
        <v>1</v>
      </c>
      <c r="J976">
        <v>1</v>
      </c>
      <c r="K976" t="s">
        <v>86</v>
      </c>
      <c r="P976">
        <v>0</v>
      </c>
      <c r="R976">
        <v>0</v>
      </c>
      <c r="T976">
        <v>0</v>
      </c>
      <c r="U976" t="b">
        <v>0</v>
      </c>
      <c r="Y976">
        <v>0</v>
      </c>
      <c r="Z976">
        <v>6</v>
      </c>
      <c r="AA976">
        <v>7.5650118203309594E-2</v>
      </c>
      <c r="AB976">
        <v>133.33333333333329</v>
      </c>
      <c r="AE976">
        <v>0</v>
      </c>
      <c r="AF976" t="b">
        <v>0</v>
      </c>
    </row>
    <row r="977" spans="1:32" x14ac:dyDescent="0.3">
      <c r="A977" t="s">
        <v>2098</v>
      </c>
      <c r="B977" t="s">
        <v>2099</v>
      </c>
      <c r="C977" t="s">
        <v>431</v>
      </c>
      <c r="D977">
        <v>1741</v>
      </c>
      <c r="E977">
        <v>124171</v>
      </c>
      <c r="F977">
        <v>401</v>
      </c>
      <c r="G977">
        <v>35</v>
      </c>
      <c r="H977">
        <v>1</v>
      </c>
      <c r="I977">
        <v>9.7526797722495007E-3</v>
      </c>
      <c r="J977">
        <v>0.12932047779401479</v>
      </c>
      <c r="K977" t="s">
        <v>432</v>
      </c>
      <c r="L977">
        <v>0.88556293284198484</v>
      </c>
      <c r="M977">
        <v>0.99847317648691802</v>
      </c>
      <c r="N977">
        <v>1.7004026797485201E-2</v>
      </c>
      <c r="O977" t="s">
        <v>433</v>
      </c>
      <c r="P977">
        <v>109607</v>
      </c>
      <c r="Q977">
        <v>0.16258085706204889</v>
      </c>
      <c r="R977">
        <v>22</v>
      </c>
      <c r="S977">
        <v>0</v>
      </c>
      <c r="T977">
        <v>0</v>
      </c>
      <c r="U977" t="b">
        <v>0</v>
      </c>
      <c r="V977">
        <v>7.1407110135889438</v>
      </c>
      <c r="Y977">
        <v>0</v>
      </c>
      <c r="Z977">
        <v>5375</v>
      </c>
      <c r="AA977">
        <v>2.09634528447975E-2</v>
      </c>
      <c r="AB977">
        <v>0.9949818047585488</v>
      </c>
      <c r="AC977">
        <v>-2.1262306434505E-2</v>
      </c>
      <c r="AD977">
        <v>5.7421903037315598E-2</v>
      </c>
      <c r="AE977">
        <v>0</v>
      </c>
      <c r="AF977" t="b">
        <v>0</v>
      </c>
    </row>
    <row r="978" spans="1:32" x14ac:dyDescent="0.3">
      <c r="A978" t="s">
        <v>2100</v>
      </c>
      <c r="B978" t="s">
        <v>2101</v>
      </c>
      <c r="C978" t="s">
        <v>431</v>
      </c>
      <c r="D978">
        <v>2093</v>
      </c>
      <c r="E978">
        <v>52175</v>
      </c>
      <c r="F978">
        <v>239</v>
      </c>
      <c r="G978">
        <v>51</v>
      </c>
      <c r="H978">
        <v>1</v>
      </c>
      <c r="I978">
        <v>2.2252036415907998E-2</v>
      </c>
      <c r="J978">
        <v>0.1910518169086754</v>
      </c>
      <c r="K978" t="s">
        <v>86</v>
      </c>
      <c r="P978">
        <v>0</v>
      </c>
      <c r="R978">
        <v>0</v>
      </c>
      <c r="T978">
        <v>0</v>
      </c>
      <c r="U978" t="b">
        <v>0</v>
      </c>
      <c r="V978">
        <v>3.888203463203463</v>
      </c>
      <c r="Y978">
        <v>0</v>
      </c>
      <c r="Z978">
        <v>1363</v>
      </c>
      <c r="AA978">
        <v>1.8238427210106201E-2</v>
      </c>
      <c r="AB978">
        <v>1.210507252402522</v>
      </c>
      <c r="AC978">
        <v>4.5764967850122004E-3</v>
      </c>
      <c r="AD978">
        <v>3.3160339829691798E-2</v>
      </c>
      <c r="AE978">
        <v>0</v>
      </c>
      <c r="AF978" t="b">
        <v>0</v>
      </c>
    </row>
    <row r="979" spans="1:32" x14ac:dyDescent="0.3">
      <c r="A979" t="s">
        <v>2102</v>
      </c>
      <c r="B979" t="s">
        <v>2103</v>
      </c>
      <c r="C979" t="s">
        <v>431</v>
      </c>
      <c r="D979">
        <v>563</v>
      </c>
      <c r="E979">
        <v>4430</v>
      </c>
      <c r="F979">
        <v>232</v>
      </c>
      <c r="G979">
        <v>180</v>
      </c>
      <c r="H979">
        <v>1</v>
      </c>
      <c r="I979">
        <v>0.50338600451467264</v>
      </c>
      <c r="J979">
        <v>0.7123973562988184</v>
      </c>
      <c r="K979" t="s">
        <v>432</v>
      </c>
      <c r="L979">
        <v>0.2928099339074704</v>
      </c>
      <c r="M979">
        <v>0.99093741149815917</v>
      </c>
      <c r="N979">
        <v>3.9671682626538897E-2</v>
      </c>
      <c r="O979" t="s">
        <v>433</v>
      </c>
      <c r="P979">
        <v>1404</v>
      </c>
      <c r="Q979">
        <v>1</v>
      </c>
      <c r="R979">
        <v>26</v>
      </c>
      <c r="S979">
        <v>0</v>
      </c>
      <c r="T979">
        <v>0</v>
      </c>
      <c r="U979" t="b">
        <v>0</v>
      </c>
      <c r="V979">
        <v>0</v>
      </c>
      <c r="Y979">
        <v>0</v>
      </c>
      <c r="Z979">
        <v>259</v>
      </c>
      <c r="AA979">
        <v>1.498561286915E-4</v>
      </c>
      <c r="AB979">
        <v>3.0694980694980601E-2</v>
      </c>
      <c r="AC979">
        <v>0</v>
      </c>
      <c r="AD979">
        <v>8.7379714633337002E-3</v>
      </c>
      <c r="AE979">
        <v>0</v>
      </c>
      <c r="AF979" t="b">
        <v>0</v>
      </c>
    </row>
    <row r="980" spans="1:32" x14ac:dyDescent="0.3">
      <c r="A980" t="s">
        <v>2104</v>
      </c>
      <c r="B980" t="s">
        <v>2105</v>
      </c>
      <c r="C980" t="s">
        <v>431</v>
      </c>
      <c r="D980">
        <v>454</v>
      </c>
      <c r="E980">
        <v>1969</v>
      </c>
      <c r="F980">
        <v>12</v>
      </c>
      <c r="G980">
        <v>240</v>
      </c>
      <c r="H980">
        <v>60</v>
      </c>
      <c r="I980">
        <v>1</v>
      </c>
      <c r="J980">
        <v>1</v>
      </c>
      <c r="K980" t="s">
        <v>432</v>
      </c>
      <c r="L980">
        <v>0.39951080309824699</v>
      </c>
      <c r="M980">
        <v>1</v>
      </c>
      <c r="N980">
        <v>1</v>
      </c>
      <c r="O980" t="s">
        <v>433</v>
      </c>
      <c r="P980">
        <v>0</v>
      </c>
      <c r="R980">
        <v>0</v>
      </c>
      <c r="T980">
        <v>0</v>
      </c>
      <c r="U980" t="b">
        <v>0</v>
      </c>
      <c r="V980">
        <v>0</v>
      </c>
      <c r="Y980">
        <v>6.1149612719118996E-3</v>
      </c>
      <c r="Z980">
        <v>93</v>
      </c>
      <c r="AA980">
        <v>3.9497307001794997E-3</v>
      </c>
      <c r="AB980">
        <v>0.94623655913978499</v>
      </c>
      <c r="AC980">
        <v>2.1782178217821701E-2</v>
      </c>
      <c r="AD980">
        <v>0</v>
      </c>
      <c r="AE980">
        <v>0</v>
      </c>
      <c r="AF980" t="b">
        <v>0</v>
      </c>
    </row>
    <row r="981" spans="1:32" x14ac:dyDescent="0.3">
      <c r="A981" t="s">
        <v>2106</v>
      </c>
      <c r="B981" t="s">
        <v>2107</v>
      </c>
      <c r="C981" t="s">
        <v>431</v>
      </c>
      <c r="D981">
        <v>1017</v>
      </c>
      <c r="E981">
        <v>27355</v>
      </c>
      <c r="F981">
        <v>204</v>
      </c>
      <c r="G981">
        <v>34</v>
      </c>
      <c r="H981">
        <v>1</v>
      </c>
      <c r="I981">
        <v>1.23926156095777E-2</v>
      </c>
      <c r="J981">
        <v>0.14704638375863521</v>
      </c>
      <c r="K981" t="s">
        <v>432</v>
      </c>
      <c r="L981">
        <v>0.86511349217538414</v>
      </c>
      <c r="M981">
        <v>1</v>
      </c>
      <c r="N981">
        <v>1.4055815848441599E-2</v>
      </c>
      <c r="O981" t="s">
        <v>433</v>
      </c>
      <c r="P981">
        <v>24200</v>
      </c>
      <c r="Q981">
        <v>0.13541322314049581</v>
      </c>
      <c r="R981">
        <v>0</v>
      </c>
      <c r="T981">
        <v>0</v>
      </c>
      <c r="U981" t="b">
        <v>0</v>
      </c>
      <c r="V981">
        <v>3.3944120505344988</v>
      </c>
      <c r="Y981">
        <v>0</v>
      </c>
      <c r="Z981">
        <v>1068</v>
      </c>
      <c r="AA981">
        <v>-3.8347286532435E-3</v>
      </c>
      <c r="AB981">
        <v>-0.19656604839189101</v>
      </c>
      <c r="AC981">
        <v>-3.17554790752421E-2</v>
      </c>
      <c r="AD981">
        <v>1.9895224145023298E-2</v>
      </c>
      <c r="AE981">
        <v>0</v>
      </c>
      <c r="AF981" t="b">
        <v>0</v>
      </c>
    </row>
    <row r="982" spans="1:32" x14ac:dyDescent="0.3">
      <c r="A982" t="s">
        <v>2108</v>
      </c>
      <c r="B982" t="s">
        <v>2109</v>
      </c>
      <c r="C982" t="s">
        <v>431</v>
      </c>
      <c r="D982">
        <v>779</v>
      </c>
      <c r="E982">
        <v>29085</v>
      </c>
      <c r="F982">
        <v>181</v>
      </c>
      <c r="G982">
        <v>36</v>
      </c>
      <c r="H982">
        <v>1</v>
      </c>
      <c r="I982">
        <v>6.0512291559221996E-3</v>
      </c>
      <c r="J982">
        <v>7.9326279132065303E-2</v>
      </c>
      <c r="K982" t="s">
        <v>432</v>
      </c>
      <c r="L982">
        <v>0.94588802571658182</v>
      </c>
      <c r="M982">
        <v>0.98081683168316836</v>
      </c>
      <c r="N982">
        <v>2.7754177286887501E-2</v>
      </c>
      <c r="O982" t="s">
        <v>433</v>
      </c>
      <c r="P982">
        <v>27464</v>
      </c>
      <c r="Q982">
        <v>0.55530876784153804</v>
      </c>
      <c r="R982">
        <v>0</v>
      </c>
      <c r="T982">
        <v>0</v>
      </c>
      <c r="U982" t="b">
        <v>0</v>
      </c>
      <c r="V982">
        <v>0.59288537549407117</v>
      </c>
      <c r="Y982">
        <v>0</v>
      </c>
      <c r="Z982">
        <v>905</v>
      </c>
      <c r="AA982">
        <v>-5.2119527449616997E-3</v>
      </c>
      <c r="AB982">
        <v>-0.24861878453038669</v>
      </c>
      <c r="AC982">
        <v>-1.2510425354462E-2</v>
      </c>
      <c r="AD982">
        <v>0</v>
      </c>
      <c r="AE982">
        <v>0</v>
      </c>
      <c r="AF982" t="b">
        <v>0</v>
      </c>
    </row>
    <row r="983" spans="1:32" x14ac:dyDescent="0.3">
      <c r="A983" t="s">
        <v>2110</v>
      </c>
      <c r="B983" t="s">
        <v>2111</v>
      </c>
      <c r="C983" t="s">
        <v>431</v>
      </c>
      <c r="D983">
        <v>105</v>
      </c>
      <c r="E983">
        <v>2138</v>
      </c>
      <c r="F983">
        <v>4</v>
      </c>
      <c r="G983">
        <v>60</v>
      </c>
      <c r="H983">
        <v>60</v>
      </c>
      <c r="I983">
        <v>1</v>
      </c>
      <c r="J983">
        <v>1</v>
      </c>
      <c r="K983" t="s">
        <v>432</v>
      </c>
      <c r="L983">
        <v>0.92066490366452602</v>
      </c>
      <c r="M983">
        <v>1</v>
      </c>
      <c r="N983">
        <v>1</v>
      </c>
      <c r="O983" t="s">
        <v>433</v>
      </c>
      <c r="P983">
        <v>0</v>
      </c>
      <c r="R983">
        <v>0</v>
      </c>
      <c r="T983">
        <v>0</v>
      </c>
      <c r="U983" t="b">
        <v>0</v>
      </c>
      <c r="V983">
        <v>0</v>
      </c>
      <c r="Y983">
        <v>0</v>
      </c>
      <c r="Z983">
        <v>116</v>
      </c>
      <c r="AA983">
        <v>0</v>
      </c>
      <c r="AB983">
        <v>0</v>
      </c>
      <c r="AC983">
        <v>0</v>
      </c>
      <c r="AD983">
        <v>0</v>
      </c>
      <c r="AE983">
        <v>0</v>
      </c>
      <c r="AF983" t="b">
        <v>0</v>
      </c>
    </row>
    <row r="984" spans="1:32" x14ac:dyDescent="0.3">
      <c r="A984" t="s">
        <v>2112</v>
      </c>
      <c r="B984" t="s">
        <v>2113</v>
      </c>
      <c r="C984" t="s">
        <v>431</v>
      </c>
      <c r="D984">
        <v>120</v>
      </c>
      <c r="E984">
        <v>2424</v>
      </c>
      <c r="F984">
        <v>215</v>
      </c>
      <c r="G984">
        <v>85</v>
      </c>
      <c r="H984">
        <v>1</v>
      </c>
      <c r="I984">
        <v>0.10148514851485139</v>
      </c>
      <c r="J984">
        <v>0.43553459119496851</v>
      </c>
      <c r="K984" t="s">
        <v>432</v>
      </c>
      <c r="L984">
        <v>0.58018867924528306</v>
      </c>
      <c r="M984">
        <v>1</v>
      </c>
      <c r="N984">
        <v>2.7100271002710001E-2</v>
      </c>
      <c r="O984" t="s">
        <v>433</v>
      </c>
      <c r="P984">
        <v>1422</v>
      </c>
      <c r="Q984">
        <v>0.99437412095639943</v>
      </c>
      <c r="R984">
        <v>0</v>
      </c>
      <c r="T984">
        <v>0</v>
      </c>
      <c r="U984" t="b">
        <v>0</v>
      </c>
      <c r="Y984">
        <v>0</v>
      </c>
      <c r="Z984">
        <v>120</v>
      </c>
      <c r="AA984">
        <v>-3.4815738940055498E-2</v>
      </c>
      <c r="AB984">
        <v>-3.9534722222222229</v>
      </c>
      <c r="AC984">
        <v>-0.2180539273153575</v>
      </c>
      <c r="AE984">
        <v>0</v>
      </c>
      <c r="AF984" t="b">
        <v>0</v>
      </c>
    </row>
    <row r="985" spans="1:32" x14ac:dyDescent="0.3">
      <c r="A985" t="s">
        <v>2114</v>
      </c>
      <c r="B985" t="s">
        <v>2115</v>
      </c>
      <c r="C985" t="s">
        <v>431</v>
      </c>
      <c r="D985">
        <v>206</v>
      </c>
      <c r="E985">
        <v>4840</v>
      </c>
      <c r="F985">
        <v>241</v>
      </c>
      <c r="G985">
        <v>80</v>
      </c>
      <c r="H985">
        <v>1</v>
      </c>
      <c r="I985">
        <v>3.6363636363636299E-2</v>
      </c>
      <c r="J985">
        <v>0.24455013872374151</v>
      </c>
      <c r="K985" t="s">
        <v>432</v>
      </c>
      <c r="L985">
        <v>0.75544986127625846</v>
      </c>
      <c r="M985">
        <v>1</v>
      </c>
      <c r="N985">
        <v>0</v>
      </c>
      <c r="O985" t="s">
        <v>518</v>
      </c>
      <c r="P985">
        <v>3812</v>
      </c>
      <c r="Q985">
        <v>2.9118572927597001E-2</v>
      </c>
      <c r="R985">
        <v>0</v>
      </c>
      <c r="T985">
        <v>0</v>
      </c>
      <c r="U985" t="b">
        <v>0</v>
      </c>
      <c r="Y985">
        <v>0</v>
      </c>
      <c r="Z985">
        <v>331</v>
      </c>
      <c r="AA985">
        <v>-1.0200163890270001E-4</v>
      </c>
      <c r="AB985">
        <v>-1.34441087613293E-2</v>
      </c>
      <c r="AC985">
        <v>0</v>
      </c>
      <c r="AD985">
        <v>8.3172768143866302E-2</v>
      </c>
      <c r="AE985">
        <v>0</v>
      </c>
      <c r="AF985" t="b">
        <v>0</v>
      </c>
    </row>
    <row r="986" spans="1:32" x14ac:dyDescent="0.3">
      <c r="A986" t="s">
        <v>2116</v>
      </c>
      <c r="B986" t="s">
        <v>2117</v>
      </c>
      <c r="C986" t="s">
        <v>431</v>
      </c>
      <c r="D986">
        <v>1094</v>
      </c>
      <c r="E986">
        <v>37720</v>
      </c>
      <c r="F986">
        <v>264</v>
      </c>
      <c r="G986">
        <v>31</v>
      </c>
      <c r="H986">
        <v>1</v>
      </c>
      <c r="I986">
        <v>2.24019088016967E-2</v>
      </c>
      <c r="J986">
        <v>0.15551089812954089</v>
      </c>
      <c r="K986" t="s">
        <v>432</v>
      </c>
      <c r="L986">
        <v>0.85685577368990573</v>
      </c>
      <c r="M986">
        <v>1</v>
      </c>
      <c r="N986">
        <v>1.4432617716038199E-2</v>
      </c>
      <c r="O986" t="s">
        <v>433</v>
      </c>
      <c r="P986">
        <v>32778</v>
      </c>
      <c r="Q986">
        <v>0.94407834523155776</v>
      </c>
      <c r="R986">
        <v>0</v>
      </c>
      <c r="T986">
        <v>0</v>
      </c>
      <c r="U986" t="b">
        <v>0</v>
      </c>
      <c r="V986">
        <v>4.3092888243831649</v>
      </c>
      <c r="Y986">
        <v>0</v>
      </c>
      <c r="Z986">
        <v>1389</v>
      </c>
      <c r="AA986">
        <v>3.5099460032846502E-2</v>
      </c>
      <c r="AB986">
        <v>1.6548051080988451</v>
      </c>
      <c r="AC986">
        <v>-7.4772897754279998E-4</v>
      </c>
      <c r="AD986">
        <v>7.4321978701789596E-2</v>
      </c>
      <c r="AE986">
        <v>0</v>
      </c>
      <c r="AF986" t="b">
        <v>0</v>
      </c>
    </row>
    <row r="987" spans="1:32" x14ac:dyDescent="0.3">
      <c r="A987" t="s">
        <v>2118</v>
      </c>
      <c r="B987" t="s">
        <v>2119</v>
      </c>
      <c r="C987" t="s">
        <v>431</v>
      </c>
      <c r="D987">
        <v>511</v>
      </c>
      <c r="E987">
        <v>3379</v>
      </c>
      <c r="F987">
        <v>24</v>
      </c>
      <c r="G987">
        <v>180</v>
      </c>
      <c r="H987">
        <v>60</v>
      </c>
      <c r="I987">
        <v>0.99822432672388284</v>
      </c>
      <c r="J987">
        <v>0.99927202135404036</v>
      </c>
      <c r="K987" t="s">
        <v>432</v>
      </c>
      <c r="L987">
        <v>0.40038591413410518</v>
      </c>
      <c r="M987">
        <v>0.99879324215607401</v>
      </c>
      <c r="N987">
        <v>1</v>
      </c>
      <c r="O987" t="s">
        <v>433</v>
      </c>
      <c r="P987">
        <v>0</v>
      </c>
      <c r="R987">
        <v>3</v>
      </c>
      <c r="S987">
        <v>0</v>
      </c>
      <c r="T987">
        <v>0</v>
      </c>
      <c r="U987" t="b">
        <v>0</v>
      </c>
      <c r="V987">
        <v>7.0851063829787231</v>
      </c>
      <c r="Y987">
        <v>6.0299083453931E-3</v>
      </c>
      <c r="Z987">
        <v>140</v>
      </c>
      <c r="AA987">
        <v>-1.9176266736384201E-2</v>
      </c>
      <c r="AB987">
        <v>-4.6903061224489804</v>
      </c>
      <c r="AC987">
        <v>9.7248246279635006E-3</v>
      </c>
      <c r="AD987">
        <v>1.3418734987990301E-2</v>
      </c>
      <c r="AE987">
        <v>0</v>
      </c>
      <c r="AF987" t="b">
        <v>0</v>
      </c>
    </row>
    <row r="988" spans="1:32" x14ac:dyDescent="0.3">
      <c r="A988" t="s">
        <v>2120</v>
      </c>
      <c r="B988" t="s">
        <v>2121</v>
      </c>
      <c r="C988" t="s">
        <v>431</v>
      </c>
      <c r="D988">
        <v>562</v>
      </c>
      <c r="E988">
        <v>3661</v>
      </c>
      <c r="F988">
        <v>108</v>
      </c>
      <c r="G988">
        <v>300</v>
      </c>
      <c r="H988">
        <v>60</v>
      </c>
      <c r="I988">
        <v>0.92652280797596276</v>
      </c>
      <c r="J988">
        <v>0.96661141368695236</v>
      </c>
      <c r="K988" t="s">
        <v>432</v>
      </c>
      <c r="L988">
        <v>3.33885863130476E-2</v>
      </c>
      <c r="M988">
        <v>1</v>
      </c>
      <c r="N988">
        <v>0</v>
      </c>
      <c r="O988" t="s">
        <v>433</v>
      </c>
      <c r="P988">
        <v>141</v>
      </c>
      <c r="Q988">
        <v>1</v>
      </c>
      <c r="R988">
        <v>0</v>
      </c>
      <c r="T988">
        <v>0</v>
      </c>
      <c r="U988" t="b">
        <v>0</v>
      </c>
      <c r="V988">
        <v>34.781818181818181</v>
      </c>
      <c r="Y988">
        <v>0</v>
      </c>
      <c r="Z988">
        <v>156</v>
      </c>
      <c r="AA988">
        <v>6.1178865672706598E-2</v>
      </c>
      <c r="AB988">
        <v>18.323336385836381</v>
      </c>
      <c r="AC988">
        <v>1.8919148870342701E-2</v>
      </c>
      <c r="AD988">
        <v>8.4942724768171607E-2</v>
      </c>
      <c r="AE988">
        <v>0</v>
      </c>
      <c r="AF988" t="b">
        <v>0</v>
      </c>
    </row>
    <row r="989" spans="1:32" x14ac:dyDescent="0.3">
      <c r="A989" t="s">
        <v>2122</v>
      </c>
      <c r="B989" t="s">
        <v>2123</v>
      </c>
      <c r="C989" t="s">
        <v>431</v>
      </c>
      <c r="D989">
        <v>92</v>
      </c>
      <c r="E989">
        <v>2312</v>
      </c>
      <c r="F989">
        <v>151</v>
      </c>
      <c r="G989">
        <v>77</v>
      </c>
      <c r="H989">
        <v>1</v>
      </c>
      <c r="I989">
        <v>3.37370242214532E-2</v>
      </c>
      <c r="J989">
        <v>0.23668885191347749</v>
      </c>
      <c r="K989" t="s">
        <v>432</v>
      </c>
      <c r="L989">
        <v>0.78743760399334439</v>
      </c>
      <c r="M989">
        <v>1</v>
      </c>
      <c r="N989">
        <v>3.0639197041732701E-2</v>
      </c>
      <c r="O989" t="s">
        <v>433</v>
      </c>
      <c r="P989">
        <v>1833</v>
      </c>
      <c r="Q989">
        <v>0.44735406437534098</v>
      </c>
      <c r="R989">
        <v>0</v>
      </c>
      <c r="T989">
        <v>0</v>
      </c>
      <c r="U989" t="b">
        <v>0</v>
      </c>
      <c r="V989">
        <v>10.52631578947368</v>
      </c>
      <c r="Y989">
        <v>0</v>
      </c>
      <c r="Z989">
        <v>53</v>
      </c>
      <c r="AA989">
        <v>1.4960620185709001E-3</v>
      </c>
      <c r="AB989">
        <v>0.15220125786163549</v>
      </c>
      <c r="AC989">
        <v>4.4397152711528002E-3</v>
      </c>
      <c r="AD989">
        <v>1.5764650702243001E-3</v>
      </c>
      <c r="AE989">
        <v>0</v>
      </c>
      <c r="AF989" t="b">
        <v>0</v>
      </c>
    </row>
    <row r="990" spans="1:32" x14ac:dyDescent="0.3">
      <c r="A990" t="s">
        <v>2124</v>
      </c>
      <c r="B990" t="s">
        <v>2125</v>
      </c>
      <c r="C990" t="s">
        <v>431</v>
      </c>
      <c r="D990">
        <v>74</v>
      </c>
      <c r="E990">
        <v>567</v>
      </c>
      <c r="F990">
        <v>39</v>
      </c>
      <c r="G990">
        <v>120</v>
      </c>
      <c r="H990">
        <v>60</v>
      </c>
      <c r="I990">
        <v>1</v>
      </c>
      <c r="J990">
        <v>1</v>
      </c>
      <c r="K990" t="s">
        <v>86</v>
      </c>
      <c r="P990">
        <v>0</v>
      </c>
      <c r="R990">
        <v>0</v>
      </c>
      <c r="T990">
        <v>0</v>
      </c>
      <c r="U990" t="b">
        <v>0</v>
      </c>
      <c r="Y990">
        <v>5.9639389736477103E-2</v>
      </c>
      <c r="Z990">
        <v>0</v>
      </c>
      <c r="AE990">
        <v>0</v>
      </c>
      <c r="AF990" t="b">
        <v>0</v>
      </c>
    </row>
    <row r="991" spans="1:32" x14ac:dyDescent="0.3">
      <c r="A991" t="s">
        <v>2126</v>
      </c>
      <c r="B991" t="s">
        <v>2127</v>
      </c>
      <c r="C991" t="s">
        <v>431</v>
      </c>
      <c r="D991">
        <v>1648</v>
      </c>
      <c r="E991">
        <v>13688</v>
      </c>
      <c r="F991">
        <v>76</v>
      </c>
      <c r="G991">
        <v>104</v>
      </c>
      <c r="H991">
        <v>1</v>
      </c>
      <c r="I991">
        <v>1.22004675628287E-2</v>
      </c>
      <c r="J991">
        <v>0.2214397496087637</v>
      </c>
      <c r="K991" t="s">
        <v>432</v>
      </c>
      <c r="L991">
        <v>0.78997130933750648</v>
      </c>
      <c r="M991">
        <v>0.99441167339335601</v>
      </c>
      <c r="N991">
        <v>1.5930664465538501E-2</v>
      </c>
      <c r="O991" t="s">
        <v>433</v>
      </c>
      <c r="P991">
        <v>11922</v>
      </c>
      <c r="Q991">
        <v>0.65953699043784597</v>
      </c>
      <c r="R991">
        <v>0</v>
      </c>
      <c r="T991">
        <v>0</v>
      </c>
      <c r="U991" t="b">
        <v>0</v>
      </c>
      <c r="V991">
        <v>0</v>
      </c>
      <c r="Y991">
        <v>0</v>
      </c>
      <c r="Z991">
        <v>78</v>
      </c>
      <c r="AA991">
        <v>0</v>
      </c>
      <c r="AB991">
        <v>0</v>
      </c>
      <c r="AC991">
        <v>0</v>
      </c>
      <c r="AD991">
        <v>0</v>
      </c>
      <c r="AE991">
        <v>0</v>
      </c>
      <c r="AF991" t="b">
        <v>0</v>
      </c>
    </row>
    <row r="992" spans="1:32" x14ac:dyDescent="0.3">
      <c r="A992" t="s">
        <v>2128</v>
      </c>
      <c r="B992" t="s">
        <v>2129</v>
      </c>
      <c r="C992" t="s">
        <v>431</v>
      </c>
      <c r="D992">
        <v>584</v>
      </c>
      <c r="E992">
        <v>15875</v>
      </c>
      <c r="F992">
        <v>166</v>
      </c>
      <c r="G992">
        <v>41</v>
      </c>
      <c r="H992">
        <v>1</v>
      </c>
      <c r="I992">
        <v>5.0078740157480303E-2</v>
      </c>
      <c r="J992">
        <v>0.28308533252353479</v>
      </c>
      <c r="K992" t="s">
        <v>432</v>
      </c>
      <c r="L992">
        <v>0.72244154266626182</v>
      </c>
      <c r="M992">
        <v>1</v>
      </c>
      <c r="N992">
        <v>7.6502732240437002E-3</v>
      </c>
      <c r="O992" t="s">
        <v>433</v>
      </c>
      <c r="P992">
        <v>11804</v>
      </c>
      <c r="Q992">
        <v>0.99186716367333105</v>
      </c>
      <c r="R992">
        <v>0</v>
      </c>
      <c r="T992">
        <v>0</v>
      </c>
      <c r="U992" t="b">
        <v>0</v>
      </c>
      <c r="V992">
        <v>0.48780487804878048</v>
      </c>
      <c r="Y992">
        <v>0</v>
      </c>
      <c r="Z992">
        <v>908</v>
      </c>
      <c r="AA992">
        <v>9.8047697320989991E-4</v>
      </c>
      <c r="AB992">
        <v>5.6167400881057199E-2</v>
      </c>
      <c r="AC992">
        <v>-2.6044379622876999E-3</v>
      </c>
      <c r="AD992">
        <v>1.111086420301E-4</v>
      </c>
      <c r="AE992">
        <v>0</v>
      </c>
      <c r="AF992" t="b">
        <v>0</v>
      </c>
    </row>
    <row r="993" spans="1:35" x14ac:dyDescent="0.3">
      <c r="A993" t="s">
        <v>2130</v>
      </c>
      <c r="B993" t="s">
        <v>2131</v>
      </c>
      <c r="C993" t="s">
        <v>431</v>
      </c>
      <c r="D993">
        <v>1152</v>
      </c>
      <c r="E993">
        <v>25602</v>
      </c>
      <c r="F993">
        <v>233</v>
      </c>
      <c r="G993">
        <v>52</v>
      </c>
      <c r="H993">
        <v>1</v>
      </c>
      <c r="I993">
        <v>4.0856183110694402E-2</v>
      </c>
      <c r="J993">
        <v>0.2410480675786798</v>
      </c>
      <c r="K993" t="s">
        <v>432</v>
      </c>
      <c r="L993">
        <v>0.77341705913134484</v>
      </c>
      <c r="M993">
        <v>1</v>
      </c>
      <c r="N993">
        <v>1.8702880340228101E-2</v>
      </c>
      <c r="O993" t="s">
        <v>433</v>
      </c>
      <c r="P993">
        <v>20254</v>
      </c>
      <c r="Q993">
        <v>0.95936605115038998</v>
      </c>
      <c r="R993">
        <v>0</v>
      </c>
      <c r="T993">
        <v>0</v>
      </c>
      <c r="U993" t="b">
        <v>0</v>
      </c>
      <c r="V993">
        <v>9.5384615384615304E-2</v>
      </c>
      <c r="Y993">
        <v>0</v>
      </c>
      <c r="Z993">
        <v>945</v>
      </c>
      <c r="AA993">
        <v>3.709162726441E-4</v>
      </c>
      <c r="AB993">
        <v>2.68959435626102E-2</v>
      </c>
      <c r="AC993">
        <v>-1.0517241379309999E-3</v>
      </c>
      <c r="AD993">
        <v>3.1353440654609998E-4</v>
      </c>
      <c r="AE993">
        <v>0</v>
      </c>
      <c r="AF993" t="b">
        <v>0</v>
      </c>
    </row>
    <row r="994" spans="1:35" x14ac:dyDescent="0.3">
      <c r="A994" t="s">
        <v>2132</v>
      </c>
      <c r="B994" t="s">
        <v>2133</v>
      </c>
      <c r="C994" t="s">
        <v>431</v>
      </c>
      <c r="D994">
        <v>95</v>
      </c>
      <c r="E994">
        <v>696</v>
      </c>
      <c r="F994">
        <v>10</v>
      </c>
      <c r="G994">
        <v>180</v>
      </c>
      <c r="H994">
        <v>60</v>
      </c>
      <c r="I994">
        <v>1</v>
      </c>
      <c r="J994">
        <v>1</v>
      </c>
      <c r="K994" t="s">
        <v>432</v>
      </c>
      <c r="L994">
        <v>0.14243614931237719</v>
      </c>
      <c r="M994">
        <v>1</v>
      </c>
      <c r="N994">
        <v>1</v>
      </c>
      <c r="O994" t="s">
        <v>433</v>
      </c>
      <c r="P994">
        <v>0</v>
      </c>
      <c r="R994">
        <v>0</v>
      </c>
      <c r="T994">
        <v>0</v>
      </c>
      <c r="U994" t="b">
        <v>0</v>
      </c>
      <c r="Y994">
        <v>0.13163064833005891</v>
      </c>
      <c r="Z994">
        <v>19</v>
      </c>
      <c r="AA994">
        <v>-1.06761565836298E-2</v>
      </c>
      <c r="AB994">
        <v>-2.3684210526315792</v>
      </c>
      <c r="AE994">
        <v>0</v>
      </c>
      <c r="AF994" t="b">
        <v>0</v>
      </c>
    </row>
    <row r="995" spans="1:35" x14ac:dyDescent="0.3">
      <c r="A995" t="s">
        <v>2134</v>
      </c>
      <c r="B995" t="s">
        <v>2135</v>
      </c>
      <c r="C995" t="s">
        <v>431</v>
      </c>
      <c r="D995">
        <v>168</v>
      </c>
      <c r="E995">
        <v>2368</v>
      </c>
      <c r="F995">
        <v>5</v>
      </c>
      <c r="G995">
        <v>60</v>
      </c>
      <c r="H995">
        <v>60</v>
      </c>
      <c r="I995">
        <v>1</v>
      </c>
      <c r="J995">
        <v>1</v>
      </c>
      <c r="K995" t="s">
        <v>432</v>
      </c>
      <c r="L995">
        <v>0.1631901840490797</v>
      </c>
      <c r="M995">
        <v>1</v>
      </c>
      <c r="N995">
        <v>1</v>
      </c>
      <c r="O995" t="s">
        <v>518</v>
      </c>
      <c r="P995">
        <v>0</v>
      </c>
      <c r="R995">
        <v>0</v>
      </c>
      <c r="T995">
        <v>0</v>
      </c>
      <c r="U995" t="b">
        <v>0</v>
      </c>
      <c r="V995">
        <v>0</v>
      </c>
      <c r="Y995">
        <v>0</v>
      </c>
      <c r="Z995">
        <v>74</v>
      </c>
      <c r="AA995">
        <v>0</v>
      </c>
      <c r="AB995">
        <v>0</v>
      </c>
      <c r="AC995">
        <v>0</v>
      </c>
      <c r="AD995">
        <v>0</v>
      </c>
      <c r="AE995">
        <v>0</v>
      </c>
      <c r="AF995" t="b">
        <v>0</v>
      </c>
    </row>
    <row r="996" spans="1:35" x14ac:dyDescent="0.3">
      <c r="A996" t="s">
        <v>2136</v>
      </c>
      <c r="B996" t="s">
        <v>2137</v>
      </c>
      <c r="C996" t="s">
        <v>431</v>
      </c>
      <c r="D996">
        <v>631</v>
      </c>
      <c r="E996">
        <v>11761</v>
      </c>
      <c r="F996">
        <v>23</v>
      </c>
      <c r="G996">
        <v>60</v>
      </c>
      <c r="H996">
        <v>60</v>
      </c>
      <c r="I996">
        <v>0.92832242156279243</v>
      </c>
      <c r="J996">
        <v>0.88540994189799871</v>
      </c>
      <c r="K996" t="s">
        <v>432</v>
      </c>
      <c r="L996">
        <v>0.81826985151710785</v>
      </c>
      <c r="M996">
        <v>0.95426287744227356</v>
      </c>
      <c r="N996">
        <v>0.87011834319526626</v>
      </c>
      <c r="O996" t="s">
        <v>433</v>
      </c>
      <c r="P996">
        <v>1037</v>
      </c>
      <c r="Q996">
        <v>0</v>
      </c>
      <c r="R996">
        <v>60</v>
      </c>
      <c r="S996">
        <v>0</v>
      </c>
      <c r="T996">
        <v>0</v>
      </c>
      <c r="U996" t="b">
        <v>0</v>
      </c>
      <c r="V996">
        <v>0.61352657004830913</v>
      </c>
      <c r="Y996">
        <v>0</v>
      </c>
      <c r="Z996">
        <v>408</v>
      </c>
      <c r="AA996">
        <v>1.9911749252126999E-3</v>
      </c>
      <c r="AB996">
        <v>0.22156750400695041</v>
      </c>
      <c r="AC996">
        <v>1.073318470515E-3</v>
      </c>
      <c r="AD996">
        <v>1.1733652322536E-3</v>
      </c>
      <c r="AE996">
        <v>0</v>
      </c>
      <c r="AF996" t="b">
        <v>0</v>
      </c>
    </row>
    <row r="997" spans="1:35" x14ac:dyDescent="0.3">
      <c r="A997" t="s">
        <v>2138</v>
      </c>
      <c r="B997" t="s">
        <v>2139</v>
      </c>
      <c r="C997" t="s">
        <v>431</v>
      </c>
      <c r="D997">
        <v>849</v>
      </c>
      <c r="E997">
        <v>30793</v>
      </c>
      <c r="F997">
        <v>317</v>
      </c>
      <c r="G997">
        <v>77</v>
      </c>
      <c r="H997">
        <v>1</v>
      </c>
      <c r="I997">
        <v>2.0394245445393401E-2</v>
      </c>
      <c r="J997">
        <v>0.15390936097591809</v>
      </c>
      <c r="K997" t="s">
        <v>432</v>
      </c>
      <c r="L997">
        <v>0.84609063902408188</v>
      </c>
      <c r="M997">
        <v>1</v>
      </c>
      <c r="N997">
        <v>0</v>
      </c>
      <c r="O997" t="s">
        <v>518</v>
      </c>
      <c r="P997">
        <v>26772</v>
      </c>
      <c r="Q997">
        <v>2.1851187808157702E-2</v>
      </c>
      <c r="R997">
        <v>0</v>
      </c>
      <c r="T997">
        <v>0</v>
      </c>
      <c r="U997" t="b">
        <v>0</v>
      </c>
      <c r="V997">
        <v>0.28982742960944591</v>
      </c>
      <c r="Y997">
        <v>0</v>
      </c>
      <c r="Z997">
        <v>1138</v>
      </c>
      <c r="AA997">
        <v>-1.7443227065396E-3</v>
      </c>
      <c r="AB997">
        <v>-0.16809705135715691</v>
      </c>
      <c r="AC997">
        <v>4.8425639099549999E-4</v>
      </c>
      <c r="AD997">
        <v>-4.300392808893E-4</v>
      </c>
      <c r="AE997">
        <v>0</v>
      </c>
      <c r="AF997" t="b">
        <v>0</v>
      </c>
    </row>
    <row r="998" spans="1:35" x14ac:dyDescent="0.3">
      <c r="A998" t="s">
        <v>2140</v>
      </c>
      <c r="B998" t="s">
        <v>2141</v>
      </c>
      <c r="C998" t="s">
        <v>431</v>
      </c>
      <c r="D998">
        <v>103</v>
      </c>
      <c r="E998">
        <v>1077</v>
      </c>
      <c r="F998">
        <v>14</v>
      </c>
      <c r="G998">
        <v>120</v>
      </c>
      <c r="H998">
        <v>60</v>
      </c>
      <c r="I998">
        <v>1</v>
      </c>
      <c r="J998">
        <v>1</v>
      </c>
      <c r="K998" t="s">
        <v>432</v>
      </c>
      <c r="L998">
        <v>0.76216968011126562</v>
      </c>
      <c r="M998">
        <v>1</v>
      </c>
      <c r="N998">
        <v>1</v>
      </c>
      <c r="O998" t="s">
        <v>433</v>
      </c>
      <c r="P998">
        <v>0</v>
      </c>
      <c r="R998">
        <v>0</v>
      </c>
      <c r="T998">
        <v>0</v>
      </c>
      <c r="U998" t="b">
        <v>0</v>
      </c>
      <c r="V998">
        <v>0</v>
      </c>
      <c r="Y998">
        <v>0</v>
      </c>
      <c r="Z998">
        <v>52</v>
      </c>
      <c r="AA998">
        <v>3.3361134278565002E-3</v>
      </c>
      <c r="AB998">
        <v>0.38461538461538458</v>
      </c>
      <c r="AC998">
        <v>0</v>
      </c>
      <c r="AD998">
        <v>0</v>
      </c>
      <c r="AE998">
        <v>0</v>
      </c>
      <c r="AF998" t="b">
        <v>0</v>
      </c>
    </row>
    <row r="999" spans="1:35" x14ac:dyDescent="0.3">
      <c r="A999" t="s">
        <v>2142</v>
      </c>
      <c r="B999" t="s">
        <v>2143</v>
      </c>
      <c r="C999" t="s">
        <v>431</v>
      </c>
      <c r="D999">
        <v>2541</v>
      </c>
      <c r="E999">
        <v>197206</v>
      </c>
      <c r="F999">
        <v>205</v>
      </c>
      <c r="G999">
        <v>34</v>
      </c>
      <c r="H999">
        <v>1</v>
      </c>
      <c r="I999">
        <v>8.3161769925864E-3</v>
      </c>
      <c r="J999">
        <v>0.12853259373106979</v>
      </c>
      <c r="K999" t="s">
        <v>432</v>
      </c>
      <c r="L999">
        <v>0.88779305821864662</v>
      </c>
      <c r="M999">
        <v>1</v>
      </c>
      <c r="N999">
        <v>1.8389028612674298E-2</v>
      </c>
      <c r="O999" t="s">
        <v>433</v>
      </c>
      <c r="P999">
        <v>174073</v>
      </c>
      <c r="Q999">
        <v>0.30093696322807101</v>
      </c>
      <c r="R999">
        <v>0</v>
      </c>
      <c r="T999">
        <v>0</v>
      </c>
      <c r="U999" t="b">
        <v>0</v>
      </c>
      <c r="V999">
        <v>1.8824508238192059</v>
      </c>
      <c r="Y999">
        <v>0</v>
      </c>
      <c r="Z999">
        <v>5465</v>
      </c>
      <c r="AA999">
        <v>-8.5976349996509996E-4</v>
      </c>
      <c r="AB999">
        <v>-3.4258158619580301E-2</v>
      </c>
      <c r="AC999">
        <v>-1.5804843481191599E-2</v>
      </c>
      <c r="AD999">
        <v>2.1981549569694399E-2</v>
      </c>
      <c r="AE999">
        <v>0</v>
      </c>
      <c r="AF999" t="b">
        <v>0</v>
      </c>
    </row>
    <row r="1000" spans="1:35" x14ac:dyDescent="0.3">
      <c r="A1000" t="s">
        <v>2144</v>
      </c>
      <c r="B1000" t="s">
        <v>2145</v>
      </c>
      <c r="C1000" t="s">
        <v>431</v>
      </c>
      <c r="D1000">
        <v>5822</v>
      </c>
      <c r="E1000">
        <v>290744</v>
      </c>
      <c r="F1000">
        <v>459</v>
      </c>
      <c r="G1000">
        <v>47</v>
      </c>
      <c r="H1000">
        <v>1</v>
      </c>
      <c r="I1000">
        <v>1.6096634840271799E-2</v>
      </c>
      <c r="J1000">
        <v>0.1433227170854186</v>
      </c>
      <c r="K1000" t="s">
        <v>432</v>
      </c>
      <c r="L1000">
        <v>0.86983806009133346</v>
      </c>
      <c r="M1000">
        <v>0.99935268377307684</v>
      </c>
      <c r="N1000">
        <v>1.5227010314071599E-2</v>
      </c>
      <c r="O1000" t="s">
        <v>433</v>
      </c>
      <c r="P1000">
        <v>221814</v>
      </c>
      <c r="Q1000">
        <v>0.1700253365432299</v>
      </c>
      <c r="R1000">
        <v>10</v>
      </c>
      <c r="S1000">
        <v>0</v>
      </c>
      <c r="T1000">
        <v>0</v>
      </c>
      <c r="U1000" t="b">
        <v>0</v>
      </c>
      <c r="V1000">
        <v>8.1740229152523298</v>
      </c>
      <c r="Y1000">
        <v>0</v>
      </c>
      <c r="Z1000">
        <v>5619</v>
      </c>
      <c r="AA1000">
        <v>1.09672779903221E-2</v>
      </c>
      <c r="AB1000">
        <v>0.6638278323585346</v>
      </c>
      <c r="AC1000">
        <v>-4.1048963568982799E-2</v>
      </c>
      <c r="AD1000">
        <v>6.5610970861895795E-2</v>
      </c>
      <c r="AE1000">
        <v>0</v>
      </c>
      <c r="AF1000" t="b">
        <v>0</v>
      </c>
    </row>
    <row r="1001" spans="1:35" x14ac:dyDescent="0.3">
      <c r="A1001" t="s">
        <v>2146</v>
      </c>
      <c r="B1001" t="s">
        <v>2147</v>
      </c>
      <c r="C1001" t="s">
        <v>431</v>
      </c>
      <c r="D1001">
        <v>104</v>
      </c>
      <c r="E1001">
        <v>412</v>
      </c>
      <c r="F1001">
        <v>22</v>
      </c>
      <c r="G1001">
        <v>420</v>
      </c>
      <c r="H1001">
        <v>60</v>
      </c>
      <c r="I1001">
        <v>1</v>
      </c>
      <c r="J1001">
        <v>1</v>
      </c>
      <c r="K1001" t="s">
        <v>432</v>
      </c>
      <c r="L1001">
        <v>0.49471210340775551</v>
      </c>
      <c r="M1001">
        <v>1</v>
      </c>
      <c r="N1001">
        <v>1</v>
      </c>
      <c r="O1001" t="s">
        <v>433</v>
      </c>
      <c r="P1001">
        <v>0</v>
      </c>
      <c r="R1001">
        <v>0</v>
      </c>
      <c r="T1001">
        <v>0</v>
      </c>
      <c r="U1001" t="b">
        <v>0</v>
      </c>
      <c r="Y1001">
        <v>0.49294947121034077</v>
      </c>
      <c r="Z1001">
        <v>0</v>
      </c>
      <c r="AE1001">
        <v>0</v>
      </c>
      <c r="AF1001" t="b">
        <v>0</v>
      </c>
    </row>
    <row r="1002" spans="1:35" x14ac:dyDescent="0.3">
      <c r="A1002" t="s">
        <v>2148</v>
      </c>
      <c r="B1002" t="s">
        <v>2149</v>
      </c>
      <c r="C1002" t="s">
        <v>431</v>
      </c>
      <c r="D1002">
        <v>125</v>
      </c>
      <c r="E1002">
        <v>3767</v>
      </c>
      <c r="F1002">
        <v>139</v>
      </c>
      <c r="G1002">
        <v>49</v>
      </c>
      <c r="H1002">
        <v>1</v>
      </c>
      <c r="I1002">
        <v>2.20334483674011E-2</v>
      </c>
      <c r="J1002">
        <v>0.18011305241521069</v>
      </c>
      <c r="K1002" t="s">
        <v>86</v>
      </c>
      <c r="P1002">
        <v>0</v>
      </c>
      <c r="R1002">
        <v>0</v>
      </c>
      <c r="T1002">
        <v>0</v>
      </c>
      <c r="U1002" t="b">
        <v>0</v>
      </c>
      <c r="Y1002">
        <v>0</v>
      </c>
      <c r="Z1002">
        <v>281</v>
      </c>
      <c r="AA1002">
        <v>0</v>
      </c>
      <c r="AB1002">
        <v>0</v>
      </c>
      <c r="AE1002">
        <v>0</v>
      </c>
      <c r="AF1002" t="b">
        <v>0</v>
      </c>
    </row>
    <row r="1003" spans="1:35" x14ac:dyDescent="0.3">
      <c r="A1003" t="s">
        <v>2150</v>
      </c>
      <c r="B1003" t="s">
        <v>2151</v>
      </c>
      <c r="C1003" t="s">
        <v>431</v>
      </c>
      <c r="D1003">
        <v>2438</v>
      </c>
      <c r="E1003">
        <v>67410</v>
      </c>
      <c r="F1003">
        <v>36</v>
      </c>
      <c r="G1003">
        <v>60</v>
      </c>
      <c r="H1003">
        <v>60</v>
      </c>
      <c r="I1003">
        <v>1</v>
      </c>
      <c r="J1003">
        <v>1</v>
      </c>
      <c r="K1003" t="s">
        <v>432</v>
      </c>
      <c r="L1003">
        <v>0.85068171471018139</v>
      </c>
      <c r="M1003">
        <v>1</v>
      </c>
      <c r="N1003">
        <v>1</v>
      </c>
      <c r="O1003" t="s">
        <v>518</v>
      </c>
      <c r="P1003">
        <v>0</v>
      </c>
      <c r="R1003">
        <v>0</v>
      </c>
      <c r="T1003">
        <v>1</v>
      </c>
      <c r="U1003" t="b">
        <v>1</v>
      </c>
      <c r="V1003">
        <v>9.8673683579225138</v>
      </c>
      <c r="W1003">
        <v>0</v>
      </c>
      <c r="X1003" t="b">
        <v>1</v>
      </c>
      <c r="Y1003">
        <v>0</v>
      </c>
      <c r="Z1003">
        <v>2729</v>
      </c>
      <c r="AA1003">
        <v>1.4037537243848699E-2</v>
      </c>
      <c r="AB1003">
        <v>1.3146465688444</v>
      </c>
      <c r="AC1003">
        <v>-2.6831242973803002E-2</v>
      </c>
      <c r="AD1003">
        <v>3.5996748424959299E-2</v>
      </c>
      <c r="AE1003">
        <v>1</v>
      </c>
      <c r="AF1003" t="b">
        <v>1</v>
      </c>
      <c r="AG1003">
        <v>0</v>
      </c>
      <c r="AH1003">
        <v>0</v>
      </c>
      <c r="AI1003" t="b">
        <v>1</v>
      </c>
    </row>
    <row r="1004" spans="1:35" x14ac:dyDescent="0.3">
      <c r="A1004" t="s">
        <v>2152</v>
      </c>
      <c r="B1004" t="s">
        <v>2153</v>
      </c>
      <c r="C1004" t="s">
        <v>431</v>
      </c>
      <c r="D1004">
        <v>134</v>
      </c>
      <c r="E1004">
        <v>954</v>
      </c>
      <c r="F1004">
        <v>26</v>
      </c>
      <c r="G1004">
        <v>120</v>
      </c>
      <c r="H1004">
        <v>60</v>
      </c>
      <c r="I1004">
        <v>0.98427672955974843</v>
      </c>
      <c r="J1004">
        <v>0.98490813648293962</v>
      </c>
      <c r="K1004" t="s">
        <v>86</v>
      </c>
      <c r="P1004">
        <v>0</v>
      </c>
      <c r="R1004">
        <v>0</v>
      </c>
      <c r="T1004">
        <v>0</v>
      </c>
      <c r="U1004" t="b">
        <v>0</v>
      </c>
      <c r="Y1004">
        <v>0.25257479156449242</v>
      </c>
      <c r="Z1004">
        <v>54</v>
      </c>
      <c r="AA1004">
        <v>0</v>
      </c>
      <c r="AB1004">
        <v>0</v>
      </c>
      <c r="AE1004">
        <v>0</v>
      </c>
      <c r="AF1004" t="b">
        <v>0</v>
      </c>
    </row>
    <row r="1005" spans="1:35" x14ac:dyDescent="0.3">
      <c r="A1005" t="s">
        <v>2154</v>
      </c>
      <c r="B1005" t="s">
        <v>2155</v>
      </c>
      <c r="C1005" t="s">
        <v>431</v>
      </c>
      <c r="D1005">
        <v>1128</v>
      </c>
      <c r="E1005">
        <v>34191</v>
      </c>
      <c r="F1005">
        <v>18</v>
      </c>
      <c r="G1005">
        <v>60</v>
      </c>
      <c r="H1005">
        <v>60</v>
      </c>
      <c r="I1005">
        <v>1</v>
      </c>
      <c r="J1005">
        <v>1</v>
      </c>
      <c r="K1005" t="s">
        <v>432</v>
      </c>
      <c r="L1005">
        <v>0.88611746000198743</v>
      </c>
      <c r="M1005">
        <v>1</v>
      </c>
      <c r="N1005">
        <v>1</v>
      </c>
      <c r="O1005" t="s">
        <v>433</v>
      </c>
      <c r="P1005">
        <v>0</v>
      </c>
      <c r="R1005">
        <v>0</v>
      </c>
      <c r="T1005">
        <v>0</v>
      </c>
      <c r="U1005" t="b">
        <v>0</v>
      </c>
      <c r="V1005">
        <v>4.2917650531286897</v>
      </c>
      <c r="Y1005">
        <v>0</v>
      </c>
      <c r="Z1005">
        <v>1181</v>
      </c>
      <c r="AA1005">
        <v>1.1414052614700101E-2</v>
      </c>
      <c r="AB1005">
        <v>0.94674828417419443</v>
      </c>
      <c r="AC1005">
        <v>-9.8296276264270006E-4</v>
      </c>
      <c r="AD1005">
        <v>2.29601153850627E-2</v>
      </c>
      <c r="AE1005">
        <v>0</v>
      </c>
      <c r="AF1005" t="b">
        <v>0</v>
      </c>
    </row>
    <row r="1006" spans="1:35" x14ac:dyDescent="0.3">
      <c r="A1006" t="s">
        <v>2156</v>
      </c>
      <c r="B1006" t="s">
        <v>2157</v>
      </c>
      <c r="C1006" t="s">
        <v>431</v>
      </c>
      <c r="D1006">
        <v>201</v>
      </c>
      <c r="E1006">
        <v>5364</v>
      </c>
      <c r="F1006">
        <v>19</v>
      </c>
      <c r="G1006">
        <v>60</v>
      </c>
      <c r="H1006">
        <v>30</v>
      </c>
      <c r="I1006">
        <v>0.84190902311707683</v>
      </c>
      <c r="J1006">
        <v>0.92362437076896375</v>
      </c>
      <c r="K1006" t="s">
        <v>86</v>
      </c>
      <c r="P1006">
        <v>0</v>
      </c>
      <c r="R1006">
        <v>0</v>
      </c>
      <c r="T1006">
        <v>0</v>
      </c>
      <c r="U1006" t="b">
        <v>0</v>
      </c>
      <c r="V1006">
        <v>0</v>
      </c>
      <c r="Y1006">
        <v>1.4876880984952099E-2</v>
      </c>
      <c r="Z1006">
        <v>319</v>
      </c>
      <c r="AA1006">
        <v>0</v>
      </c>
      <c r="AB1006">
        <v>0</v>
      </c>
      <c r="AC1006">
        <v>0</v>
      </c>
      <c r="AD1006">
        <v>0</v>
      </c>
      <c r="AE1006">
        <v>0</v>
      </c>
      <c r="AF1006" t="b">
        <v>0</v>
      </c>
    </row>
    <row r="1007" spans="1:35" x14ac:dyDescent="0.3">
      <c r="A1007" t="s">
        <v>2158</v>
      </c>
      <c r="B1007" t="s">
        <v>2159</v>
      </c>
      <c r="C1007" t="s">
        <v>431</v>
      </c>
      <c r="D1007">
        <v>133</v>
      </c>
      <c r="E1007">
        <v>2996</v>
      </c>
      <c r="F1007">
        <v>7</v>
      </c>
      <c r="G1007">
        <v>60</v>
      </c>
      <c r="H1007">
        <v>1</v>
      </c>
      <c r="I1007">
        <v>0.98598130841121501</v>
      </c>
      <c r="J1007">
        <v>0.99363057324840764</v>
      </c>
      <c r="K1007" t="s">
        <v>432</v>
      </c>
      <c r="L1007">
        <v>0.89808917197452232</v>
      </c>
      <c r="M1007">
        <v>1</v>
      </c>
      <c r="N1007">
        <v>0.9929078014184396</v>
      </c>
      <c r="O1007" t="s">
        <v>433</v>
      </c>
      <c r="P1007">
        <v>0</v>
      </c>
      <c r="R1007">
        <v>0</v>
      </c>
      <c r="T1007">
        <v>0</v>
      </c>
      <c r="U1007" t="b">
        <v>0</v>
      </c>
      <c r="V1007">
        <v>0</v>
      </c>
      <c r="Y1007">
        <v>0</v>
      </c>
      <c r="Z1007">
        <v>139</v>
      </c>
      <c r="AA1007">
        <v>0</v>
      </c>
      <c r="AB1007">
        <v>0</v>
      </c>
      <c r="AC1007">
        <v>0</v>
      </c>
      <c r="AD1007">
        <v>0</v>
      </c>
      <c r="AE1007">
        <v>0</v>
      </c>
      <c r="AF1007" t="b">
        <v>0</v>
      </c>
    </row>
    <row r="1008" spans="1:35" x14ac:dyDescent="0.3">
      <c r="A1008" t="s">
        <v>2160</v>
      </c>
      <c r="B1008" t="s">
        <v>2161</v>
      </c>
      <c r="C1008" t="s">
        <v>431</v>
      </c>
      <c r="D1008">
        <v>83</v>
      </c>
      <c r="E1008">
        <v>773</v>
      </c>
      <c r="F1008">
        <v>17</v>
      </c>
      <c r="G1008">
        <v>180</v>
      </c>
      <c r="H1008">
        <v>60</v>
      </c>
      <c r="I1008">
        <v>1</v>
      </c>
      <c r="J1008">
        <v>1</v>
      </c>
      <c r="K1008" t="s">
        <v>86</v>
      </c>
      <c r="P1008">
        <v>0</v>
      </c>
      <c r="R1008">
        <v>0</v>
      </c>
      <c r="T1008">
        <v>0</v>
      </c>
      <c r="U1008" t="b">
        <v>0</v>
      </c>
      <c r="Y1008">
        <v>3.5445757250268502E-2</v>
      </c>
      <c r="Z1008">
        <v>11</v>
      </c>
      <c r="AA1008">
        <v>1.5015015015014999E-2</v>
      </c>
      <c r="AB1008">
        <v>2.2727272727272729</v>
      </c>
      <c r="AE1008">
        <v>0</v>
      </c>
      <c r="AF1008" t="b">
        <v>0</v>
      </c>
    </row>
    <row r="1009" spans="1:35" x14ac:dyDescent="0.3">
      <c r="A1009" t="s">
        <v>2162</v>
      </c>
      <c r="B1009" t="s">
        <v>2163</v>
      </c>
      <c r="C1009" t="s">
        <v>431</v>
      </c>
      <c r="D1009">
        <v>1075</v>
      </c>
      <c r="E1009">
        <v>38529</v>
      </c>
      <c r="F1009">
        <v>206</v>
      </c>
      <c r="G1009">
        <v>51</v>
      </c>
      <c r="H1009">
        <v>1</v>
      </c>
      <c r="I1009">
        <v>1.7700952529263601E-2</v>
      </c>
      <c r="J1009">
        <v>0.16783658216341779</v>
      </c>
      <c r="K1009" t="s">
        <v>432</v>
      </c>
      <c r="L1009">
        <v>0.84115240884759113</v>
      </c>
      <c r="M1009">
        <v>1</v>
      </c>
      <c r="N1009">
        <v>1.06865187764536E-2</v>
      </c>
      <c r="O1009" t="s">
        <v>433</v>
      </c>
      <c r="P1009">
        <v>32957</v>
      </c>
      <c r="Q1009">
        <v>9.4183329793367104E-2</v>
      </c>
      <c r="R1009">
        <v>0</v>
      </c>
      <c r="T1009">
        <v>0</v>
      </c>
      <c r="U1009" t="b">
        <v>0</v>
      </c>
      <c r="V1009">
        <v>6.977910511879978</v>
      </c>
      <c r="Y1009">
        <v>0</v>
      </c>
      <c r="Z1009">
        <v>698</v>
      </c>
      <c r="AA1009">
        <v>2.3401142139267101E-2</v>
      </c>
      <c r="AB1009">
        <v>1.539181056612116</v>
      </c>
      <c r="AC1009">
        <v>-2.1464335646631801E-2</v>
      </c>
      <c r="AD1009">
        <v>6.6891585019659403E-2</v>
      </c>
      <c r="AE1009">
        <v>0</v>
      </c>
      <c r="AF1009" t="b">
        <v>0</v>
      </c>
    </row>
    <row r="1010" spans="1:35" x14ac:dyDescent="0.3">
      <c r="A1010" t="s">
        <v>2164</v>
      </c>
      <c r="B1010" t="s">
        <v>2165</v>
      </c>
      <c r="C1010" t="s">
        <v>431</v>
      </c>
      <c r="D1010">
        <v>3816</v>
      </c>
      <c r="E1010">
        <v>113743</v>
      </c>
      <c r="F1010">
        <v>446</v>
      </c>
      <c r="G1010">
        <v>47</v>
      </c>
      <c r="H1010">
        <v>1</v>
      </c>
      <c r="I1010">
        <v>2.74126759448933E-2</v>
      </c>
      <c r="J1010">
        <v>0.17909394032186721</v>
      </c>
      <c r="K1010" t="s">
        <v>432</v>
      </c>
      <c r="L1010">
        <v>0.83833486441427651</v>
      </c>
      <c r="M1010">
        <v>1</v>
      </c>
      <c r="N1010">
        <v>2.07897887538302E-2</v>
      </c>
      <c r="O1010" t="s">
        <v>433</v>
      </c>
      <c r="P1010">
        <v>96509</v>
      </c>
      <c r="Q1010">
        <v>0.11797863411702531</v>
      </c>
      <c r="R1010">
        <v>0</v>
      </c>
      <c r="T1010">
        <v>0</v>
      </c>
      <c r="U1010" t="b">
        <v>0</v>
      </c>
      <c r="V1010">
        <v>7.11625456928064</v>
      </c>
      <c r="Y1010">
        <v>0</v>
      </c>
      <c r="Z1010">
        <v>2738</v>
      </c>
      <c r="AA1010">
        <v>9.8641199910690397E-2</v>
      </c>
      <c r="AB1010">
        <v>5.8602008223030451</v>
      </c>
      <c r="AC1010">
        <v>6.9849773277376195E-2</v>
      </c>
      <c r="AD1010">
        <v>0.1322339124081863</v>
      </c>
      <c r="AE1010">
        <v>0</v>
      </c>
      <c r="AF1010" t="b">
        <v>0</v>
      </c>
    </row>
    <row r="1011" spans="1:35" x14ac:dyDescent="0.3">
      <c r="A1011" t="s">
        <v>2166</v>
      </c>
      <c r="B1011" t="s">
        <v>2167</v>
      </c>
      <c r="C1011" t="s">
        <v>431</v>
      </c>
      <c r="D1011">
        <v>1145</v>
      </c>
      <c r="E1011">
        <v>30919</v>
      </c>
      <c r="F1011">
        <v>203</v>
      </c>
      <c r="G1011">
        <v>51</v>
      </c>
      <c r="H1011">
        <v>1</v>
      </c>
      <c r="I1011">
        <v>2.2381060189527398E-2</v>
      </c>
      <c r="J1011">
        <v>0.18678268463073849</v>
      </c>
      <c r="K1011" t="s">
        <v>432</v>
      </c>
      <c r="L1011">
        <v>0.83473677644710575</v>
      </c>
      <c r="M1011">
        <v>1</v>
      </c>
      <c r="N1011">
        <v>2.5779936484214401E-2</v>
      </c>
      <c r="O1011" t="s">
        <v>433</v>
      </c>
      <c r="P1011">
        <v>26075</v>
      </c>
      <c r="Q1011">
        <v>7.6510067114093902E-2</v>
      </c>
      <c r="R1011">
        <v>0</v>
      </c>
      <c r="T1011">
        <v>0</v>
      </c>
      <c r="U1011" t="b">
        <v>0</v>
      </c>
      <c r="V1011">
        <v>8.0704168835400498</v>
      </c>
      <c r="Y1011">
        <v>0</v>
      </c>
      <c r="Z1011">
        <v>594</v>
      </c>
      <c r="AA1011">
        <v>3.6515412686351001E-2</v>
      </c>
      <c r="AB1011">
        <v>2.2875987328127518</v>
      </c>
      <c r="AC1011">
        <v>2.4496106174477401E-2</v>
      </c>
      <c r="AD1011">
        <v>4.7071989264877503E-2</v>
      </c>
      <c r="AE1011">
        <v>0</v>
      </c>
      <c r="AF1011" t="b">
        <v>0</v>
      </c>
    </row>
    <row r="1012" spans="1:35" x14ac:dyDescent="0.3">
      <c r="A1012" t="s">
        <v>2168</v>
      </c>
      <c r="B1012" t="s">
        <v>2169</v>
      </c>
      <c r="C1012" t="s">
        <v>431</v>
      </c>
      <c r="D1012">
        <v>1091</v>
      </c>
      <c r="E1012">
        <v>14620</v>
      </c>
      <c r="F1012">
        <v>212</v>
      </c>
      <c r="G1012">
        <v>129</v>
      </c>
      <c r="H1012">
        <v>1</v>
      </c>
      <c r="I1012">
        <v>3.3105335157318699E-2</v>
      </c>
      <c r="J1012">
        <v>0.34529947170772068</v>
      </c>
      <c r="K1012" t="s">
        <v>432</v>
      </c>
      <c r="L1012">
        <v>0.67360448093692316</v>
      </c>
      <c r="M1012">
        <v>1</v>
      </c>
      <c r="N1012">
        <v>2.8063876027591399E-2</v>
      </c>
      <c r="O1012" t="s">
        <v>433</v>
      </c>
      <c r="P1012">
        <v>10286</v>
      </c>
      <c r="Q1012">
        <v>4.0637760062220397E-2</v>
      </c>
      <c r="R1012">
        <v>0</v>
      </c>
      <c r="T1012">
        <v>0</v>
      </c>
      <c r="U1012" t="b">
        <v>0</v>
      </c>
      <c r="V1012">
        <v>22.279377716877718</v>
      </c>
      <c r="Y1012">
        <v>0</v>
      </c>
      <c r="Z1012">
        <v>148</v>
      </c>
      <c r="AA1012">
        <v>3.6157711170473499E-2</v>
      </c>
      <c r="AB1012">
        <v>5.8929263539818466</v>
      </c>
      <c r="AC1012">
        <v>-2.2956185196417199E-2</v>
      </c>
      <c r="AD1012">
        <v>9.1308668584800107E-2</v>
      </c>
      <c r="AE1012">
        <v>0</v>
      </c>
      <c r="AF1012" t="b">
        <v>0</v>
      </c>
    </row>
    <row r="1013" spans="1:35" x14ac:dyDescent="0.3">
      <c r="A1013" t="s">
        <v>2170</v>
      </c>
      <c r="B1013" t="s">
        <v>2171</v>
      </c>
      <c r="C1013" t="s">
        <v>431</v>
      </c>
      <c r="D1013">
        <v>4712</v>
      </c>
      <c r="E1013">
        <v>180071</v>
      </c>
      <c r="F1013">
        <v>430</v>
      </c>
      <c r="G1013">
        <v>38</v>
      </c>
      <c r="H1013">
        <v>1</v>
      </c>
      <c r="I1013">
        <v>2.10916805038012E-2</v>
      </c>
      <c r="J1013">
        <v>0.17428138043805669</v>
      </c>
      <c r="K1013" t="s">
        <v>432</v>
      </c>
      <c r="L1013">
        <v>0.84493738973277677</v>
      </c>
      <c r="M1013">
        <v>1</v>
      </c>
      <c r="N1013">
        <v>2.2745792060298899E-2</v>
      </c>
      <c r="O1013" t="s">
        <v>433</v>
      </c>
      <c r="P1013">
        <v>153499</v>
      </c>
      <c r="Q1013">
        <v>0.33681001179160769</v>
      </c>
      <c r="R1013">
        <v>0</v>
      </c>
      <c r="T1013">
        <v>0</v>
      </c>
      <c r="U1013" t="b">
        <v>0</v>
      </c>
      <c r="V1013">
        <v>6.9687775103737497</v>
      </c>
      <c r="Y1013">
        <v>0</v>
      </c>
      <c r="Z1013">
        <v>4185</v>
      </c>
      <c r="AA1013">
        <v>6.2877181455620199E-2</v>
      </c>
      <c r="AB1013">
        <v>2.9964774575779018</v>
      </c>
      <c r="AC1013">
        <v>2.89009442760359E-2</v>
      </c>
      <c r="AD1013">
        <v>9.3666679473984604E-2</v>
      </c>
      <c r="AE1013">
        <v>0</v>
      </c>
      <c r="AF1013" t="b">
        <v>0</v>
      </c>
    </row>
    <row r="1014" spans="1:35" x14ac:dyDescent="0.3">
      <c r="A1014" t="s">
        <v>2172</v>
      </c>
      <c r="B1014" t="s">
        <v>2173</v>
      </c>
      <c r="C1014" t="s">
        <v>431</v>
      </c>
      <c r="D1014">
        <v>431</v>
      </c>
      <c r="E1014">
        <v>13047</v>
      </c>
      <c r="F1014">
        <v>194</v>
      </c>
      <c r="G1014">
        <v>46</v>
      </c>
      <c r="H1014">
        <v>1</v>
      </c>
      <c r="I1014">
        <v>3.1271556679696402E-2</v>
      </c>
      <c r="J1014">
        <v>0.17109363407033679</v>
      </c>
      <c r="K1014" t="s">
        <v>432</v>
      </c>
      <c r="L1014">
        <v>0.88151060988277197</v>
      </c>
      <c r="M1014">
        <v>1</v>
      </c>
      <c r="N1014">
        <v>5.9675111522599099E-2</v>
      </c>
      <c r="O1014" t="s">
        <v>433</v>
      </c>
      <c r="P1014">
        <v>11172</v>
      </c>
      <c r="Q1014">
        <v>0.62209094163981382</v>
      </c>
      <c r="R1014">
        <v>0</v>
      </c>
      <c r="T1014">
        <v>0</v>
      </c>
      <c r="U1014" t="b">
        <v>0</v>
      </c>
      <c r="V1014">
        <v>0</v>
      </c>
      <c r="Y1014">
        <v>0</v>
      </c>
      <c r="Z1014">
        <v>823</v>
      </c>
      <c r="AA1014">
        <v>0</v>
      </c>
      <c r="AB1014">
        <v>0</v>
      </c>
      <c r="AC1014">
        <v>0</v>
      </c>
      <c r="AD1014">
        <v>0</v>
      </c>
      <c r="AE1014">
        <v>0</v>
      </c>
      <c r="AF1014" t="b">
        <v>0</v>
      </c>
    </row>
    <row r="1015" spans="1:35" x14ac:dyDescent="0.3">
      <c r="A1015" t="s">
        <v>2174</v>
      </c>
      <c r="B1015" t="s">
        <v>2175</v>
      </c>
      <c r="C1015" t="s">
        <v>431</v>
      </c>
      <c r="D1015">
        <v>262</v>
      </c>
      <c r="E1015">
        <v>7392</v>
      </c>
      <c r="F1015">
        <v>4</v>
      </c>
      <c r="G1015">
        <v>95</v>
      </c>
      <c r="H1015">
        <v>5</v>
      </c>
      <c r="I1015">
        <v>0</v>
      </c>
      <c r="J1015">
        <v>0.22994512673112091</v>
      </c>
      <c r="K1015" t="s">
        <v>86</v>
      </c>
      <c r="P1015">
        <v>0</v>
      </c>
      <c r="R1015">
        <v>0</v>
      </c>
      <c r="T1015">
        <v>0</v>
      </c>
      <c r="U1015" t="b">
        <v>0</v>
      </c>
      <c r="V1015">
        <v>0</v>
      </c>
      <c r="Y1015">
        <v>0</v>
      </c>
      <c r="Z1015">
        <v>111</v>
      </c>
      <c r="AA1015">
        <v>0</v>
      </c>
      <c r="AB1015">
        <v>0</v>
      </c>
      <c r="AC1015">
        <v>0</v>
      </c>
      <c r="AD1015">
        <v>0</v>
      </c>
      <c r="AE1015">
        <v>0</v>
      </c>
      <c r="AF1015" t="b">
        <v>0</v>
      </c>
    </row>
    <row r="1016" spans="1:35" x14ac:dyDescent="0.3">
      <c r="A1016" t="s">
        <v>2176</v>
      </c>
      <c r="B1016" t="s">
        <v>2177</v>
      </c>
      <c r="C1016" t="s">
        <v>431</v>
      </c>
      <c r="D1016">
        <v>390</v>
      </c>
      <c r="E1016">
        <v>16665</v>
      </c>
      <c r="F1016">
        <v>47</v>
      </c>
      <c r="G1016">
        <v>55</v>
      </c>
      <c r="H1016">
        <v>1</v>
      </c>
      <c r="I1016">
        <v>3.2403240324032001E-3</v>
      </c>
      <c r="J1016">
        <v>0.1056967572304995</v>
      </c>
      <c r="K1016" t="s">
        <v>86</v>
      </c>
      <c r="P1016">
        <v>0</v>
      </c>
      <c r="R1016">
        <v>0</v>
      </c>
      <c r="T1016">
        <v>0</v>
      </c>
      <c r="U1016" t="b">
        <v>0</v>
      </c>
      <c r="V1016">
        <v>0</v>
      </c>
      <c r="Y1016">
        <v>3.4934497816592998E-3</v>
      </c>
      <c r="Z1016">
        <v>124</v>
      </c>
      <c r="AA1016">
        <v>0</v>
      </c>
      <c r="AB1016">
        <v>0</v>
      </c>
      <c r="AC1016">
        <v>0</v>
      </c>
      <c r="AD1016">
        <v>0</v>
      </c>
      <c r="AE1016">
        <v>0</v>
      </c>
      <c r="AF1016" t="b">
        <v>0</v>
      </c>
    </row>
    <row r="1017" spans="1:35" x14ac:dyDescent="0.3">
      <c r="A1017" t="s">
        <v>2178</v>
      </c>
      <c r="B1017" t="s">
        <v>2179</v>
      </c>
      <c r="C1017" t="s">
        <v>431</v>
      </c>
      <c r="D1017">
        <v>215</v>
      </c>
      <c r="E1017">
        <v>296</v>
      </c>
      <c r="F1017">
        <v>14</v>
      </c>
      <c r="G1017">
        <v>900</v>
      </c>
      <c r="H1017">
        <v>300</v>
      </c>
      <c r="I1017">
        <v>1</v>
      </c>
      <c r="J1017">
        <v>1</v>
      </c>
      <c r="K1017" t="s">
        <v>432</v>
      </c>
      <c r="L1017">
        <v>0.46879535558780838</v>
      </c>
      <c r="M1017">
        <v>1</v>
      </c>
      <c r="N1017">
        <v>1</v>
      </c>
      <c r="O1017" t="s">
        <v>433</v>
      </c>
      <c r="P1017">
        <v>0</v>
      </c>
      <c r="R1017">
        <v>0</v>
      </c>
      <c r="T1017">
        <v>0</v>
      </c>
      <c r="U1017" t="b">
        <v>0</v>
      </c>
      <c r="Y1017">
        <v>0</v>
      </c>
      <c r="Z1017">
        <v>0</v>
      </c>
      <c r="AE1017">
        <v>0</v>
      </c>
      <c r="AF1017" t="b">
        <v>0</v>
      </c>
    </row>
    <row r="1018" spans="1:35" x14ac:dyDescent="0.3">
      <c r="A1018" t="s">
        <v>2180</v>
      </c>
      <c r="B1018" t="s">
        <v>2181</v>
      </c>
      <c r="C1018" t="s">
        <v>431</v>
      </c>
      <c r="D1018">
        <v>50</v>
      </c>
      <c r="E1018">
        <v>562</v>
      </c>
      <c r="F1018">
        <v>13</v>
      </c>
      <c r="G1018">
        <v>180</v>
      </c>
      <c r="H1018">
        <v>60</v>
      </c>
      <c r="I1018">
        <v>1</v>
      </c>
      <c r="J1018">
        <v>1</v>
      </c>
      <c r="K1018" t="s">
        <v>432</v>
      </c>
      <c r="L1018">
        <v>0.27035330261136709</v>
      </c>
      <c r="M1018">
        <v>1</v>
      </c>
      <c r="N1018">
        <v>1</v>
      </c>
      <c r="O1018" t="s">
        <v>518</v>
      </c>
      <c r="P1018">
        <v>0</v>
      </c>
      <c r="R1018">
        <v>0</v>
      </c>
      <c r="T1018">
        <v>0</v>
      </c>
      <c r="U1018" t="b">
        <v>0</v>
      </c>
      <c r="Y1018">
        <v>4.9155145929339401E-2</v>
      </c>
      <c r="Z1018">
        <v>9</v>
      </c>
      <c r="AA1018">
        <v>0</v>
      </c>
      <c r="AB1018">
        <v>0</v>
      </c>
      <c r="AC1018">
        <v>0</v>
      </c>
      <c r="AE1018">
        <v>0</v>
      </c>
      <c r="AF1018" t="b">
        <v>0</v>
      </c>
    </row>
    <row r="1019" spans="1:35" x14ac:dyDescent="0.3">
      <c r="A1019" t="s">
        <v>2182</v>
      </c>
      <c r="B1019" t="s">
        <v>2183</v>
      </c>
      <c r="C1019" t="s">
        <v>431</v>
      </c>
      <c r="D1019">
        <v>116</v>
      </c>
      <c r="E1019">
        <v>3235</v>
      </c>
      <c r="F1019">
        <v>17</v>
      </c>
      <c r="G1019">
        <v>120</v>
      </c>
      <c r="H1019">
        <v>60</v>
      </c>
      <c r="I1019">
        <v>1</v>
      </c>
      <c r="J1019">
        <v>1</v>
      </c>
      <c r="K1019" t="s">
        <v>432</v>
      </c>
      <c r="L1019">
        <v>4.4456793553764903E-2</v>
      </c>
      <c r="M1019">
        <v>1</v>
      </c>
      <c r="N1019">
        <v>1</v>
      </c>
      <c r="O1019" t="s">
        <v>518</v>
      </c>
      <c r="P1019">
        <v>0</v>
      </c>
      <c r="R1019">
        <v>0</v>
      </c>
      <c r="T1019">
        <v>0</v>
      </c>
      <c r="U1019" t="b">
        <v>0</v>
      </c>
      <c r="Y1019">
        <v>4.0288969158099402E-2</v>
      </c>
      <c r="Z1019">
        <v>191</v>
      </c>
      <c r="AA1019">
        <v>0</v>
      </c>
      <c r="AB1019">
        <v>0</v>
      </c>
      <c r="AE1019">
        <v>0</v>
      </c>
      <c r="AF1019" t="b">
        <v>0</v>
      </c>
    </row>
    <row r="1020" spans="1:35" x14ac:dyDescent="0.3">
      <c r="A1020" t="s">
        <v>2184</v>
      </c>
      <c r="B1020" t="s">
        <v>2185</v>
      </c>
      <c r="C1020" t="s">
        <v>431</v>
      </c>
      <c r="D1020">
        <v>12089</v>
      </c>
      <c r="E1020">
        <v>780702</v>
      </c>
      <c r="F1020">
        <v>528</v>
      </c>
      <c r="G1020">
        <v>35</v>
      </c>
      <c r="H1020">
        <v>1</v>
      </c>
      <c r="I1020">
        <v>9.3710532315786996E-3</v>
      </c>
      <c r="J1020">
        <v>0.1143630540709972</v>
      </c>
      <c r="K1020" t="s">
        <v>432</v>
      </c>
      <c r="L1020">
        <v>0.9006446844124113</v>
      </c>
      <c r="M1020">
        <v>0.99975878529352025</v>
      </c>
      <c r="N1020">
        <v>1.6689938559402099E-2</v>
      </c>
      <c r="O1020" t="s">
        <v>433</v>
      </c>
      <c r="P1020">
        <v>553853</v>
      </c>
      <c r="Q1020">
        <v>0.24385351347740281</v>
      </c>
      <c r="R1020">
        <v>10</v>
      </c>
      <c r="S1020">
        <v>0</v>
      </c>
      <c r="T1020">
        <v>2</v>
      </c>
      <c r="U1020" t="b">
        <v>1</v>
      </c>
      <c r="V1020">
        <v>5.2036206196916686</v>
      </c>
      <c r="W1020">
        <v>5.1039023686912879</v>
      </c>
      <c r="X1020" t="b">
        <v>1</v>
      </c>
      <c r="Y1020">
        <v>0</v>
      </c>
      <c r="Z1020">
        <v>16117</v>
      </c>
      <c r="AA1020">
        <v>5.7861440917042602E-2</v>
      </c>
      <c r="AB1020">
        <v>2.555173423686067</v>
      </c>
      <c r="AC1020">
        <v>1.2616249813958501E-2</v>
      </c>
      <c r="AD1020">
        <v>9.3570693061697893E-2</v>
      </c>
      <c r="AE1020">
        <v>2</v>
      </c>
      <c r="AF1020" t="b">
        <v>1</v>
      </c>
      <c r="AG1020">
        <v>5.1551275195941597E-2</v>
      </c>
      <c r="AH1020">
        <v>3.039236428929005</v>
      </c>
      <c r="AI1020" t="b">
        <v>1</v>
      </c>
    </row>
    <row r="1021" spans="1:35" x14ac:dyDescent="0.3">
      <c r="A1021" t="s">
        <v>2186</v>
      </c>
      <c r="B1021" t="s">
        <v>2187</v>
      </c>
      <c r="C1021" t="s">
        <v>431</v>
      </c>
      <c r="D1021">
        <v>15942</v>
      </c>
      <c r="E1021">
        <v>793130</v>
      </c>
      <c r="F1021">
        <v>1140</v>
      </c>
      <c r="G1021">
        <v>46</v>
      </c>
      <c r="H1021">
        <v>1</v>
      </c>
      <c r="I1021">
        <v>2.1049512690227298E-2</v>
      </c>
      <c r="J1021">
        <v>0.1655259252485885</v>
      </c>
      <c r="K1021" t="s">
        <v>86</v>
      </c>
      <c r="P1021">
        <v>0</v>
      </c>
      <c r="R1021">
        <v>0</v>
      </c>
      <c r="T1021">
        <v>0</v>
      </c>
      <c r="U1021" t="b">
        <v>0</v>
      </c>
      <c r="V1021">
        <v>8.838700381628037</v>
      </c>
      <c r="Y1021">
        <v>0</v>
      </c>
      <c r="Z1021">
        <v>20950</v>
      </c>
      <c r="AA1021">
        <v>3.9417810945007202E-2</v>
      </c>
      <c r="AB1021">
        <v>2.5413656096669359</v>
      </c>
      <c r="AC1021">
        <v>-1.65098103734958E-2</v>
      </c>
      <c r="AD1021">
        <v>0.1034937920743972</v>
      </c>
      <c r="AE1021">
        <v>0</v>
      </c>
      <c r="AF1021" t="b">
        <v>0</v>
      </c>
    </row>
    <row r="1022" spans="1:35" x14ac:dyDescent="0.3">
      <c r="A1022" t="s">
        <v>2188</v>
      </c>
      <c r="B1022" t="s">
        <v>2189</v>
      </c>
      <c r="C1022" t="s">
        <v>431</v>
      </c>
      <c r="D1022">
        <v>104</v>
      </c>
      <c r="E1022">
        <v>682</v>
      </c>
      <c r="F1022">
        <v>17</v>
      </c>
      <c r="G1022">
        <v>180</v>
      </c>
      <c r="H1022">
        <v>60</v>
      </c>
      <c r="I1022">
        <v>1</v>
      </c>
      <c r="J1022">
        <v>1</v>
      </c>
      <c r="K1022" t="s">
        <v>86</v>
      </c>
      <c r="P1022">
        <v>0</v>
      </c>
      <c r="R1022">
        <v>0</v>
      </c>
      <c r="T1022">
        <v>0</v>
      </c>
      <c r="U1022" t="b">
        <v>0</v>
      </c>
      <c r="V1022">
        <v>44.267857142857153</v>
      </c>
      <c r="Y1022">
        <v>0</v>
      </c>
      <c r="Z1022">
        <v>8</v>
      </c>
      <c r="AA1022">
        <v>9.375E-2</v>
      </c>
      <c r="AB1022">
        <v>16.875</v>
      </c>
      <c r="AC1022">
        <v>0.1607142857142857</v>
      </c>
      <c r="AD1022">
        <v>0</v>
      </c>
      <c r="AE1022">
        <v>0</v>
      </c>
      <c r="AF1022" t="b">
        <v>0</v>
      </c>
    </row>
    <row r="1023" spans="1:35" x14ac:dyDescent="0.3">
      <c r="A1023" t="s">
        <v>2190</v>
      </c>
      <c r="B1023" t="s">
        <v>2191</v>
      </c>
      <c r="C1023" t="s">
        <v>431</v>
      </c>
      <c r="D1023">
        <v>13092</v>
      </c>
      <c r="E1023">
        <v>515321</v>
      </c>
      <c r="F1023">
        <v>464</v>
      </c>
      <c r="G1023">
        <v>71</v>
      </c>
      <c r="H1023">
        <v>1</v>
      </c>
      <c r="I1023">
        <v>2.3288396940935801E-2</v>
      </c>
      <c r="J1023">
        <v>0.18181938594399849</v>
      </c>
      <c r="K1023" t="s">
        <v>432</v>
      </c>
      <c r="L1023">
        <v>0.83224342745124757</v>
      </c>
      <c r="M1023">
        <v>1</v>
      </c>
      <c r="N1023">
        <v>1.6897476064561399E-2</v>
      </c>
      <c r="O1023" t="s">
        <v>518</v>
      </c>
      <c r="P1023">
        <v>432397</v>
      </c>
      <c r="Q1023">
        <v>4.5069692897961797E-2</v>
      </c>
      <c r="R1023">
        <v>0</v>
      </c>
      <c r="T1023">
        <v>0</v>
      </c>
      <c r="U1023" t="b">
        <v>0</v>
      </c>
      <c r="V1023">
        <v>12.216419620637071</v>
      </c>
      <c r="Y1023">
        <v>0</v>
      </c>
      <c r="Z1023">
        <v>5342</v>
      </c>
      <c r="AA1023">
        <v>6.3396014128411296E-2</v>
      </c>
      <c r="AB1023">
        <v>5.42717048552415</v>
      </c>
      <c r="AC1023">
        <v>1.3539748877609E-2</v>
      </c>
      <c r="AD1023">
        <v>0.1134232666494947</v>
      </c>
      <c r="AE1023">
        <v>0</v>
      </c>
      <c r="AF1023" t="b">
        <v>0</v>
      </c>
    </row>
    <row r="1024" spans="1:35" x14ac:dyDescent="0.3">
      <c r="A1024" t="s">
        <v>2192</v>
      </c>
      <c r="B1024" t="s">
        <v>2193</v>
      </c>
      <c r="C1024" t="s">
        <v>431</v>
      </c>
      <c r="D1024">
        <v>52</v>
      </c>
      <c r="E1024">
        <v>351</v>
      </c>
      <c r="F1024">
        <v>5</v>
      </c>
      <c r="G1024">
        <v>180</v>
      </c>
      <c r="H1024">
        <v>60</v>
      </c>
      <c r="I1024">
        <v>1</v>
      </c>
      <c r="J1024">
        <v>1</v>
      </c>
      <c r="K1024" t="s">
        <v>86</v>
      </c>
      <c r="P1024">
        <v>0</v>
      </c>
      <c r="R1024">
        <v>0</v>
      </c>
      <c r="T1024">
        <v>0</v>
      </c>
      <c r="U1024" t="b">
        <v>0</v>
      </c>
      <c r="V1024">
        <v>0</v>
      </c>
      <c r="Y1024">
        <v>0</v>
      </c>
      <c r="Z1024">
        <v>0</v>
      </c>
      <c r="AE1024">
        <v>0</v>
      </c>
      <c r="AF1024" t="b">
        <v>0</v>
      </c>
    </row>
    <row r="1025" spans="1:32" x14ac:dyDescent="0.3">
      <c r="A1025" t="s">
        <v>2194</v>
      </c>
      <c r="B1025" t="s">
        <v>2195</v>
      </c>
      <c r="C1025" t="s">
        <v>431</v>
      </c>
      <c r="D1025">
        <v>76</v>
      </c>
      <c r="E1025">
        <v>946</v>
      </c>
      <c r="F1025">
        <v>10</v>
      </c>
      <c r="G1025">
        <v>65</v>
      </c>
      <c r="H1025">
        <v>10</v>
      </c>
      <c r="I1025">
        <v>0.16384778012684989</v>
      </c>
      <c r="J1025">
        <v>0.4387665198237885</v>
      </c>
      <c r="K1025" t="s">
        <v>432</v>
      </c>
      <c r="L1025">
        <v>0.14274924471299091</v>
      </c>
      <c r="M1025">
        <v>0.4387665198237885</v>
      </c>
      <c r="O1025" t="s">
        <v>433</v>
      </c>
      <c r="P1025">
        <v>0</v>
      </c>
      <c r="R1025">
        <v>600</v>
      </c>
      <c r="S1025">
        <v>0.12333333333333329</v>
      </c>
      <c r="T1025">
        <v>0</v>
      </c>
      <c r="U1025" t="b">
        <v>0</v>
      </c>
      <c r="Y1025">
        <v>0.14274924471299091</v>
      </c>
      <c r="Z1025">
        <v>25</v>
      </c>
      <c r="AA1025">
        <v>0</v>
      </c>
      <c r="AB1025">
        <v>0</v>
      </c>
      <c r="AD1025">
        <v>0</v>
      </c>
      <c r="AE1025">
        <v>0</v>
      </c>
      <c r="AF1025" t="b">
        <v>0</v>
      </c>
    </row>
    <row r="1026" spans="1:32" x14ac:dyDescent="0.3">
      <c r="A1026" t="s">
        <v>2196</v>
      </c>
      <c r="B1026" t="s">
        <v>2197</v>
      </c>
      <c r="C1026" t="s">
        <v>431</v>
      </c>
      <c r="D1026">
        <v>2367</v>
      </c>
      <c r="E1026">
        <v>76773</v>
      </c>
      <c r="F1026">
        <v>22</v>
      </c>
      <c r="G1026">
        <v>60</v>
      </c>
      <c r="H1026">
        <v>60</v>
      </c>
      <c r="I1026">
        <v>1</v>
      </c>
      <c r="J1026">
        <v>1</v>
      </c>
      <c r="K1026" t="s">
        <v>432</v>
      </c>
      <c r="L1026">
        <v>0.8782531642800101</v>
      </c>
      <c r="M1026">
        <v>1</v>
      </c>
      <c r="N1026">
        <v>1</v>
      </c>
      <c r="O1026" t="s">
        <v>433</v>
      </c>
      <c r="P1026">
        <v>0</v>
      </c>
      <c r="R1026">
        <v>0</v>
      </c>
      <c r="T1026">
        <v>0</v>
      </c>
      <c r="U1026" t="b">
        <v>0</v>
      </c>
      <c r="V1026">
        <v>17.823313293253172</v>
      </c>
      <c r="Y1026">
        <v>0</v>
      </c>
      <c r="Z1026">
        <v>2139</v>
      </c>
      <c r="AA1026">
        <v>5.5905349487243301E-2</v>
      </c>
      <c r="AB1026">
        <v>4.9598274631893968</v>
      </c>
      <c r="AC1026">
        <v>1.1123686203744E-2</v>
      </c>
      <c r="AD1026">
        <v>0.1178066945590714</v>
      </c>
      <c r="AE1026">
        <v>0</v>
      </c>
      <c r="AF1026" t="b">
        <v>0</v>
      </c>
    </row>
    <row r="1027" spans="1:32" x14ac:dyDescent="0.3">
      <c r="A1027" t="s">
        <v>2198</v>
      </c>
      <c r="B1027" t="s">
        <v>2199</v>
      </c>
      <c r="C1027" t="s">
        <v>431</v>
      </c>
      <c r="D1027">
        <v>97</v>
      </c>
      <c r="E1027">
        <v>2802</v>
      </c>
      <c r="F1027">
        <v>170</v>
      </c>
      <c r="G1027">
        <v>57.5</v>
      </c>
      <c r="H1027">
        <v>1</v>
      </c>
      <c r="I1027">
        <v>4.4610992148465298E-2</v>
      </c>
      <c r="J1027">
        <v>0.27492238703001037</v>
      </c>
      <c r="K1027" t="s">
        <v>432</v>
      </c>
      <c r="L1027">
        <v>0.7378406347016212</v>
      </c>
      <c r="M1027">
        <v>1</v>
      </c>
      <c r="N1027">
        <v>1.7297802711547398E-2</v>
      </c>
      <c r="O1027" t="s">
        <v>433</v>
      </c>
      <c r="P1027">
        <v>2102</v>
      </c>
      <c r="Q1027">
        <v>0.36441484300666033</v>
      </c>
      <c r="R1027">
        <v>0</v>
      </c>
      <c r="T1027">
        <v>0</v>
      </c>
      <c r="U1027" t="b">
        <v>0</v>
      </c>
      <c r="Y1027">
        <v>0</v>
      </c>
      <c r="Z1027">
        <v>178</v>
      </c>
      <c r="AA1027">
        <v>5.4240451862355996E-3</v>
      </c>
      <c r="AB1027">
        <v>0.41900749063670412</v>
      </c>
      <c r="AE1027">
        <v>0</v>
      </c>
      <c r="AF1027" t="b">
        <v>0</v>
      </c>
    </row>
    <row r="1028" spans="1:32" x14ac:dyDescent="0.3">
      <c r="A1028" t="s">
        <v>2200</v>
      </c>
      <c r="B1028" t="s">
        <v>2201</v>
      </c>
      <c r="C1028" t="s">
        <v>431</v>
      </c>
      <c r="D1028">
        <v>141</v>
      </c>
      <c r="E1028">
        <v>1303</v>
      </c>
      <c r="F1028">
        <v>91</v>
      </c>
      <c r="G1028">
        <v>240</v>
      </c>
      <c r="H1028">
        <v>60</v>
      </c>
      <c r="I1028">
        <v>0.88257866462010748</v>
      </c>
      <c r="J1028">
        <v>0.93719806763285041</v>
      </c>
      <c r="K1028" t="s">
        <v>432</v>
      </c>
      <c r="L1028">
        <v>6.5562456866804605E-2</v>
      </c>
      <c r="M1028">
        <v>1</v>
      </c>
      <c r="N1028">
        <v>4.2105263157894701E-2</v>
      </c>
      <c r="O1028" t="s">
        <v>518</v>
      </c>
      <c r="P1028">
        <v>91</v>
      </c>
      <c r="Q1028">
        <v>0</v>
      </c>
      <c r="R1028">
        <v>0</v>
      </c>
      <c r="T1028">
        <v>0</v>
      </c>
      <c r="U1028" t="b">
        <v>0</v>
      </c>
      <c r="Y1028">
        <v>0</v>
      </c>
      <c r="Z1028">
        <v>28</v>
      </c>
      <c r="AA1028">
        <v>-2.1226415094339601E-2</v>
      </c>
      <c r="AB1028">
        <v>-4.8214285714285712</v>
      </c>
      <c r="AE1028">
        <v>0</v>
      </c>
      <c r="AF1028" t="b">
        <v>0</v>
      </c>
    </row>
    <row r="1029" spans="1:32" x14ac:dyDescent="0.3">
      <c r="A1029" t="s">
        <v>2202</v>
      </c>
      <c r="B1029" t="s">
        <v>2203</v>
      </c>
      <c r="C1029" t="s">
        <v>431</v>
      </c>
      <c r="D1029">
        <v>808</v>
      </c>
      <c r="E1029">
        <v>37869</v>
      </c>
      <c r="F1029">
        <v>216</v>
      </c>
      <c r="G1029">
        <v>38</v>
      </c>
      <c r="H1029">
        <v>1</v>
      </c>
      <c r="I1029">
        <v>6.9978082336475001E-3</v>
      </c>
      <c r="J1029">
        <v>0.13246538541020869</v>
      </c>
      <c r="K1029" t="s">
        <v>432</v>
      </c>
      <c r="L1029">
        <v>0.96029654887373439</v>
      </c>
      <c r="M1029">
        <v>0.99934938191281719</v>
      </c>
      <c r="N1029">
        <v>9.6624075319435093E-2</v>
      </c>
      <c r="O1029" t="s">
        <v>433</v>
      </c>
      <c r="P1029">
        <v>14814</v>
      </c>
      <c r="Q1029">
        <v>0.55380045902524644</v>
      </c>
      <c r="R1029">
        <v>1</v>
      </c>
      <c r="S1029">
        <v>0</v>
      </c>
      <c r="T1029">
        <v>0</v>
      </c>
      <c r="U1029" t="b">
        <v>0</v>
      </c>
      <c r="V1029">
        <v>5.3686998394863563</v>
      </c>
      <c r="Y1029">
        <v>0</v>
      </c>
      <c r="Z1029">
        <v>1409</v>
      </c>
      <c r="AA1029">
        <v>-5.4968449555829997E-3</v>
      </c>
      <c r="AB1029">
        <v>-0.27027637609610627</v>
      </c>
      <c r="AC1029">
        <v>-2.68814457970756E-2</v>
      </c>
      <c r="AD1029">
        <v>7.3100725097633998E-3</v>
      </c>
      <c r="AE1029">
        <v>0</v>
      </c>
      <c r="AF1029" t="b">
        <v>0</v>
      </c>
    </row>
    <row r="1030" spans="1:32" x14ac:dyDescent="0.3">
      <c r="A1030" t="s">
        <v>2204</v>
      </c>
      <c r="B1030" t="s">
        <v>2205</v>
      </c>
      <c r="C1030" t="s">
        <v>431</v>
      </c>
      <c r="D1030">
        <v>84</v>
      </c>
      <c r="E1030">
        <v>751</v>
      </c>
      <c r="F1030">
        <v>20</v>
      </c>
      <c r="G1030">
        <v>180</v>
      </c>
      <c r="H1030">
        <v>60</v>
      </c>
      <c r="I1030">
        <v>1</v>
      </c>
      <c r="J1030">
        <v>1</v>
      </c>
      <c r="K1030" t="s">
        <v>432</v>
      </c>
      <c r="L1030">
        <v>0.99009900990098998</v>
      </c>
      <c r="M1030">
        <v>1</v>
      </c>
      <c r="N1030">
        <v>1</v>
      </c>
      <c r="O1030" t="s">
        <v>433</v>
      </c>
      <c r="P1030">
        <v>0</v>
      </c>
      <c r="R1030">
        <v>0</v>
      </c>
      <c r="T1030">
        <v>0</v>
      </c>
      <c r="U1030" t="b">
        <v>0</v>
      </c>
      <c r="Y1030">
        <v>0</v>
      </c>
      <c r="Z1030">
        <v>11</v>
      </c>
      <c r="AA1030">
        <v>-3.2786885245901599E-2</v>
      </c>
      <c r="AB1030">
        <v>-3.6363636363636358</v>
      </c>
      <c r="AE1030">
        <v>0</v>
      </c>
      <c r="AF1030" t="b">
        <v>0</v>
      </c>
    </row>
    <row r="1031" spans="1:32" x14ac:dyDescent="0.3">
      <c r="A1031" t="s">
        <v>2206</v>
      </c>
      <c r="B1031" t="s">
        <v>2207</v>
      </c>
      <c r="C1031" t="s">
        <v>431</v>
      </c>
      <c r="D1031">
        <v>2200</v>
      </c>
      <c r="E1031">
        <v>72937</v>
      </c>
      <c r="F1031">
        <v>350</v>
      </c>
      <c r="G1031">
        <v>41</v>
      </c>
      <c r="H1031">
        <v>1</v>
      </c>
      <c r="I1031">
        <v>1.38201461535297E-2</v>
      </c>
      <c r="J1031">
        <v>0.17269402141384579</v>
      </c>
      <c r="K1031" t="s">
        <v>432</v>
      </c>
      <c r="L1031">
        <v>0.83983507348540265</v>
      </c>
      <c r="M1031">
        <v>1</v>
      </c>
      <c r="N1031">
        <v>1.4918518283895199E-2</v>
      </c>
      <c r="O1031" t="s">
        <v>433</v>
      </c>
      <c r="P1031">
        <v>49234</v>
      </c>
      <c r="Q1031">
        <v>0.3696835520168989</v>
      </c>
      <c r="R1031">
        <v>0</v>
      </c>
      <c r="T1031">
        <v>0</v>
      </c>
      <c r="U1031" t="b">
        <v>0</v>
      </c>
      <c r="V1031">
        <v>2.5904770812178222</v>
      </c>
      <c r="Y1031">
        <v>0</v>
      </c>
      <c r="Z1031">
        <v>1811</v>
      </c>
      <c r="AA1031">
        <v>-2.4759890811258999E-3</v>
      </c>
      <c r="AB1031">
        <v>-0.12884943320232559</v>
      </c>
      <c r="AC1031">
        <v>-2.3749821770010501E-2</v>
      </c>
      <c r="AD1031">
        <v>1.7955530384427699E-2</v>
      </c>
      <c r="AE1031">
        <v>0</v>
      </c>
      <c r="AF1031" t="b">
        <v>0</v>
      </c>
    </row>
    <row r="1032" spans="1:32" x14ac:dyDescent="0.3">
      <c r="A1032" t="s">
        <v>2208</v>
      </c>
      <c r="B1032" t="s">
        <v>2209</v>
      </c>
      <c r="C1032" t="s">
        <v>431</v>
      </c>
      <c r="D1032">
        <v>3313</v>
      </c>
      <c r="E1032">
        <v>89683</v>
      </c>
      <c r="F1032">
        <v>357</v>
      </c>
      <c r="G1032">
        <v>30</v>
      </c>
      <c r="H1032">
        <v>1</v>
      </c>
      <c r="I1032">
        <v>4.26613739504699E-2</v>
      </c>
      <c r="J1032">
        <v>0.19638556807430979</v>
      </c>
      <c r="K1032" t="s">
        <v>432</v>
      </c>
      <c r="L1032">
        <v>0.81497806828932662</v>
      </c>
      <c r="M1032">
        <v>1</v>
      </c>
      <c r="N1032">
        <v>1.39434873229032E-2</v>
      </c>
      <c r="O1032" t="s">
        <v>433</v>
      </c>
      <c r="P1032">
        <v>58066</v>
      </c>
      <c r="Q1032">
        <v>0.32196121654668819</v>
      </c>
      <c r="R1032">
        <v>0</v>
      </c>
      <c r="T1032">
        <v>0</v>
      </c>
      <c r="U1032" t="b">
        <v>0</v>
      </c>
      <c r="V1032">
        <v>0.79029204979934897</v>
      </c>
      <c r="Y1032">
        <v>0</v>
      </c>
      <c r="Z1032">
        <v>3034</v>
      </c>
      <c r="AA1032">
        <v>6.8731605411680001E-4</v>
      </c>
      <c r="AB1032">
        <v>3.1162310611881999E-2</v>
      </c>
      <c r="AC1032">
        <v>5.8186907865121996E-3</v>
      </c>
      <c r="AD1032">
        <v>-1.6693295845732999E-3</v>
      </c>
      <c r="AE1032">
        <v>0</v>
      </c>
      <c r="AF1032" t="b">
        <v>0</v>
      </c>
    </row>
    <row r="1033" spans="1:32" x14ac:dyDescent="0.3">
      <c r="A1033" t="s">
        <v>2210</v>
      </c>
      <c r="B1033" t="s">
        <v>2211</v>
      </c>
      <c r="C1033" t="s">
        <v>431</v>
      </c>
      <c r="D1033">
        <v>704</v>
      </c>
      <c r="E1033">
        <v>12422</v>
      </c>
      <c r="F1033">
        <v>224</v>
      </c>
      <c r="G1033">
        <v>62</v>
      </c>
      <c r="H1033">
        <v>1</v>
      </c>
      <c r="I1033">
        <v>4.79793914023506E-2</v>
      </c>
      <c r="J1033">
        <v>0.26154197775407589</v>
      </c>
      <c r="K1033" t="s">
        <v>432</v>
      </c>
      <c r="L1033">
        <v>0.76611305805271979</v>
      </c>
      <c r="M1033">
        <v>1</v>
      </c>
      <c r="N1033">
        <v>3.6097852028639597E-2</v>
      </c>
      <c r="O1033" t="s">
        <v>433</v>
      </c>
      <c r="P1033">
        <v>9693</v>
      </c>
      <c r="Q1033">
        <v>0.9979366553182708</v>
      </c>
      <c r="R1033">
        <v>0</v>
      </c>
      <c r="T1033">
        <v>0</v>
      </c>
      <c r="U1033" t="b">
        <v>0</v>
      </c>
      <c r="V1033">
        <v>4.5116372391653297</v>
      </c>
      <c r="Y1033">
        <v>0</v>
      </c>
      <c r="Z1033">
        <v>342</v>
      </c>
      <c r="AA1033">
        <v>-5.4038375264895003E-3</v>
      </c>
      <c r="AB1033">
        <v>-0.39373092316848762</v>
      </c>
      <c r="AC1033">
        <v>-2.9343551609090801E-2</v>
      </c>
      <c r="AD1033">
        <v>1.4333015829818101E-2</v>
      </c>
      <c r="AE1033">
        <v>0</v>
      </c>
      <c r="AF1033" t="b">
        <v>0</v>
      </c>
    </row>
    <row r="1034" spans="1:32" x14ac:dyDescent="0.3">
      <c r="A1034" t="s">
        <v>2212</v>
      </c>
      <c r="B1034" t="s">
        <v>2213</v>
      </c>
      <c r="C1034" t="s">
        <v>431</v>
      </c>
      <c r="D1034">
        <v>289</v>
      </c>
      <c r="E1034">
        <v>1989</v>
      </c>
      <c r="F1034">
        <v>93</v>
      </c>
      <c r="G1034">
        <v>281</v>
      </c>
      <c r="H1034">
        <v>1</v>
      </c>
      <c r="I1034">
        <v>0.52237305178481652</v>
      </c>
      <c r="J1034">
        <v>0.74012291483757686</v>
      </c>
      <c r="K1034" t="s">
        <v>432</v>
      </c>
      <c r="L1034">
        <v>0.2743634767339771</v>
      </c>
      <c r="M1034">
        <v>0.998185117967332</v>
      </c>
      <c r="N1034">
        <v>5.7599999999999998E-2</v>
      </c>
      <c r="O1034" t="s">
        <v>433</v>
      </c>
      <c r="P1034">
        <v>589</v>
      </c>
      <c r="Q1034">
        <v>1</v>
      </c>
      <c r="R1034">
        <v>3</v>
      </c>
      <c r="S1034">
        <v>1</v>
      </c>
      <c r="T1034">
        <v>0</v>
      </c>
      <c r="U1034" t="b">
        <v>0</v>
      </c>
      <c r="Y1034">
        <v>0</v>
      </c>
      <c r="Z1034">
        <v>100</v>
      </c>
      <c r="AA1034">
        <v>0</v>
      </c>
      <c r="AB1034">
        <v>0</v>
      </c>
      <c r="AE1034">
        <v>0</v>
      </c>
      <c r="AF1034" t="b">
        <v>0</v>
      </c>
    </row>
    <row r="1035" spans="1:32" x14ac:dyDescent="0.3">
      <c r="A1035" t="s">
        <v>2214</v>
      </c>
      <c r="B1035" t="s">
        <v>2215</v>
      </c>
      <c r="C1035" t="s">
        <v>431</v>
      </c>
      <c r="D1035">
        <v>2634</v>
      </c>
      <c r="E1035">
        <v>67367</v>
      </c>
      <c r="F1035">
        <v>29</v>
      </c>
      <c r="G1035">
        <v>60</v>
      </c>
      <c r="H1035">
        <v>60</v>
      </c>
      <c r="I1035">
        <v>1</v>
      </c>
      <c r="J1035">
        <v>1</v>
      </c>
      <c r="K1035" t="s">
        <v>432</v>
      </c>
      <c r="L1035">
        <v>0.73796437106235069</v>
      </c>
      <c r="M1035">
        <v>1</v>
      </c>
      <c r="N1035">
        <v>1</v>
      </c>
      <c r="O1035" t="s">
        <v>518</v>
      </c>
      <c r="P1035">
        <v>0</v>
      </c>
      <c r="R1035">
        <v>0</v>
      </c>
      <c r="T1035">
        <v>0</v>
      </c>
      <c r="U1035" t="b">
        <v>0</v>
      </c>
      <c r="V1035">
        <v>9.1158753656903162</v>
      </c>
      <c r="Y1035">
        <v>0</v>
      </c>
      <c r="Z1035">
        <v>1953</v>
      </c>
      <c r="AA1035">
        <v>1.7355575837489801E-2</v>
      </c>
      <c r="AB1035">
        <v>1.5479740549000509</v>
      </c>
      <c r="AC1035">
        <v>-9.2149221856200007E-3</v>
      </c>
      <c r="AD1035">
        <v>5.2463358388217397E-2</v>
      </c>
      <c r="AE1035">
        <v>0</v>
      </c>
      <c r="AF1035" t="b">
        <v>0</v>
      </c>
    </row>
    <row r="1036" spans="1:32" x14ac:dyDescent="0.3">
      <c r="A1036" t="s">
        <v>2216</v>
      </c>
      <c r="B1036" t="s">
        <v>2217</v>
      </c>
      <c r="C1036" t="s">
        <v>431</v>
      </c>
      <c r="D1036">
        <v>92</v>
      </c>
      <c r="E1036">
        <v>762</v>
      </c>
      <c r="F1036">
        <v>114</v>
      </c>
      <c r="G1036">
        <v>122</v>
      </c>
      <c r="H1036">
        <v>1</v>
      </c>
      <c r="I1036">
        <v>9.5800524934383194E-2</v>
      </c>
      <c r="J1036">
        <v>0.44055944055944057</v>
      </c>
      <c r="K1036" t="s">
        <v>432</v>
      </c>
      <c r="L1036">
        <v>0.76573426573426573</v>
      </c>
      <c r="M1036">
        <v>1</v>
      </c>
      <c r="N1036">
        <v>0.26940639269406391</v>
      </c>
      <c r="O1036" t="s">
        <v>433</v>
      </c>
      <c r="P1036">
        <v>185</v>
      </c>
      <c r="Q1036">
        <v>0.98918918918918919</v>
      </c>
      <c r="R1036">
        <v>0</v>
      </c>
      <c r="T1036">
        <v>0</v>
      </c>
      <c r="U1036" t="b">
        <v>0</v>
      </c>
      <c r="V1036">
        <v>5.90625</v>
      </c>
      <c r="Y1036">
        <v>0</v>
      </c>
      <c r="Z1036">
        <v>33</v>
      </c>
      <c r="AA1036">
        <v>-8.4588420923821458E-18</v>
      </c>
      <c r="AB1036">
        <v>-9.6892191240013635E-16</v>
      </c>
      <c r="AC1036">
        <v>0</v>
      </c>
      <c r="AD1036">
        <v>0</v>
      </c>
      <c r="AE1036">
        <v>0</v>
      </c>
      <c r="AF1036" t="b">
        <v>0</v>
      </c>
    </row>
    <row r="1037" spans="1:32" x14ac:dyDescent="0.3">
      <c r="A1037" t="s">
        <v>2218</v>
      </c>
      <c r="B1037" t="s">
        <v>2219</v>
      </c>
      <c r="C1037" t="s">
        <v>431</v>
      </c>
      <c r="D1037">
        <v>135</v>
      </c>
      <c r="E1037">
        <v>98</v>
      </c>
      <c r="F1037">
        <v>13</v>
      </c>
      <c r="G1037">
        <v>300</v>
      </c>
      <c r="H1037">
        <v>60</v>
      </c>
      <c r="I1037">
        <v>1</v>
      </c>
      <c r="J1037">
        <v>1</v>
      </c>
      <c r="K1037" t="s">
        <v>86</v>
      </c>
      <c r="P1037">
        <v>0</v>
      </c>
      <c r="R1037">
        <v>0</v>
      </c>
      <c r="T1037">
        <v>0</v>
      </c>
      <c r="U1037" t="b">
        <v>0</v>
      </c>
      <c r="Y1037">
        <v>0.68976897689768979</v>
      </c>
      <c r="Z1037">
        <v>1</v>
      </c>
      <c r="AA1037">
        <v>0</v>
      </c>
      <c r="AB1037">
        <v>0</v>
      </c>
      <c r="AC1037">
        <v>0</v>
      </c>
      <c r="AD1037">
        <v>0</v>
      </c>
      <c r="AE1037">
        <v>0</v>
      </c>
      <c r="AF1037" t="b">
        <v>0</v>
      </c>
    </row>
    <row r="1038" spans="1:32" x14ac:dyDescent="0.3">
      <c r="A1038" t="s">
        <v>2220</v>
      </c>
      <c r="B1038" t="s">
        <v>2221</v>
      </c>
      <c r="C1038" t="s">
        <v>431</v>
      </c>
      <c r="D1038">
        <v>60</v>
      </c>
      <c r="E1038">
        <v>550</v>
      </c>
      <c r="F1038">
        <v>25</v>
      </c>
      <c r="G1038">
        <v>360</v>
      </c>
      <c r="H1038">
        <v>60</v>
      </c>
      <c r="I1038">
        <v>1</v>
      </c>
      <c r="J1038">
        <v>1</v>
      </c>
      <c r="K1038" t="s">
        <v>432</v>
      </c>
      <c r="L1038">
        <v>4.52961672473867E-2</v>
      </c>
      <c r="M1038">
        <v>1</v>
      </c>
      <c r="N1038">
        <v>1</v>
      </c>
      <c r="O1038" t="s">
        <v>433</v>
      </c>
      <c r="P1038">
        <v>0</v>
      </c>
      <c r="R1038">
        <v>0</v>
      </c>
      <c r="T1038">
        <v>0</v>
      </c>
      <c r="U1038" t="b">
        <v>0</v>
      </c>
      <c r="Y1038">
        <v>0</v>
      </c>
      <c r="Z1038">
        <v>5</v>
      </c>
      <c r="AA1038">
        <v>-6.0240963855420996E-3</v>
      </c>
      <c r="AB1038">
        <v>-2</v>
      </c>
      <c r="AD1038">
        <v>0</v>
      </c>
      <c r="AE1038">
        <v>0</v>
      </c>
      <c r="AF1038" t="b">
        <v>0</v>
      </c>
    </row>
    <row r="1039" spans="1:32" x14ac:dyDescent="0.3">
      <c r="A1039" t="s">
        <v>2222</v>
      </c>
      <c r="B1039" t="s">
        <v>2223</v>
      </c>
      <c r="C1039" t="s">
        <v>431</v>
      </c>
      <c r="D1039">
        <v>287</v>
      </c>
      <c r="E1039">
        <v>9416</v>
      </c>
      <c r="F1039">
        <v>188</v>
      </c>
      <c r="G1039">
        <v>38</v>
      </c>
      <c r="H1039">
        <v>1</v>
      </c>
      <c r="I1039">
        <v>2.51699235344095E-2</v>
      </c>
      <c r="J1039">
        <v>0.17242090075234459</v>
      </c>
      <c r="K1039" t="s">
        <v>432</v>
      </c>
      <c r="L1039">
        <v>0.8369576419664021</v>
      </c>
      <c r="M1039">
        <v>1</v>
      </c>
      <c r="N1039">
        <v>1.1205516561999701E-2</v>
      </c>
      <c r="O1039" t="s">
        <v>433</v>
      </c>
      <c r="P1039">
        <v>7939</v>
      </c>
      <c r="Q1039">
        <v>0.992316412646429</v>
      </c>
      <c r="R1039">
        <v>0</v>
      </c>
      <c r="T1039">
        <v>0</v>
      </c>
      <c r="U1039" t="b">
        <v>0</v>
      </c>
      <c r="V1039">
        <v>0</v>
      </c>
      <c r="Y1039">
        <v>0</v>
      </c>
      <c r="Z1039">
        <v>292</v>
      </c>
      <c r="AA1039">
        <v>0</v>
      </c>
      <c r="AB1039">
        <v>0</v>
      </c>
      <c r="AC1039">
        <v>0</v>
      </c>
      <c r="AD1039">
        <v>0</v>
      </c>
      <c r="AE1039">
        <v>0</v>
      </c>
      <c r="AF1039" t="b">
        <v>0</v>
      </c>
    </row>
    <row r="1040" spans="1:32" x14ac:dyDescent="0.3">
      <c r="A1040" t="s">
        <v>2224</v>
      </c>
      <c r="B1040" t="s">
        <v>2225</v>
      </c>
      <c r="C1040" t="s">
        <v>431</v>
      </c>
      <c r="D1040">
        <v>7672</v>
      </c>
      <c r="E1040">
        <v>281093</v>
      </c>
      <c r="F1040">
        <v>405</v>
      </c>
      <c r="G1040">
        <v>33</v>
      </c>
      <c r="H1040">
        <v>1</v>
      </c>
      <c r="I1040">
        <v>3.7642346127438199E-2</v>
      </c>
      <c r="J1040">
        <v>0.1800054696073306</v>
      </c>
      <c r="K1040" t="s">
        <v>432</v>
      </c>
      <c r="L1040">
        <v>0.83225268201156921</v>
      </c>
      <c r="M1040">
        <v>0.99983490517365925</v>
      </c>
      <c r="N1040">
        <v>1.4762158294927E-2</v>
      </c>
      <c r="O1040" t="s">
        <v>433</v>
      </c>
      <c r="P1040">
        <v>195920</v>
      </c>
      <c r="Q1040">
        <v>0.29910677827684767</v>
      </c>
      <c r="R1040">
        <v>5</v>
      </c>
      <c r="S1040">
        <v>0</v>
      </c>
      <c r="T1040">
        <v>0</v>
      </c>
      <c r="U1040" t="b">
        <v>0</v>
      </c>
      <c r="V1040">
        <v>4.1294432620519572</v>
      </c>
      <c r="Y1040">
        <v>0</v>
      </c>
      <c r="Z1040">
        <v>9228</v>
      </c>
      <c r="AA1040">
        <v>8.4351544415899003E-3</v>
      </c>
      <c r="AB1040">
        <v>0.3837742214630015</v>
      </c>
      <c r="AC1040">
        <v>-2.2946934159458102E-2</v>
      </c>
      <c r="AD1040">
        <v>4.0131134866849098E-2</v>
      </c>
      <c r="AE1040">
        <v>0</v>
      </c>
      <c r="AF1040" t="b">
        <v>0</v>
      </c>
    </row>
    <row r="1041" spans="1:32" x14ac:dyDescent="0.3">
      <c r="A1041" t="s">
        <v>2226</v>
      </c>
      <c r="B1041" t="s">
        <v>2227</v>
      </c>
      <c r="C1041" t="s">
        <v>431</v>
      </c>
      <c r="D1041">
        <v>336</v>
      </c>
      <c r="E1041">
        <v>8266</v>
      </c>
      <c r="F1041">
        <v>9</v>
      </c>
      <c r="G1041">
        <v>60</v>
      </c>
      <c r="H1041">
        <v>60</v>
      </c>
      <c r="I1041">
        <v>1</v>
      </c>
      <c r="J1041">
        <v>1</v>
      </c>
      <c r="K1041" t="s">
        <v>432</v>
      </c>
      <c r="L1041">
        <v>0.7446257446257446</v>
      </c>
      <c r="M1041">
        <v>1</v>
      </c>
      <c r="N1041">
        <v>1</v>
      </c>
      <c r="O1041" t="s">
        <v>433</v>
      </c>
      <c r="P1041">
        <v>0</v>
      </c>
      <c r="R1041">
        <v>0</v>
      </c>
      <c r="T1041">
        <v>0</v>
      </c>
      <c r="U1041" t="b">
        <v>0</v>
      </c>
      <c r="V1041">
        <v>0.95744680851063835</v>
      </c>
      <c r="Y1041">
        <v>0</v>
      </c>
      <c r="Z1041">
        <v>275</v>
      </c>
      <c r="AA1041">
        <v>5.0999167360531996E-3</v>
      </c>
      <c r="AB1041">
        <v>0.44545454545454538</v>
      </c>
      <c r="AC1041">
        <v>7.1640316205533001E-3</v>
      </c>
      <c r="AD1041">
        <v>4.8262548262548001E-3</v>
      </c>
      <c r="AE1041">
        <v>0</v>
      </c>
      <c r="AF1041" t="b">
        <v>0</v>
      </c>
    </row>
    <row r="1042" spans="1:32" x14ac:dyDescent="0.3">
      <c r="A1042" t="s">
        <v>2228</v>
      </c>
      <c r="B1042" t="s">
        <v>2229</v>
      </c>
      <c r="C1042" t="s">
        <v>431</v>
      </c>
      <c r="D1042">
        <v>1194</v>
      </c>
      <c r="E1042">
        <v>19903</v>
      </c>
      <c r="F1042">
        <v>26</v>
      </c>
      <c r="G1042">
        <v>60</v>
      </c>
      <c r="H1042">
        <v>60</v>
      </c>
      <c r="I1042">
        <v>1</v>
      </c>
      <c r="J1042">
        <v>1</v>
      </c>
      <c r="K1042" t="s">
        <v>432</v>
      </c>
      <c r="L1042">
        <v>0.82835585051750016</v>
      </c>
      <c r="M1042">
        <v>1</v>
      </c>
      <c r="N1042">
        <v>1</v>
      </c>
      <c r="O1042" t="s">
        <v>518</v>
      </c>
      <c r="P1042">
        <v>0</v>
      </c>
      <c r="R1042">
        <v>0</v>
      </c>
      <c r="T1042">
        <v>0</v>
      </c>
      <c r="U1042" t="b">
        <v>0</v>
      </c>
      <c r="V1042">
        <v>10.69121140142518</v>
      </c>
      <c r="Y1042">
        <v>0</v>
      </c>
      <c r="Z1042">
        <v>889</v>
      </c>
      <c r="AA1042">
        <v>1.3641075804357999E-2</v>
      </c>
      <c r="AB1042">
        <v>1.4678075954791361</v>
      </c>
      <c r="AC1042">
        <v>-8.5531775579969996E-3</v>
      </c>
      <c r="AD1042">
        <v>4.1315880922043302E-2</v>
      </c>
      <c r="AE1042">
        <v>0</v>
      </c>
      <c r="AF1042" t="b">
        <v>0</v>
      </c>
    </row>
    <row r="1043" spans="1:32" x14ac:dyDescent="0.3">
      <c r="A1043" t="s">
        <v>2230</v>
      </c>
      <c r="B1043" t="s">
        <v>1222</v>
      </c>
      <c r="C1043" t="s">
        <v>431</v>
      </c>
      <c r="D1043">
        <v>327</v>
      </c>
      <c r="E1043">
        <v>2440</v>
      </c>
      <c r="F1043">
        <v>24</v>
      </c>
      <c r="G1043">
        <v>180</v>
      </c>
      <c r="H1043">
        <v>60</v>
      </c>
      <c r="I1043">
        <v>0.74016393442622952</v>
      </c>
      <c r="J1043">
        <v>0.88543548970003616</v>
      </c>
      <c r="K1043" t="s">
        <v>432</v>
      </c>
      <c r="L1043">
        <v>0.1145645102999638</v>
      </c>
      <c r="M1043">
        <v>1</v>
      </c>
      <c r="N1043">
        <v>0</v>
      </c>
      <c r="O1043" t="s">
        <v>433</v>
      </c>
      <c r="P1043">
        <v>317</v>
      </c>
      <c r="Q1043">
        <v>0.78548895899053628</v>
      </c>
      <c r="R1043">
        <v>0</v>
      </c>
      <c r="T1043">
        <v>0</v>
      </c>
      <c r="U1043" t="b">
        <v>0</v>
      </c>
      <c r="V1043">
        <v>0</v>
      </c>
      <c r="Y1043">
        <v>0</v>
      </c>
      <c r="Z1043">
        <v>60</v>
      </c>
      <c r="AA1043">
        <v>0</v>
      </c>
      <c r="AB1043">
        <v>0</v>
      </c>
      <c r="AC1043">
        <v>0</v>
      </c>
      <c r="AD1043">
        <v>0</v>
      </c>
      <c r="AE1043">
        <v>0</v>
      </c>
      <c r="AF1043" t="b">
        <v>0</v>
      </c>
    </row>
    <row r="1044" spans="1:32" x14ac:dyDescent="0.3">
      <c r="A1044" t="s">
        <v>2231</v>
      </c>
      <c r="B1044" t="s">
        <v>2232</v>
      </c>
      <c r="C1044" t="s">
        <v>431</v>
      </c>
      <c r="D1044">
        <v>75</v>
      </c>
      <c r="E1044">
        <v>1651</v>
      </c>
      <c r="F1044">
        <v>7</v>
      </c>
      <c r="G1044">
        <v>60</v>
      </c>
      <c r="H1044">
        <v>60</v>
      </c>
      <c r="I1044">
        <v>1</v>
      </c>
      <c r="J1044">
        <v>1</v>
      </c>
      <c r="K1044" t="s">
        <v>86</v>
      </c>
      <c r="P1044">
        <v>0</v>
      </c>
      <c r="R1044">
        <v>0</v>
      </c>
      <c r="T1044">
        <v>0</v>
      </c>
      <c r="U1044" t="b">
        <v>0</v>
      </c>
      <c r="V1044">
        <v>7.8409090909090908</v>
      </c>
      <c r="Y1044">
        <v>0</v>
      </c>
      <c r="Z1044">
        <v>99</v>
      </c>
      <c r="AA1044">
        <v>1.8030935001737899E-2</v>
      </c>
      <c r="AB1044">
        <v>1.4971139971139971</v>
      </c>
      <c r="AC1044">
        <v>-9.1463414634146006E-3</v>
      </c>
      <c r="AD1044">
        <v>7.5757575757575704E-2</v>
      </c>
      <c r="AE1044">
        <v>0</v>
      </c>
      <c r="AF1044" t="b">
        <v>0</v>
      </c>
    </row>
    <row r="1045" spans="1:32" x14ac:dyDescent="0.3">
      <c r="A1045" t="s">
        <v>2233</v>
      </c>
      <c r="B1045" t="s">
        <v>2234</v>
      </c>
      <c r="C1045" t="s">
        <v>431</v>
      </c>
      <c r="D1045">
        <v>191</v>
      </c>
      <c r="E1045">
        <v>5460</v>
      </c>
      <c r="F1045">
        <v>5</v>
      </c>
      <c r="G1045">
        <v>60</v>
      </c>
      <c r="H1045">
        <v>60</v>
      </c>
      <c r="I1045">
        <v>1</v>
      </c>
      <c r="J1045">
        <v>1</v>
      </c>
      <c r="K1045" t="s">
        <v>432</v>
      </c>
      <c r="L1045">
        <v>5.0340136054420996E-3</v>
      </c>
      <c r="M1045">
        <v>1</v>
      </c>
      <c r="O1045" t="s">
        <v>518</v>
      </c>
      <c r="P1045">
        <v>0</v>
      </c>
      <c r="R1045">
        <v>0</v>
      </c>
      <c r="T1045">
        <v>0</v>
      </c>
      <c r="U1045" t="b">
        <v>0</v>
      </c>
      <c r="V1045">
        <v>0</v>
      </c>
      <c r="Y1045">
        <v>5.0340136054420996E-3</v>
      </c>
      <c r="Z1045">
        <v>294</v>
      </c>
      <c r="AA1045">
        <v>0</v>
      </c>
      <c r="AB1045">
        <v>0</v>
      </c>
      <c r="AC1045">
        <v>0</v>
      </c>
      <c r="AD1045">
        <v>0</v>
      </c>
      <c r="AE1045">
        <v>0</v>
      </c>
      <c r="AF1045" t="b">
        <v>0</v>
      </c>
    </row>
    <row r="1046" spans="1:32" x14ac:dyDescent="0.3">
      <c r="A1046" t="s">
        <v>2235</v>
      </c>
      <c r="B1046" t="s">
        <v>2236</v>
      </c>
      <c r="C1046" t="s">
        <v>431</v>
      </c>
      <c r="D1046">
        <v>89</v>
      </c>
      <c r="E1046">
        <v>2493</v>
      </c>
      <c r="F1046">
        <v>173</v>
      </c>
      <c r="G1046">
        <v>64</v>
      </c>
      <c r="H1046">
        <v>1</v>
      </c>
      <c r="I1046">
        <v>4.3722422783794603E-2</v>
      </c>
      <c r="J1046">
        <v>0.24360960495739731</v>
      </c>
      <c r="K1046" t="s">
        <v>432</v>
      </c>
      <c r="L1046">
        <v>0.77188226181254838</v>
      </c>
      <c r="M1046">
        <v>1</v>
      </c>
      <c r="N1046">
        <v>2.0070245860511701E-2</v>
      </c>
      <c r="O1046" t="s">
        <v>433</v>
      </c>
      <c r="P1046">
        <v>1953</v>
      </c>
      <c r="Q1046">
        <v>0.97183819764464918</v>
      </c>
      <c r="R1046">
        <v>0</v>
      </c>
      <c r="T1046">
        <v>0</v>
      </c>
      <c r="U1046" t="b">
        <v>0</v>
      </c>
      <c r="Y1046">
        <v>0</v>
      </c>
      <c r="Z1046">
        <v>171</v>
      </c>
      <c r="AA1046">
        <v>-1.8715846994535E-3</v>
      </c>
      <c r="AB1046">
        <v>-0.20029239766081869</v>
      </c>
      <c r="AE1046">
        <v>0</v>
      </c>
      <c r="AF1046" t="b">
        <v>0</v>
      </c>
    </row>
    <row r="1047" spans="1:32" x14ac:dyDescent="0.3">
      <c r="A1047" t="s">
        <v>2237</v>
      </c>
      <c r="B1047" t="s">
        <v>2238</v>
      </c>
      <c r="C1047" t="s">
        <v>431</v>
      </c>
      <c r="D1047">
        <v>278</v>
      </c>
      <c r="E1047">
        <v>2887</v>
      </c>
      <c r="F1047">
        <v>116</v>
      </c>
      <c r="G1047">
        <v>60</v>
      </c>
      <c r="H1047">
        <v>1</v>
      </c>
      <c r="I1047">
        <v>0.26671285071007961</v>
      </c>
      <c r="J1047">
        <v>0.55608214849921012</v>
      </c>
      <c r="K1047" t="s">
        <v>432</v>
      </c>
      <c r="L1047">
        <v>0.53586097946287514</v>
      </c>
      <c r="M1047">
        <v>1</v>
      </c>
      <c r="N1047">
        <v>0.17158018867924529</v>
      </c>
      <c r="O1047" t="s">
        <v>433</v>
      </c>
      <c r="P1047">
        <v>1405</v>
      </c>
      <c r="Q1047">
        <v>0.50960854092526686</v>
      </c>
      <c r="R1047">
        <v>0</v>
      </c>
      <c r="T1047">
        <v>0</v>
      </c>
      <c r="U1047" t="b">
        <v>0</v>
      </c>
      <c r="V1047">
        <v>1.8257575757575759</v>
      </c>
      <c r="Y1047">
        <v>0</v>
      </c>
      <c r="Z1047">
        <v>9</v>
      </c>
      <c r="AA1047">
        <v>0</v>
      </c>
      <c r="AB1047">
        <v>0</v>
      </c>
      <c r="AC1047">
        <v>0</v>
      </c>
      <c r="AD1047">
        <v>0</v>
      </c>
      <c r="AE1047">
        <v>0</v>
      </c>
      <c r="AF1047" t="b">
        <v>0</v>
      </c>
    </row>
    <row r="1048" spans="1:32" x14ac:dyDescent="0.3">
      <c r="A1048" t="s">
        <v>2239</v>
      </c>
      <c r="B1048" t="s">
        <v>2240</v>
      </c>
      <c r="C1048" t="s">
        <v>431</v>
      </c>
      <c r="D1048">
        <v>108</v>
      </c>
      <c r="E1048">
        <v>2201</v>
      </c>
      <c r="F1048">
        <v>118</v>
      </c>
      <c r="G1048">
        <v>48</v>
      </c>
      <c r="H1048">
        <v>1</v>
      </c>
      <c r="I1048">
        <v>5.3157655611085798E-2</v>
      </c>
      <c r="J1048">
        <v>0.29107373868046571</v>
      </c>
      <c r="K1048" t="s">
        <v>432</v>
      </c>
      <c r="L1048">
        <v>0.73997412677878394</v>
      </c>
      <c r="M1048">
        <v>1</v>
      </c>
      <c r="N1048">
        <v>4.1958041958041897E-2</v>
      </c>
      <c r="O1048" t="s">
        <v>433</v>
      </c>
      <c r="P1048">
        <v>1644</v>
      </c>
      <c r="Q1048">
        <v>0.9927007299270072</v>
      </c>
      <c r="R1048">
        <v>0</v>
      </c>
      <c r="T1048">
        <v>0</v>
      </c>
      <c r="U1048" t="b">
        <v>0</v>
      </c>
      <c r="Y1048">
        <v>0</v>
      </c>
      <c r="Z1048">
        <v>170</v>
      </c>
      <c r="AA1048">
        <v>1.40435005994177E-2</v>
      </c>
      <c r="AB1048">
        <v>0.96470588235294119</v>
      </c>
      <c r="AE1048">
        <v>0</v>
      </c>
      <c r="AF1048" t="b">
        <v>0</v>
      </c>
    </row>
    <row r="1049" spans="1:32" x14ac:dyDescent="0.3">
      <c r="A1049" t="s">
        <v>2241</v>
      </c>
      <c r="B1049" t="s">
        <v>1922</v>
      </c>
      <c r="C1049" t="s">
        <v>431</v>
      </c>
      <c r="D1049">
        <v>54</v>
      </c>
      <c r="E1049">
        <v>155</v>
      </c>
      <c r="F1049">
        <v>12</v>
      </c>
      <c r="G1049">
        <v>1200</v>
      </c>
      <c r="H1049">
        <v>300</v>
      </c>
      <c r="I1049">
        <v>1</v>
      </c>
      <c r="J1049">
        <v>1</v>
      </c>
      <c r="K1049" t="s">
        <v>86</v>
      </c>
      <c r="P1049">
        <v>0</v>
      </c>
      <c r="R1049">
        <v>0</v>
      </c>
      <c r="T1049">
        <v>0</v>
      </c>
      <c r="U1049" t="b">
        <v>0</v>
      </c>
      <c r="Y1049">
        <v>0</v>
      </c>
      <c r="Z1049">
        <v>0</v>
      </c>
      <c r="AE1049">
        <v>0</v>
      </c>
      <c r="AF1049" t="b">
        <v>0</v>
      </c>
    </row>
    <row r="1050" spans="1:32" x14ac:dyDescent="0.3">
      <c r="A1050" t="s">
        <v>2242</v>
      </c>
      <c r="B1050" t="s">
        <v>2243</v>
      </c>
      <c r="C1050" t="s">
        <v>431</v>
      </c>
      <c r="D1050">
        <v>161</v>
      </c>
      <c r="E1050">
        <v>3431</v>
      </c>
      <c r="F1050">
        <v>108</v>
      </c>
      <c r="G1050">
        <v>51</v>
      </c>
      <c r="H1050">
        <v>1</v>
      </c>
      <c r="I1050">
        <v>6.12066452929175E-2</v>
      </c>
      <c r="J1050">
        <v>0.26280623608017811</v>
      </c>
      <c r="K1050" t="s">
        <v>432</v>
      </c>
      <c r="L1050">
        <v>0.74359688195991092</v>
      </c>
      <c r="M1050">
        <v>1</v>
      </c>
      <c r="N1050">
        <v>8.6110071134405993E-3</v>
      </c>
      <c r="O1050" t="s">
        <v>433</v>
      </c>
      <c r="P1050">
        <v>2648</v>
      </c>
      <c r="Q1050">
        <v>1</v>
      </c>
      <c r="R1050">
        <v>0</v>
      </c>
      <c r="T1050">
        <v>0</v>
      </c>
      <c r="U1050" t="b">
        <v>0</v>
      </c>
      <c r="V1050">
        <v>0</v>
      </c>
      <c r="Y1050">
        <v>0</v>
      </c>
      <c r="Z1050">
        <v>125</v>
      </c>
      <c r="AA1050">
        <v>0</v>
      </c>
      <c r="AB1050">
        <v>0</v>
      </c>
      <c r="AC1050">
        <v>0</v>
      </c>
      <c r="AD1050">
        <v>0</v>
      </c>
      <c r="AE1050">
        <v>0</v>
      </c>
      <c r="AF1050" t="b">
        <v>0</v>
      </c>
    </row>
    <row r="1051" spans="1:32" x14ac:dyDescent="0.3">
      <c r="A1051" t="s">
        <v>2244</v>
      </c>
      <c r="B1051" t="s">
        <v>2245</v>
      </c>
      <c r="C1051" t="s">
        <v>431</v>
      </c>
      <c r="D1051">
        <v>249</v>
      </c>
      <c r="E1051">
        <v>2354</v>
      </c>
      <c r="F1051">
        <v>30</v>
      </c>
      <c r="G1051">
        <v>120</v>
      </c>
      <c r="H1051">
        <v>60</v>
      </c>
      <c r="I1051">
        <v>0.80543755310110454</v>
      </c>
      <c r="J1051">
        <v>0.91164041490587799</v>
      </c>
      <c r="K1051" t="s">
        <v>432</v>
      </c>
      <c r="L1051">
        <v>7.41452170572416E-2</v>
      </c>
      <c r="M1051">
        <v>0.91659751037344395</v>
      </c>
      <c r="N1051">
        <v>0.84974093264248707</v>
      </c>
      <c r="O1051" t="s">
        <v>433</v>
      </c>
      <c r="P1051">
        <v>29</v>
      </c>
      <c r="Q1051">
        <v>0.17241379310344829</v>
      </c>
      <c r="R1051">
        <v>199</v>
      </c>
      <c r="S1051">
        <v>0</v>
      </c>
      <c r="T1051">
        <v>0</v>
      </c>
      <c r="U1051" t="b">
        <v>0</v>
      </c>
      <c r="V1051">
        <v>15.58823529411765</v>
      </c>
      <c r="Y1051">
        <v>0</v>
      </c>
      <c r="Z1051">
        <v>18</v>
      </c>
      <c r="AA1051">
        <v>3.4946236559139698E-2</v>
      </c>
      <c r="AB1051">
        <v>10.83333333333333</v>
      </c>
      <c r="AE1051">
        <v>0</v>
      </c>
      <c r="AF1051" t="b">
        <v>0</v>
      </c>
    </row>
    <row r="1052" spans="1:32" x14ac:dyDescent="0.3">
      <c r="A1052" t="s">
        <v>2246</v>
      </c>
      <c r="B1052" t="s">
        <v>2247</v>
      </c>
      <c r="C1052" t="s">
        <v>431</v>
      </c>
      <c r="D1052">
        <v>1143</v>
      </c>
      <c r="E1052">
        <v>35985</v>
      </c>
      <c r="F1052">
        <v>183</v>
      </c>
      <c r="G1052">
        <v>44</v>
      </c>
      <c r="H1052">
        <v>1</v>
      </c>
      <c r="I1052">
        <v>2.5510629428928702E-2</v>
      </c>
      <c r="J1052">
        <v>0.16889654615446739</v>
      </c>
      <c r="K1052" t="s">
        <v>432</v>
      </c>
      <c r="L1052">
        <v>0.84714781812797801</v>
      </c>
      <c r="M1052">
        <v>1</v>
      </c>
      <c r="N1052">
        <v>1.89392735708157E-2</v>
      </c>
      <c r="O1052" t="s">
        <v>433</v>
      </c>
      <c r="P1052">
        <v>30460</v>
      </c>
      <c r="Q1052">
        <v>0.5217990807616546</v>
      </c>
      <c r="R1052">
        <v>0</v>
      </c>
      <c r="T1052">
        <v>0</v>
      </c>
      <c r="U1052" t="b">
        <v>0</v>
      </c>
      <c r="V1052">
        <v>0.33964954140860321</v>
      </c>
      <c r="Y1052">
        <v>0</v>
      </c>
      <c r="Z1052">
        <v>1049</v>
      </c>
      <c r="AA1052">
        <v>1.6434847813820001E-3</v>
      </c>
      <c r="AB1052">
        <v>8.9435183034128798E-2</v>
      </c>
      <c r="AC1052">
        <v>3.8775327127787999E-3</v>
      </c>
      <c r="AD1052">
        <v>0</v>
      </c>
      <c r="AE1052">
        <v>0</v>
      </c>
      <c r="AF1052" t="b">
        <v>0</v>
      </c>
    </row>
    <row r="1053" spans="1:32" x14ac:dyDescent="0.3">
      <c r="A1053" t="s">
        <v>2248</v>
      </c>
      <c r="B1053" t="s">
        <v>2249</v>
      </c>
      <c r="C1053" t="s">
        <v>431</v>
      </c>
      <c r="D1053">
        <v>260</v>
      </c>
      <c r="E1053">
        <v>3215</v>
      </c>
      <c r="F1053">
        <v>23</v>
      </c>
      <c r="G1053">
        <v>60</v>
      </c>
      <c r="H1053">
        <v>5</v>
      </c>
      <c r="I1053">
        <v>0.62426127527216169</v>
      </c>
      <c r="J1053">
        <v>0.8048433048433048</v>
      </c>
      <c r="K1053" t="s">
        <v>432</v>
      </c>
      <c r="L1053">
        <v>0.72262773722627738</v>
      </c>
      <c r="M1053">
        <v>0.98076923076923084</v>
      </c>
      <c r="N1053">
        <v>0.73592386994448855</v>
      </c>
      <c r="O1053" t="s">
        <v>433</v>
      </c>
      <c r="P1053">
        <v>666</v>
      </c>
      <c r="Q1053">
        <v>0</v>
      </c>
      <c r="R1053">
        <v>19</v>
      </c>
      <c r="S1053">
        <v>0</v>
      </c>
      <c r="T1053">
        <v>0</v>
      </c>
      <c r="U1053" t="b">
        <v>0</v>
      </c>
      <c r="V1053">
        <v>4.838709677419355</v>
      </c>
      <c r="Y1053">
        <v>1.4598540145985399E-2</v>
      </c>
      <c r="Z1053">
        <v>124</v>
      </c>
      <c r="AA1053">
        <v>-2.2982804232804199E-2</v>
      </c>
      <c r="AB1053">
        <v>-1.6013824884792629</v>
      </c>
      <c r="AC1053">
        <v>-2.2569444444444399E-2</v>
      </c>
      <c r="AD1053">
        <v>-1.7650462962962899E-2</v>
      </c>
      <c r="AE1053">
        <v>0</v>
      </c>
      <c r="AF1053" t="b">
        <v>0</v>
      </c>
    </row>
    <row r="1054" spans="1:32" x14ac:dyDescent="0.3">
      <c r="A1054" t="s">
        <v>2250</v>
      </c>
      <c r="B1054" t="s">
        <v>2251</v>
      </c>
      <c r="C1054" t="s">
        <v>431</v>
      </c>
      <c r="D1054">
        <v>70</v>
      </c>
      <c r="E1054">
        <v>137</v>
      </c>
      <c r="F1054">
        <v>8</v>
      </c>
      <c r="G1054">
        <v>180</v>
      </c>
      <c r="H1054">
        <v>60</v>
      </c>
      <c r="I1054">
        <v>1</v>
      </c>
      <c r="J1054">
        <v>1</v>
      </c>
      <c r="K1054" t="s">
        <v>432</v>
      </c>
      <c r="L1054">
        <v>0.73026724673710375</v>
      </c>
      <c r="M1054">
        <v>1</v>
      </c>
      <c r="N1054">
        <v>1</v>
      </c>
      <c r="O1054" t="s">
        <v>433</v>
      </c>
      <c r="P1054">
        <v>0</v>
      </c>
      <c r="R1054">
        <v>0</v>
      </c>
      <c r="T1054">
        <v>0</v>
      </c>
      <c r="U1054" t="b">
        <v>0</v>
      </c>
      <c r="V1054">
        <v>0</v>
      </c>
      <c r="Y1054">
        <v>0.66314481044126783</v>
      </c>
      <c r="Z1054">
        <v>8</v>
      </c>
      <c r="AA1054">
        <v>0</v>
      </c>
      <c r="AB1054">
        <v>0</v>
      </c>
      <c r="AC1054">
        <v>0</v>
      </c>
      <c r="AD1054">
        <v>0</v>
      </c>
      <c r="AE1054">
        <v>0</v>
      </c>
      <c r="AF1054" t="b">
        <v>0</v>
      </c>
    </row>
    <row r="1055" spans="1:32" x14ac:dyDescent="0.3">
      <c r="A1055" t="s">
        <v>2252</v>
      </c>
      <c r="B1055" t="s">
        <v>2253</v>
      </c>
      <c r="C1055" t="s">
        <v>431</v>
      </c>
      <c r="D1055">
        <v>2327</v>
      </c>
      <c r="E1055">
        <v>62816</v>
      </c>
      <c r="F1055">
        <v>30</v>
      </c>
      <c r="G1055">
        <v>60</v>
      </c>
      <c r="H1055">
        <v>60</v>
      </c>
      <c r="I1055">
        <v>1</v>
      </c>
      <c r="J1055">
        <v>1</v>
      </c>
      <c r="K1055" t="s">
        <v>86</v>
      </c>
      <c r="P1055">
        <v>0</v>
      </c>
      <c r="R1055">
        <v>0</v>
      </c>
      <c r="T1055">
        <v>0</v>
      </c>
      <c r="U1055" t="b">
        <v>0</v>
      </c>
      <c r="V1055">
        <v>6.9032752843456509</v>
      </c>
      <c r="Y1055">
        <v>0</v>
      </c>
      <c r="Z1055">
        <v>2336</v>
      </c>
      <c r="AA1055">
        <v>2.40083406287818E-2</v>
      </c>
      <c r="AB1055">
        <v>1.9487685001102</v>
      </c>
      <c r="AC1055">
        <v>-2.8117099630082E-3</v>
      </c>
      <c r="AD1055">
        <v>5.4822840178294398E-2</v>
      </c>
      <c r="AE1055">
        <v>0</v>
      </c>
      <c r="AF1055" t="b">
        <v>0</v>
      </c>
    </row>
    <row r="1056" spans="1:32" x14ac:dyDescent="0.3">
      <c r="A1056" t="s">
        <v>2254</v>
      </c>
      <c r="B1056" t="s">
        <v>1188</v>
      </c>
      <c r="C1056" t="s">
        <v>431</v>
      </c>
      <c r="D1056">
        <v>174</v>
      </c>
      <c r="E1056">
        <v>23</v>
      </c>
      <c r="F1056">
        <v>2</v>
      </c>
      <c r="G1056">
        <v>120</v>
      </c>
      <c r="I1056">
        <v>1</v>
      </c>
      <c r="J1056">
        <v>1</v>
      </c>
      <c r="K1056" t="s">
        <v>432</v>
      </c>
      <c r="L1056">
        <v>0.96139115394119101</v>
      </c>
      <c r="M1056">
        <v>1</v>
      </c>
      <c r="N1056">
        <v>1</v>
      </c>
      <c r="O1056" t="s">
        <v>433</v>
      </c>
      <c r="P1056">
        <v>0</v>
      </c>
      <c r="R1056">
        <v>0</v>
      </c>
      <c r="T1056">
        <v>0</v>
      </c>
      <c r="U1056" t="b">
        <v>0</v>
      </c>
      <c r="Y1056">
        <v>0.84173461823573015</v>
      </c>
      <c r="Z1056">
        <v>2</v>
      </c>
      <c r="AA1056">
        <v>0</v>
      </c>
      <c r="AB1056">
        <v>0</v>
      </c>
      <c r="AE1056">
        <v>0</v>
      </c>
      <c r="AF1056" t="b">
        <v>0</v>
      </c>
    </row>
    <row r="1057" spans="1:35" x14ac:dyDescent="0.3">
      <c r="A1057" t="s">
        <v>2255</v>
      </c>
      <c r="B1057" t="s">
        <v>2256</v>
      </c>
      <c r="C1057" t="s">
        <v>431</v>
      </c>
      <c r="D1057">
        <v>312</v>
      </c>
      <c r="E1057">
        <v>7841</v>
      </c>
      <c r="F1057">
        <v>94</v>
      </c>
      <c r="G1057">
        <v>51</v>
      </c>
      <c r="H1057">
        <v>1</v>
      </c>
      <c r="I1057">
        <v>3.2521362071164302E-2</v>
      </c>
      <c r="J1057">
        <v>0.1705114121811302</v>
      </c>
      <c r="K1057" t="s">
        <v>432</v>
      </c>
      <c r="L1057">
        <v>0.84352496033199076</v>
      </c>
      <c r="M1057">
        <v>1</v>
      </c>
      <c r="N1057">
        <v>1.6640138908985601E-2</v>
      </c>
      <c r="O1057" t="s">
        <v>433</v>
      </c>
      <c r="P1057">
        <v>6796</v>
      </c>
      <c r="Q1057">
        <v>0.97057092407298395</v>
      </c>
      <c r="R1057">
        <v>0</v>
      </c>
      <c r="T1057">
        <v>0</v>
      </c>
      <c r="U1057" t="b">
        <v>0</v>
      </c>
      <c r="V1057">
        <v>0.14194260485651211</v>
      </c>
      <c r="Y1057">
        <v>0</v>
      </c>
      <c r="Z1057">
        <v>251</v>
      </c>
      <c r="AA1057">
        <v>1.2684875837680001E-3</v>
      </c>
      <c r="AB1057">
        <v>7.8383435953156999E-2</v>
      </c>
      <c r="AC1057">
        <v>-2.4136636636636001E-3</v>
      </c>
      <c r="AD1057">
        <v>0</v>
      </c>
      <c r="AE1057">
        <v>0</v>
      </c>
      <c r="AF1057" t="b">
        <v>0</v>
      </c>
    </row>
    <row r="1058" spans="1:35" x14ac:dyDescent="0.3">
      <c r="A1058" t="s">
        <v>2257</v>
      </c>
      <c r="B1058" t="s">
        <v>2258</v>
      </c>
      <c r="C1058" t="s">
        <v>431</v>
      </c>
      <c r="D1058">
        <v>464</v>
      </c>
      <c r="E1058">
        <v>14088</v>
      </c>
      <c r="F1058">
        <v>215</v>
      </c>
      <c r="G1058">
        <v>38</v>
      </c>
      <c r="H1058">
        <v>1</v>
      </c>
      <c r="I1058">
        <v>2.21465076660988E-2</v>
      </c>
      <c r="J1058">
        <v>0.16863661352391421</v>
      </c>
      <c r="K1058" t="s">
        <v>432</v>
      </c>
      <c r="L1058">
        <v>0.84228971962616828</v>
      </c>
      <c r="M1058">
        <v>1</v>
      </c>
      <c r="N1058">
        <v>1.29721791629273E-2</v>
      </c>
      <c r="O1058" t="s">
        <v>433</v>
      </c>
      <c r="P1058">
        <v>12098</v>
      </c>
      <c r="Q1058">
        <v>0.98925442221854842</v>
      </c>
      <c r="R1058">
        <v>0</v>
      </c>
      <c r="T1058">
        <v>0</v>
      </c>
      <c r="U1058" t="b">
        <v>0</v>
      </c>
      <c r="V1058">
        <v>5.4651585460170153</v>
      </c>
      <c r="Y1058">
        <v>0</v>
      </c>
      <c r="Z1058">
        <v>463</v>
      </c>
      <c r="AA1058">
        <v>8.5386993214910997E-3</v>
      </c>
      <c r="AB1058">
        <v>0.41984384106414341</v>
      </c>
      <c r="AC1058">
        <v>-4.9861725058941903E-2</v>
      </c>
      <c r="AD1058">
        <v>6.2698221627762896E-2</v>
      </c>
      <c r="AE1058">
        <v>0</v>
      </c>
      <c r="AF1058" t="b">
        <v>0</v>
      </c>
    </row>
    <row r="1059" spans="1:35" x14ac:dyDescent="0.3">
      <c r="A1059" t="s">
        <v>2259</v>
      </c>
      <c r="B1059" t="s">
        <v>2260</v>
      </c>
      <c r="C1059" t="s">
        <v>431</v>
      </c>
      <c r="D1059">
        <v>535</v>
      </c>
      <c r="E1059">
        <v>6882</v>
      </c>
      <c r="F1059">
        <v>192</v>
      </c>
      <c r="G1059">
        <v>63</v>
      </c>
      <c r="H1059">
        <v>1</v>
      </c>
      <c r="I1059">
        <v>2.68817204301075E-2</v>
      </c>
      <c r="J1059">
        <v>0.26978562761224217</v>
      </c>
      <c r="K1059" t="s">
        <v>432</v>
      </c>
      <c r="L1059">
        <v>0.72954024538223006</v>
      </c>
      <c r="M1059">
        <v>0.93469591226321036</v>
      </c>
      <c r="N1059">
        <v>2.32858990944372E-2</v>
      </c>
      <c r="O1059" t="s">
        <v>433</v>
      </c>
      <c r="P1059">
        <v>5253</v>
      </c>
      <c r="Q1059">
        <v>0.8595088520845231</v>
      </c>
      <c r="R1059">
        <v>0</v>
      </c>
      <c r="T1059">
        <v>0</v>
      </c>
      <c r="U1059" t="b">
        <v>0</v>
      </c>
      <c r="V1059">
        <v>3.3840579710144918</v>
      </c>
      <c r="Y1059">
        <v>0</v>
      </c>
      <c r="Z1059">
        <v>252</v>
      </c>
      <c r="AA1059">
        <v>6.4351613630491003E-3</v>
      </c>
      <c r="AB1059">
        <v>0.51707372763920378</v>
      </c>
      <c r="AC1059">
        <v>-5.7604194629083004E-3</v>
      </c>
      <c r="AD1059">
        <v>3.2520378166810901E-2</v>
      </c>
      <c r="AE1059">
        <v>0</v>
      </c>
      <c r="AF1059" t="b">
        <v>0</v>
      </c>
    </row>
    <row r="1060" spans="1:35" x14ac:dyDescent="0.3">
      <c r="A1060" t="s">
        <v>2261</v>
      </c>
      <c r="B1060" t="s">
        <v>2262</v>
      </c>
      <c r="C1060" t="s">
        <v>431</v>
      </c>
      <c r="D1060">
        <v>460</v>
      </c>
      <c r="E1060">
        <v>11857</v>
      </c>
      <c r="F1060">
        <v>279</v>
      </c>
      <c r="G1060">
        <v>66</v>
      </c>
      <c r="H1060">
        <v>1</v>
      </c>
      <c r="I1060">
        <v>2.8928059374209301E-2</v>
      </c>
      <c r="J1060">
        <v>0.22643500852480311</v>
      </c>
      <c r="K1060" t="s">
        <v>432</v>
      </c>
      <c r="L1060">
        <v>0.78720467646342451</v>
      </c>
      <c r="M1060">
        <v>1</v>
      </c>
      <c r="N1060">
        <v>1.73267326732673E-2</v>
      </c>
      <c r="O1060" t="s">
        <v>433</v>
      </c>
      <c r="P1060">
        <v>7559</v>
      </c>
      <c r="Q1060">
        <v>0.32795343299378221</v>
      </c>
      <c r="R1060">
        <v>0</v>
      </c>
      <c r="T1060">
        <v>0</v>
      </c>
      <c r="U1060" t="b">
        <v>0</v>
      </c>
      <c r="V1060">
        <v>9.8039215686274517</v>
      </c>
      <c r="Y1060">
        <v>0</v>
      </c>
      <c r="Z1060">
        <v>299</v>
      </c>
      <c r="AA1060">
        <v>4.2106826974393802E-2</v>
      </c>
      <c r="AB1060">
        <v>3.3989406357299332</v>
      </c>
      <c r="AC1060">
        <v>2.6482172371877302E-2</v>
      </c>
      <c r="AD1060">
        <v>5.7171781106305802E-2</v>
      </c>
      <c r="AE1060">
        <v>0</v>
      </c>
      <c r="AF1060" t="b">
        <v>0</v>
      </c>
    </row>
    <row r="1061" spans="1:35" x14ac:dyDescent="0.3">
      <c r="A1061" t="s">
        <v>2263</v>
      </c>
      <c r="B1061" t="s">
        <v>2264</v>
      </c>
      <c r="C1061" t="s">
        <v>431</v>
      </c>
      <c r="D1061">
        <v>315</v>
      </c>
      <c r="E1061">
        <v>4520</v>
      </c>
      <c r="F1061">
        <v>53</v>
      </c>
      <c r="G1061">
        <v>120</v>
      </c>
      <c r="H1061">
        <v>60</v>
      </c>
      <c r="I1061">
        <v>0.97765486725663719</v>
      </c>
      <c r="J1061">
        <v>0.98813593404383682</v>
      </c>
      <c r="K1061" t="s">
        <v>432</v>
      </c>
      <c r="L1061">
        <v>0.53770359943695956</v>
      </c>
      <c r="M1061">
        <v>1</v>
      </c>
      <c r="N1061">
        <v>0.97793567688855643</v>
      </c>
      <c r="O1061" t="s">
        <v>433</v>
      </c>
      <c r="P1061">
        <v>59</v>
      </c>
      <c r="Q1061">
        <v>0.66101694915254239</v>
      </c>
      <c r="R1061">
        <v>0</v>
      </c>
      <c r="T1061">
        <v>0</v>
      </c>
      <c r="U1061" t="b">
        <v>0</v>
      </c>
      <c r="V1061">
        <v>1.3356164383561639</v>
      </c>
      <c r="Y1061">
        <v>0</v>
      </c>
      <c r="Z1061">
        <v>260</v>
      </c>
      <c r="AA1061">
        <v>3.0780984027260001E-4</v>
      </c>
      <c r="AB1061">
        <v>4.5604395604395602E-2</v>
      </c>
      <c r="AC1061">
        <v>-3.7299515106299999E-4</v>
      </c>
      <c r="AD1061">
        <v>4.2263873575890997E-3</v>
      </c>
      <c r="AE1061">
        <v>0</v>
      </c>
      <c r="AF1061" t="b">
        <v>0</v>
      </c>
    </row>
    <row r="1062" spans="1:35" x14ac:dyDescent="0.3">
      <c r="A1062" t="s">
        <v>2265</v>
      </c>
      <c r="B1062" t="s">
        <v>2266</v>
      </c>
      <c r="C1062" t="s">
        <v>2267</v>
      </c>
      <c r="D1062">
        <v>21877</v>
      </c>
      <c r="E1062">
        <v>322107</v>
      </c>
      <c r="F1062">
        <v>12</v>
      </c>
      <c r="G1062">
        <v>60</v>
      </c>
      <c r="H1062">
        <v>60</v>
      </c>
      <c r="I1062">
        <v>0.99999379088315377</v>
      </c>
      <c r="J1062">
        <v>0.99999722458903118</v>
      </c>
      <c r="K1062" t="s">
        <v>86</v>
      </c>
      <c r="P1062">
        <v>0</v>
      </c>
      <c r="R1062">
        <v>0</v>
      </c>
      <c r="T1062">
        <v>2</v>
      </c>
      <c r="U1062" t="b">
        <v>1</v>
      </c>
      <c r="V1062">
        <v>4.4447708489680142</v>
      </c>
      <c r="W1062">
        <v>11.838725096209011</v>
      </c>
      <c r="X1062" t="b">
        <v>0</v>
      </c>
      <c r="Y1062">
        <v>0</v>
      </c>
      <c r="Z1062">
        <v>3323</v>
      </c>
      <c r="AA1062">
        <v>3.0135619236174201E-2</v>
      </c>
      <c r="AB1062">
        <v>2.5334695299151289</v>
      </c>
      <c r="AC1062">
        <v>2.7551232891296899E-2</v>
      </c>
      <c r="AD1062">
        <v>3.3444111378402502E-2</v>
      </c>
      <c r="AE1062">
        <v>2</v>
      </c>
      <c r="AF1062" t="b">
        <v>1</v>
      </c>
      <c r="AG1062">
        <v>9.5887060430650001E-3</v>
      </c>
      <c r="AH1062">
        <v>0.94711453142968816</v>
      </c>
      <c r="AI1062" t="b">
        <v>1</v>
      </c>
    </row>
    <row r="1063" spans="1:35" x14ac:dyDescent="0.3">
      <c r="A1063" t="s">
        <v>2268</v>
      </c>
      <c r="B1063" t="s">
        <v>2269</v>
      </c>
      <c r="C1063" t="s">
        <v>517</v>
      </c>
      <c r="D1063">
        <v>88</v>
      </c>
      <c r="E1063">
        <v>2953</v>
      </c>
      <c r="F1063">
        <v>21</v>
      </c>
      <c r="G1063">
        <v>60</v>
      </c>
      <c r="H1063">
        <v>60</v>
      </c>
      <c r="I1063">
        <v>1</v>
      </c>
      <c r="J1063">
        <v>1</v>
      </c>
      <c r="K1063" t="s">
        <v>86</v>
      </c>
      <c r="P1063">
        <v>0</v>
      </c>
      <c r="R1063">
        <v>0</v>
      </c>
      <c r="T1063">
        <v>0</v>
      </c>
      <c r="U1063" t="b">
        <v>0</v>
      </c>
      <c r="V1063">
        <v>0</v>
      </c>
      <c r="Y1063">
        <v>0</v>
      </c>
      <c r="Z1063">
        <v>110</v>
      </c>
      <c r="AA1063">
        <v>-1.3203554803216199E-2</v>
      </c>
      <c r="AB1063">
        <v>-1.418181818181818</v>
      </c>
      <c r="AC1063">
        <v>-7.03125E-2</v>
      </c>
      <c r="AD1063">
        <v>-5.4878048780487798E-2</v>
      </c>
      <c r="AE1063">
        <v>0</v>
      </c>
      <c r="AF1063" t="b">
        <v>0</v>
      </c>
    </row>
    <row r="1064" spans="1:35" x14ac:dyDescent="0.3">
      <c r="A1064" t="s">
        <v>2270</v>
      </c>
      <c r="B1064" t="s">
        <v>2271</v>
      </c>
      <c r="C1064" t="s">
        <v>517</v>
      </c>
      <c r="D1064">
        <v>56</v>
      </c>
      <c r="E1064">
        <v>906</v>
      </c>
      <c r="F1064">
        <v>9</v>
      </c>
      <c r="G1064">
        <v>120</v>
      </c>
      <c r="H1064">
        <v>60</v>
      </c>
      <c r="I1064">
        <v>1</v>
      </c>
      <c r="J1064">
        <v>1</v>
      </c>
      <c r="K1064" t="s">
        <v>86</v>
      </c>
      <c r="P1064">
        <v>0</v>
      </c>
      <c r="R1064">
        <v>0</v>
      </c>
      <c r="T1064">
        <v>0</v>
      </c>
      <c r="U1064" t="b">
        <v>0</v>
      </c>
      <c r="Y1064">
        <v>0</v>
      </c>
      <c r="Z1064">
        <v>43</v>
      </c>
      <c r="AA1064">
        <v>0</v>
      </c>
      <c r="AB1064">
        <v>0</v>
      </c>
      <c r="AC1064">
        <v>0</v>
      </c>
      <c r="AD1064">
        <v>0</v>
      </c>
      <c r="AE1064">
        <v>0</v>
      </c>
      <c r="AF1064" t="b">
        <v>0</v>
      </c>
    </row>
    <row r="1065" spans="1:35" x14ac:dyDescent="0.3">
      <c r="A1065" t="s">
        <v>2272</v>
      </c>
      <c r="B1065" t="s">
        <v>2273</v>
      </c>
      <c r="C1065" t="s">
        <v>517</v>
      </c>
      <c r="D1065">
        <v>202</v>
      </c>
      <c r="E1065">
        <v>6728</v>
      </c>
      <c r="F1065">
        <v>9</v>
      </c>
      <c r="G1065">
        <v>60</v>
      </c>
      <c r="H1065">
        <v>60</v>
      </c>
      <c r="I1065">
        <v>1</v>
      </c>
      <c r="J1065">
        <v>1</v>
      </c>
      <c r="K1065" t="s">
        <v>86</v>
      </c>
      <c r="P1065">
        <v>0</v>
      </c>
      <c r="R1065">
        <v>0</v>
      </c>
      <c r="T1065">
        <v>0</v>
      </c>
      <c r="U1065" t="b">
        <v>0</v>
      </c>
      <c r="V1065">
        <v>6.906779661016949</v>
      </c>
      <c r="Y1065">
        <v>0</v>
      </c>
      <c r="Z1065">
        <v>385</v>
      </c>
      <c r="AA1065">
        <v>1.8719725761979202E-2</v>
      </c>
      <c r="AB1065">
        <v>1.8641929499072361</v>
      </c>
      <c r="AC1065">
        <v>6.4599483204133999E-3</v>
      </c>
      <c r="AD1065">
        <v>1.9069412662089998E-2</v>
      </c>
      <c r="AE1065">
        <v>0</v>
      </c>
      <c r="AF1065" t="b">
        <v>0</v>
      </c>
    </row>
    <row r="1066" spans="1:35" x14ac:dyDescent="0.3">
      <c r="A1066" t="s">
        <v>2274</v>
      </c>
      <c r="B1066" t="s">
        <v>2275</v>
      </c>
      <c r="C1066" t="s">
        <v>517</v>
      </c>
      <c r="D1066">
        <v>139</v>
      </c>
      <c r="E1066">
        <v>2439</v>
      </c>
      <c r="F1066">
        <v>23</v>
      </c>
      <c r="G1066">
        <v>60</v>
      </c>
      <c r="H1066">
        <v>60</v>
      </c>
      <c r="I1066">
        <v>1</v>
      </c>
      <c r="J1066">
        <v>1</v>
      </c>
      <c r="K1066" t="s">
        <v>86</v>
      </c>
      <c r="P1066">
        <v>0</v>
      </c>
      <c r="R1066">
        <v>0</v>
      </c>
      <c r="T1066">
        <v>0</v>
      </c>
      <c r="U1066" t="b">
        <v>0</v>
      </c>
      <c r="V1066">
        <v>17.61538461538462</v>
      </c>
      <c r="Y1066">
        <v>0</v>
      </c>
      <c r="Z1066">
        <v>112</v>
      </c>
      <c r="AA1066">
        <v>3.1911660419410002E-3</v>
      </c>
      <c r="AB1066">
        <v>0.40178571428571402</v>
      </c>
      <c r="AC1066">
        <v>2.3093371347113301E-2</v>
      </c>
      <c r="AD1066">
        <v>-1.8520717084174201E-2</v>
      </c>
      <c r="AE1066">
        <v>0</v>
      </c>
      <c r="AF1066" t="b">
        <v>0</v>
      </c>
    </row>
    <row r="1067" spans="1:35" x14ac:dyDescent="0.3">
      <c r="A1067" t="s">
        <v>2276</v>
      </c>
      <c r="B1067" t="s">
        <v>2277</v>
      </c>
      <c r="C1067" t="s">
        <v>479</v>
      </c>
      <c r="D1067">
        <v>463</v>
      </c>
      <c r="E1067">
        <v>5773</v>
      </c>
      <c r="F1067">
        <v>36</v>
      </c>
      <c r="G1067">
        <v>180</v>
      </c>
      <c r="H1067">
        <v>60</v>
      </c>
      <c r="I1067">
        <v>1</v>
      </c>
      <c r="J1067">
        <v>1</v>
      </c>
      <c r="K1067" t="s">
        <v>86</v>
      </c>
      <c r="P1067">
        <v>0</v>
      </c>
      <c r="R1067">
        <v>0</v>
      </c>
      <c r="T1067">
        <v>0</v>
      </c>
      <c r="U1067" t="b">
        <v>0</v>
      </c>
      <c r="V1067">
        <v>3</v>
      </c>
      <c r="Y1067">
        <v>0</v>
      </c>
      <c r="Z1067">
        <v>33</v>
      </c>
      <c r="AA1067">
        <v>1.6627358490565999E-2</v>
      </c>
      <c r="AB1067">
        <v>2.1363636363636358</v>
      </c>
      <c r="AC1067">
        <v>1.01522842639593E-2</v>
      </c>
      <c r="AD1067">
        <v>0</v>
      </c>
      <c r="AE1067">
        <v>0</v>
      </c>
      <c r="AF1067" t="b">
        <v>0</v>
      </c>
    </row>
    <row r="1068" spans="1:35" x14ac:dyDescent="0.3">
      <c r="A1068" t="s">
        <v>2278</v>
      </c>
      <c r="B1068" t="s">
        <v>2279</v>
      </c>
      <c r="C1068" t="s">
        <v>517</v>
      </c>
      <c r="D1068">
        <v>8969</v>
      </c>
      <c r="E1068">
        <v>367779</v>
      </c>
      <c r="F1068">
        <v>620</v>
      </c>
      <c r="G1068">
        <v>52</v>
      </c>
      <c r="H1068">
        <v>1</v>
      </c>
      <c r="I1068">
        <v>2.3457021744036501E-2</v>
      </c>
      <c r="J1068">
        <v>0.14032722137874651</v>
      </c>
      <c r="K1068" t="s">
        <v>432</v>
      </c>
      <c r="L1068">
        <v>0.87634439997027191</v>
      </c>
      <c r="M1068">
        <v>0.99991413913752758</v>
      </c>
      <c r="N1068">
        <v>1.9036167203273498E-2</v>
      </c>
      <c r="O1068" t="s">
        <v>433</v>
      </c>
      <c r="P1068">
        <v>323876</v>
      </c>
      <c r="Q1068">
        <v>0.1141300991737578</v>
      </c>
      <c r="R1068">
        <v>2</v>
      </c>
      <c r="S1068">
        <v>0</v>
      </c>
      <c r="T1068">
        <v>2</v>
      </c>
      <c r="U1068" t="b">
        <v>1</v>
      </c>
      <c r="V1068">
        <v>7.7377366289143268</v>
      </c>
      <c r="W1068">
        <v>3.6215022091310751</v>
      </c>
      <c r="X1068" t="b">
        <v>1</v>
      </c>
      <c r="Y1068">
        <v>0</v>
      </c>
      <c r="Z1068">
        <v>9775</v>
      </c>
      <c r="AA1068">
        <v>7.9342536883845599E-2</v>
      </c>
      <c r="AB1068">
        <v>4.7997108771083186</v>
      </c>
      <c r="AC1068">
        <v>6.8908154612699599E-2</v>
      </c>
      <c r="AD1068">
        <v>8.97113062482498E-2</v>
      </c>
      <c r="AE1068">
        <v>2</v>
      </c>
      <c r="AF1068" t="b">
        <v>1</v>
      </c>
      <c r="AG1068">
        <v>4.8237072848470999E-3</v>
      </c>
      <c r="AH1068">
        <v>0.73821846288806636</v>
      </c>
      <c r="AI1068" t="b">
        <v>1</v>
      </c>
    </row>
    <row r="1069" spans="1:35" x14ac:dyDescent="0.3">
      <c r="A1069" t="s">
        <v>2280</v>
      </c>
      <c r="B1069" t="s">
        <v>2281</v>
      </c>
      <c r="C1069" t="s">
        <v>517</v>
      </c>
      <c r="D1069">
        <v>1646</v>
      </c>
      <c r="E1069">
        <v>49827</v>
      </c>
      <c r="F1069">
        <v>579</v>
      </c>
      <c r="G1069">
        <v>50</v>
      </c>
      <c r="H1069">
        <v>1</v>
      </c>
      <c r="I1069">
        <v>2.01296485841009E-2</v>
      </c>
      <c r="J1069">
        <v>0.16509324009324</v>
      </c>
      <c r="K1069" t="s">
        <v>86</v>
      </c>
      <c r="P1069">
        <v>0</v>
      </c>
      <c r="R1069">
        <v>0</v>
      </c>
      <c r="T1069">
        <v>0</v>
      </c>
      <c r="U1069" t="b">
        <v>0</v>
      </c>
      <c r="V1069">
        <v>9.6617412935323408</v>
      </c>
      <c r="Y1069">
        <v>0</v>
      </c>
      <c r="Z1069">
        <v>1906</v>
      </c>
      <c r="AA1069">
        <v>8.5498162722218302E-2</v>
      </c>
      <c r="AB1069">
        <v>5.2369245407152034</v>
      </c>
      <c r="AC1069">
        <v>9.8660258582021002E-2</v>
      </c>
      <c r="AD1069">
        <v>0.1128704906660893</v>
      </c>
      <c r="AE1069">
        <v>0</v>
      </c>
      <c r="AF1069" t="b">
        <v>0</v>
      </c>
    </row>
    <row r="1070" spans="1:35" x14ac:dyDescent="0.3">
      <c r="A1070" t="s">
        <v>2282</v>
      </c>
      <c r="B1070" t="s">
        <v>2283</v>
      </c>
      <c r="C1070" t="s">
        <v>517</v>
      </c>
      <c r="D1070">
        <v>98</v>
      </c>
      <c r="E1070">
        <v>1526</v>
      </c>
      <c r="F1070">
        <v>11</v>
      </c>
      <c r="G1070">
        <v>60</v>
      </c>
      <c r="H1070">
        <v>60</v>
      </c>
      <c r="I1070">
        <v>1</v>
      </c>
      <c r="J1070">
        <v>1</v>
      </c>
      <c r="K1070" t="s">
        <v>86</v>
      </c>
      <c r="P1070">
        <v>0</v>
      </c>
      <c r="R1070">
        <v>0</v>
      </c>
      <c r="T1070">
        <v>0</v>
      </c>
      <c r="U1070" t="b">
        <v>0</v>
      </c>
      <c r="Y1070">
        <v>0</v>
      </c>
      <c r="Z1070">
        <v>0</v>
      </c>
      <c r="AE1070">
        <v>0</v>
      </c>
      <c r="AF1070" t="b">
        <v>0</v>
      </c>
    </row>
    <row r="1071" spans="1:35" x14ac:dyDescent="0.3">
      <c r="A1071" t="s">
        <v>2284</v>
      </c>
      <c r="B1071" t="s">
        <v>2285</v>
      </c>
      <c r="C1071" t="s">
        <v>517</v>
      </c>
      <c r="D1071">
        <v>53</v>
      </c>
      <c r="E1071">
        <v>709</v>
      </c>
      <c r="F1071">
        <v>13</v>
      </c>
      <c r="G1071">
        <v>60</v>
      </c>
      <c r="H1071">
        <v>60</v>
      </c>
      <c r="I1071">
        <v>1</v>
      </c>
      <c r="J1071">
        <v>1</v>
      </c>
      <c r="K1071" t="s">
        <v>86</v>
      </c>
      <c r="P1071">
        <v>0</v>
      </c>
      <c r="R1071">
        <v>0</v>
      </c>
      <c r="T1071">
        <v>0</v>
      </c>
      <c r="U1071" t="b">
        <v>0</v>
      </c>
      <c r="Y1071">
        <v>0</v>
      </c>
      <c r="Z1071">
        <v>0</v>
      </c>
      <c r="AE1071">
        <v>0</v>
      </c>
      <c r="AF1071" t="b">
        <v>0</v>
      </c>
    </row>
    <row r="1072" spans="1:35" x14ac:dyDescent="0.3">
      <c r="A1072" t="s">
        <v>2286</v>
      </c>
      <c r="B1072" t="s">
        <v>2287</v>
      </c>
      <c r="C1072" t="s">
        <v>517</v>
      </c>
      <c r="D1072">
        <v>92</v>
      </c>
      <c r="E1072">
        <v>2071</v>
      </c>
      <c r="F1072">
        <v>13</v>
      </c>
      <c r="G1072">
        <v>60</v>
      </c>
      <c r="H1072">
        <v>60</v>
      </c>
      <c r="I1072">
        <v>1</v>
      </c>
      <c r="J1072">
        <v>1</v>
      </c>
      <c r="K1072" t="s">
        <v>86</v>
      </c>
      <c r="P1072">
        <v>0</v>
      </c>
      <c r="R1072">
        <v>0</v>
      </c>
      <c r="T1072">
        <v>0</v>
      </c>
      <c r="U1072" t="b">
        <v>0</v>
      </c>
      <c r="Y1072">
        <v>0</v>
      </c>
      <c r="Z1072">
        <v>6</v>
      </c>
      <c r="AA1072">
        <v>3.3333333333333298E-2</v>
      </c>
      <c r="AB1072">
        <v>3.333333333333333</v>
      </c>
      <c r="AC1072">
        <v>0</v>
      </c>
      <c r="AE1072">
        <v>0</v>
      </c>
      <c r="AF1072" t="b">
        <v>0</v>
      </c>
    </row>
    <row r="1073" spans="1:35" x14ac:dyDescent="0.3">
      <c r="A1073" t="s">
        <v>2288</v>
      </c>
      <c r="B1073" t="s">
        <v>2289</v>
      </c>
      <c r="C1073" t="s">
        <v>517</v>
      </c>
      <c r="D1073">
        <v>638</v>
      </c>
      <c r="E1073">
        <v>15235</v>
      </c>
      <c r="F1073">
        <v>14</v>
      </c>
      <c r="G1073">
        <v>60</v>
      </c>
      <c r="H1073">
        <v>60</v>
      </c>
      <c r="I1073">
        <v>1</v>
      </c>
      <c r="J1073">
        <v>1</v>
      </c>
      <c r="K1073" t="s">
        <v>86</v>
      </c>
      <c r="P1073">
        <v>0</v>
      </c>
      <c r="R1073">
        <v>0</v>
      </c>
      <c r="T1073">
        <v>0</v>
      </c>
      <c r="U1073" t="b">
        <v>0</v>
      </c>
      <c r="V1073">
        <v>13.285276073619629</v>
      </c>
      <c r="Y1073">
        <v>0</v>
      </c>
      <c r="Z1073">
        <v>698</v>
      </c>
      <c r="AA1073">
        <v>2.73507793213351E-2</v>
      </c>
      <c r="AB1073">
        <v>3.0448901623686728</v>
      </c>
      <c r="AC1073">
        <v>3.2347451707830897E-2</v>
      </c>
      <c r="AD1073">
        <v>9.7630868681483005E-3</v>
      </c>
      <c r="AE1073">
        <v>0</v>
      </c>
      <c r="AF1073" t="b">
        <v>0</v>
      </c>
    </row>
    <row r="1074" spans="1:35" x14ac:dyDescent="0.3">
      <c r="A1074" t="s">
        <v>2290</v>
      </c>
      <c r="B1074" t="s">
        <v>2291</v>
      </c>
      <c r="C1074" t="s">
        <v>517</v>
      </c>
      <c r="D1074">
        <v>101</v>
      </c>
      <c r="E1074">
        <v>1880</v>
      </c>
      <c r="F1074">
        <v>7</v>
      </c>
      <c r="G1074">
        <v>60</v>
      </c>
      <c r="H1074">
        <v>60</v>
      </c>
      <c r="I1074">
        <v>1</v>
      </c>
      <c r="J1074">
        <v>1</v>
      </c>
      <c r="K1074" t="s">
        <v>86</v>
      </c>
      <c r="P1074">
        <v>0</v>
      </c>
      <c r="R1074">
        <v>0</v>
      </c>
      <c r="T1074">
        <v>0</v>
      </c>
      <c r="U1074" t="b">
        <v>0</v>
      </c>
      <c r="V1074">
        <v>2.486486486486486</v>
      </c>
      <c r="Y1074">
        <v>0</v>
      </c>
      <c r="Z1074">
        <v>67</v>
      </c>
      <c r="AA1074">
        <v>-1.1851546497996001E-3</v>
      </c>
      <c r="AB1074">
        <v>-0.12483039348710979</v>
      </c>
      <c r="AC1074">
        <v>3.4254143646408802E-2</v>
      </c>
      <c r="AD1074">
        <v>1.4701643124819801E-2</v>
      </c>
      <c r="AE1074">
        <v>0</v>
      </c>
      <c r="AF1074" t="b">
        <v>0</v>
      </c>
    </row>
    <row r="1075" spans="1:35" x14ac:dyDescent="0.3">
      <c r="A1075" t="s">
        <v>2292</v>
      </c>
      <c r="B1075" t="s">
        <v>2293</v>
      </c>
      <c r="C1075" t="s">
        <v>517</v>
      </c>
      <c r="D1075">
        <v>544</v>
      </c>
      <c r="E1075">
        <v>16647</v>
      </c>
      <c r="F1075">
        <v>14</v>
      </c>
      <c r="G1075">
        <v>60</v>
      </c>
      <c r="H1075">
        <v>60</v>
      </c>
      <c r="I1075">
        <v>1</v>
      </c>
      <c r="J1075">
        <v>1</v>
      </c>
      <c r="K1075" t="s">
        <v>86</v>
      </c>
      <c r="P1075">
        <v>0</v>
      </c>
      <c r="R1075">
        <v>0</v>
      </c>
      <c r="T1075">
        <v>0</v>
      </c>
      <c r="U1075" t="b">
        <v>0</v>
      </c>
      <c r="V1075">
        <v>6.8552713661883971</v>
      </c>
      <c r="Y1075">
        <v>0</v>
      </c>
      <c r="Z1075">
        <v>817</v>
      </c>
      <c r="AA1075">
        <v>5.9516142747706004E-3</v>
      </c>
      <c r="AB1075">
        <v>0.58159364095716604</v>
      </c>
      <c r="AC1075">
        <v>1.2107872085324101E-2</v>
      </c>
      <c r="AD1075">
        <v>2.8847481021393999E-2</v>
      </c>
      <c r="AE1075">
        <v>0</v>
      </c>
      <c r="AF1075" t="b">
        <v>0</v>
      </c>
    </row>
    <row r="1076" spans="1:35" x14ac:dyDescent="0.3">
      <c r="A1076" t="s">
        <v>2294</v>
      </c>
      <c r="B1076" t="s">
        <v>2295</v>
      </c>
      <c r="C1076" t="s">
        <v>517</v>
      </c>
      <c r="D1076">
        <v>204</v>
      </c>
      <c r="E1076">
        <v>2949</v>
      </c>
      <c r="F1076">
        <v>16</v>
      </c>
      <c r="G1076">
        <v>120</v>
      </c>
      <c r="H1076">
        <v>60</v>
      </c>
      <c r="I1076">
        <v>1</v>
      </c>
      <c r="J1076">
        <v>1</v>
      </c>
      <c r="K1076" t="s">
        <v>86</v>
      </c>
      <c r="P1076">
        <v>0</v>
      </c>
      <c r="R1076">
        <v>0</v>
      </c>
      <c r="T1076">
        <v>0</v>
      </c>
      <c r="U1076" t="b">
        <v>0</v>
      </c>
      <c r="V1076">
        <v>20</v>
      </c>
      <c r="Y1076">
        <v>0</v>
      </c>
      <c r="Z1076">
        <v>177</v>
      </c>
      <c r="AA1076">
        <v>8.4525080042689004E-3</v>
      </c>
      <c r="AB1076">
        <v>1.1186440677966101</v>
      </c>
      <c r="AC1076">
        <v>-0.41666666666666669</v>
      </c>
      <c r="AD1076">
        <v>-5.5555555555555497E-2</v>
      </c>
      <c r="AE1076">
        <v>0</v>
      </c>
      <c r="AF1076" t="b">
        <v>0</v>
      </c>
    </row>
    <row r="1077" spans="1:35" x14ac:dyDescent="0.3">
      <c r="A1077" t="s">
        <v>2296</v>
      </c>
      <c r="B1077" t="s">
        <v>2297</v>
      </c>
      <c r="C1077" t="s">
        <v>431</v>
      </c>
      <c r="D1077">
        <v>102</v>
      </c>
      <c r="E1077">
        <v>199</v>
      </c>
      <c r="F1077">
        <v>15</v>
      </c>
      <c r="G1077">
        <v>300</v>
      </c>
      <c r="H1077">
        <v>60</v>
      </c>
      <c r="I1077">
        <v>1</v>
      </c>
      <c r="J1077">
        <v>1</v>
      </c>
      <c r="K1077" t="s">
        <v>432</v>
      </c>
      <c r="L1077">
        <v>0.69265263884097961</v>
      </c>
      <c r="M1077">
        <v>1</v>
      </c>
      <c r="N1077">
        <v>1</v>
      </c>
      <c r="O1077" t="s">
        <v>433</v>
      </c>
      <c r="P1077">
        <v>0</v>
      </c>
      <c r="R1077">
        <v>0</v>
      </c>
      <c r="T1077">
        <v>0</v>
      </c>
      <c r="U1077" t="b">
        <v>0</v>
      </c>
      <c r="Y1077">
        <v>0.68126940324249741</v>
      </c>
      <c r="Z1077">
        <v>11</v>
      </c>
      <c r="AA1077">
        <v>0</v>
      </c>
      <c r="AB1077">
        <v>0</v>
      </c>
      <c r="AE1077">
        <v>0</v>
      </c>
      <c r="AF1077" t="b">
        <v>0</v>
      </c>
    </row>
    <row r="1078" spans="1:35" x14ac:dyDescent="0.3">
      <c r="A1078" t="s">
        <v>2298</v>
      </c>
      <c r="B1078" t="s">
        <v>2299</v>
      </c>
      <c r="C1078" t="s">
        <v>517</v>
      </c>
      <c r="D1078">
        <v>1081</v>
      </c>
      <c r="E1078">
        <v>18115</v>
      </c>
      <c r="F1078">
        <v>53</v>
      </c>
      <c r="G1078">
        <v>60</v>
      </c>
      <c r="H1078">
        <v>60</v>
      </c>
      <c r="I1078">
        <v>1</v>
      </c>
      <c r="J1078">
        <v>1</v>
      </c>
      <c r="K1078" t="s">
        <v>432</v>
      </c>
      <c r="L1078">
        <v>0.72248431273759905</v>
      </c>
      <c r="M1078">
        <v>1</v>
      </c>
      <c r="N1078">
        <v>1</v>
      </c>
      <c r="O1078" t="s">
        <v>433</v>
      </c>
      <c r="P1078">
        <v>0</v>
      </c>
      <c r="R1078">
        <v>0</v>
      </c>
      <c r="T1078">
        <v>0</v>
      </c>
      <c r="U1078" t="b">
        <v>0</v>
      </c>
      <c r="V1078">
        <v>4.8924428239973476</v>
      </c>
      <c r="Y1078">
        <v>0</v>
      </c>
      <c r="Z1078">
        <v>487</v>
      </c>
      <c r="AA1078">
        <v>2.4345620005131401E-2</v>
      </c>
      <c r="AB1078">
        <v>2.3717172628876941</v>
      </c>
      <c r="AC1078">
        <v>2.6943796866476501E-2</v>
      </c>
      <c r="AD1078">
        <v>2.0043850755757198E-2</v>
      </c>
      <c r="AE1078">
        <v>0</v>
      </c>
      <c r="AF1078" t="b">
        <v>0</v>
      </c>
    </row>
    <row r="1079" spans="1:35" x14ac:dyDescent="0.3">
      <c r="A1079" t="s">
        <v>2300</v>
      </c>
      <c r="B1079" t="s">
        <v>2301</v>
      </c>
      <c r="C1079" t="s">
        <v>517</v>
      </c>
      <c r="D1079">
        <v>344</v>
      </c>
      <c r="E1079">
        <v>5682</v>
      </c>
      <c r="F1079">
        <v>233</v>
      </c>
      <c r="G1079">
        <v>54</v>
      </c>
      <c r="H1079">
        <v>1</v>
      </c>
      <c r="I1079">
        <v>6.5293910594860893E-2</v>
      </c>
      <c r="J1079">
        <v>0.31570220527275739</v>
      </c>
      <c r="K1079" t="s">
        <v>86</v>
      </c>
      <c r="P1079">
        <v>0</v>
      </c>
      <c r="R1079">
        <v>0</v>
      </c>
      <c r="T1079">
        <v>0</v>
      </c>
      <c r="U1079" t="b">
        <v>0</v>
      </c>
      <c r="V1079">
        <v>2.87719298245614</v>
      </c>
      <c r="Y1079">
        <v>0</v>
      </c>
      <c r="Z1079">
        <v>276</v>
      </c>
      <c r="AA1079">
        <v>7.6257734732310999E-3</v>
      </c>
      <c r="AB1079">
        <v>0.68466183574879247</v>
      </c>
      <c r="AC1079">
        <v>2.4390243902439001E-2</v>
      </c>
      <c r="AD1079">
        <v>-3.475416538894E-3</v>
      </c>
      <c r="AE1079">
        <v>0</v>
      </c>
      <c r="AF1079" t="b">
        <v>0</v>
      </c>
    </row>
    <row r="1080" spans="1:35" x14ac:dyDescent="0.3">
      <c r="A1080" t="s">
        <v>2302</v>
      </c>
      <c r="B1080" t="s">
        <v>2303</v>
      </c>
      <c r="C1080" t="s">
        <v>517</v>
      </c>
      <c r="D1080">
        <v>678</v>
      </c>
      <c r="E1080">
        <v>15590</v>
      </c>
      <c r="F1080">
        <v>309</v>
      </c>
      <c r="G1080">
        <v>47</v>
      </c>
      <c r="H1080">
        <v>1</v>
      </c>
      <c r="I1080">
        <v>3.3611289288005101E-2</v>
      </c>
      <c r="J1080">
        <v>0.24145981813713441</v>
      </c>
      <c r="K1080" t="s">
        <v>86</v>
      </c>
      <c r="P1080">
        <v>0</v>
      </c>
      <c r="R1080">
        <v>0</v>
      </c>
      <c r="T1080">
        <v>0</v>
      </c>
      <c r="U1080" t="b">
        <v>0</v>
      </c>
      <c r="V1080">
        <v>4.561805555555555</v>
      </c>
      <c r="Y1080">
        <v>0</v>
      </c>
      <c r="Z1080">
        <v>554</v>
      </c>
      <c r="AA1080">
        <v>1.40573306976652E-2</v>
      </c>
      <c r="AB1080">
        <v>0.81908056844879962</v>
      </c>
      <c r="AC1080">
        <v>1.1038128804870199E-2</v>
      </c>
      <c r="AD1080">
        <v>1.18617606756969E-2</v>
      </c>
      <c r="AE1080">
        <v>0</v>
      </c>
      <c r="AF1080" t="b">
        <v>0</v>
      </c>
    </row>
    <row r="1081" spans="1:35" x14ac:dyDescent="0.3">
      <c r="A1081" t="s">
        <v>2304</v>
      </c>
      <c r="B1081" t="s">
        <v>2305</v>
      </c>
      <c r="C1081" t="s">
        <v>521</v>
      </c>
      <c r="D1081">
        <v>30554</v>
      </c>
      <c r="E1081">
        <v>819716</v>
      </c>
      <c r="F1081">
        <v>29</v>
      </c>
      <c r="G1081">
        <v>60</v>
      </c>
      <c r="H1081">
        <v>60</v>
      </c>
      <c r="I1081">
        <v>1</v>
      </c>
      <c r="J1081">
        <v>1</v>
      </c>
      <c r="K1081" t="s">
        <v>86</v>
      </c>
      <c r="P1081">
        <v>0</v>
      </c>
      <c r="R1081">
        <v>0</v>
      </c>
      <c r="T1081">
        <v>1</v>
      </c>
      <c r="U1081" t="b">
        <v>1</v>
      </c>
      <c r="V1081">
        <v>9.6182680184700402</v>
      </c>
      <c r="W1081">
        <v>4.3587557110207547</v>
      </c>
      <c r="X1081" t="b">
        <v>1</v>
      </c>
      <c r="Y1081">
        <v>0</v>
      </c>
      <c r="Z1081">
        <v>22399</v>
      </c>
      <c r="AA1081">
        <v>7.6724107995820703E-2</v>
      </c>
      <c r="AB1081">
        <v>6.9778666327445498</v>
      </c>
      <c r="AC1081">
        <v>6.7808125082219894E-2</v>
      </c>
      <c r="AD1081">
        <v>9.2873585008536499E-2</v>
      </c>
      <c r="AE1081">
        <v>1</v>
      </c>
      <c r="AF1081" t="b">
        <v>1</v>
      </c>
      <c r="AG1081">
        <v>1.0646714794518701E-2</v>
      </c>
      <c r="AH1081">
        <v>1.192207414026877</v>
      </c>
      <c r="AI1081" t="b">
        <v>1</v>
      </c>
    </row>
    <row r="1082" spans="1:35" x14ac:dyDescent="0.3">
      <c r="A1082" t="s">
        <v>2306</v>
      </c>
      <c r="B1082" t="s">
        <v>807</v>
      </c>
      <c r="C1082" t="s">
        <v>2307</v>
      </c>
      <c r="D1082">
        <v>344</v>
      </c>
      <c r="E1082">
        <v>1064</v>
      </c>
      <c r="F1082">
        <v>27</v>
      </c>
      <c r="G1082">
        <v>660</v>
      </c>
      <c r="H1082">
        <v>60</v>
      </c>
      <c r="I1082">
        <v>1</v>
      </c>
      <c r="J1082">
        <v>1</v>
      </c>
      <c r="K1082" t="s">
        <v>86</v>
      </c>
      <c r="P1082">
        <v>0</v>
      </c>
      <c r="R1082">
        <v>0</v>
      </c>
      <c r="T1082">
        <v>0</v>
      </c>
      <c r="U1082" t="b">
        <v>0</v>
      </c>
      <c r="Y1082">
        <v>0</v>
      </c>
      <c r="Z1082">
        <v>24</v>
      </c>
      <c r="AA1082">
        <v>6.9170125146931494E-2</v>
      </c>
      <c r="AB1082">
        <v>53.053485987696519</v>
      </c>
      <c r="AC1082">
        <v>4.1823054534918899E-2</v>
      </c>
      <c r="AD1082">
        <v>8.7493015459117099E-2</v>
      </c>
      <c r="AE1082">
        <v>1</v>
      </c>
      <c r="AF1082" t="b">
        <v>1</v>
      </c>
      <c r="AG1082">
        <v>2.5198885723181259E-5</v>
      </c>
      <c r="AH1082">
        <v>4.9810366624526E-3</v>
      </c>
      <c r="AI1082" t="b">
        <v>1</v>
      </c>
    </row>
    <row r="1083" spans="1:35" x14ac:dyDescent="0.3">
      <c r="A1083" t="s">
        <v>2308</v>
      </c>
      <c r="B1083" t="s">
        <v>2309</v>
      </c>
      <c r="C1083" t="s">
        <v>549</v>
      </c>
      <c r="D1083">
        <v>263</v>
      </c>
      <c r="E1083">
        <v>4261</v>
      </c>
      <c r="F1083">
        <v>8</v>
      </c>
      <c r="G1083">
        <v>120</v>
      </c>
      <c r="H1083">
        <v>60</v>
      </c>
      <c r="I1083">
        <v>1</v>
      </c>
      <c r="J1083">
        <v>1</v>
      </c>
      <c r="K1083" t="s">
        <v>86</v>
      </c>
      <c r="P1083">
        <v>0</v>
      </c>
      <c r="R1083">
        <v>0</v>
      </c>
      <c r="T1083">
        <v>0</v>
      </c>
      <c r="U1083" t="b">
        <v>0</v>
      </c>
      <c r="V1083">
        <v>0</v>
      </c>
      <c r="Y1083">
        <v>0</v>
      </c>
      <c r="Z1083">
        <v>134</v>
      </c>
      <c r="AA1083">
        <v>0</v>
      </c>
      <c r="AB1083">
        <v>0</v>
      </c>
      <c r="AC1083">
        <v>0</v>
      </c>
      <c r="AD1083">
        <v>0</v>
      </c>
      <c r="AE1083">
        <v>0</v>
      </c>
      <c r="AF1083" t="b">
        <v>0</v>
      </c>
    </row>
    <row r="1084" spans="1:35" x14ac:dyDescent="0.3">
      <c r="A1084" t="s">
        <v>2310</v>
      </c>
      <c r="B1084" t="s">
        <v>2311</v>
      </c>
      <c r="C1084" t="s">
        <v>431</v>
      </c>
      <c r="D1084">
        <v>109</v>
      </c>
      <c r="E1084">
        <v>1573</v>
      </c>
      <c r="F1084">
        <v>117</v>
      </c>
      <c r="G1084">
        <v>139</v>
      </c>
      <c r="H1084">
        <v>1</v>
      </c>
      <c r="I1084">
        <v>0.7425301970756516</v>
      </c>
      <c r="J1084">
        <v>0.8761160714285714</v>
      </c>
      <c r="K1084" t="s">
        <v>432</v>
      </c>
      <c r="L1084">
        <v>0.13113839285714279</v>
      </c>
      <c r="M1084">
        <v>0.98201669877970443</v>
      </c>
      <c r="N1084">
        <v>0.1744680851063829</v>
      </c>
      <c r="O1084" t="s">
        <v>433</v>
      </c>
      <c r="P1084">
        <v>191</v>
      </c>
      <c r="Q1084">
        <v>0.90052356020942403</v>
      </c>
      <c r="R1084">
        <v>28</v>
      </c>
      <c r="S1084">
        <v>0.17857142857142849</v>
      </c>
      <c r="T1084">
        <v>0</v>
      </c>
      <c r="U1084" t="b">
        <v>0</v>
      </c>
      <c r="Y1084">
        <v>0</v>
      </c>
      <c r="Z1084">
        <v>62</v>
      </c>
      <c r="AA1084">
        <v>-1.4950455054470001E-4</v>
      </c>
      <c r="AB1084">
        <v>-1.9969278033793801E-2</v>
      </c>
      <c r="AC1084">
        <v>5.88888888888889E-2</v>
      </c>
      <c r="AD1084">
        <v>4.8327671180439001E-3</v>
      </c>
      <c r="AE1084">
        <v>0</v>
      </c>
      <c r="AF1084" t="b">
        <v>0</v>
      </c>
    </row>
    <row r="1085" spans="1:35" x14ac:dyDescent="0.3">
      <c r="A1085" t="s">
        <v>2312</v>
      </c>
      <c r="B1085" t="s">
        <v>2313</v>
      </c>
      <c r="C1085" t="s">
        <v>549</v>
      </c>
      <c r="D1085">
        <v>23891</v>
      </c>
      <c r="E1085">
        <v>683476</v>
      </c>
      <c r="F1085">
        <v>911</v>
      </c>
      <c r="G1085">
        <v>58</v>
      </c>
      <c r="H1085">
        <v>1</v>
      </c>
      <c r="I1085">
        <v>2.0353311601285101E-2</v>
      </c>
      <c r="J1085">
        <v>0.1234931796365959</v>
      </c>
      <c r="K1085" t="s">
        <v>432</v>
      </c>
      <c r="L1085">
        <v>0.89156265418092728</v>
      </c>
      <c r="M1085">
        <v>0.99990874128153318</v>
      </c>
      <c r="N1085">
        <v>1.6898116582258E-2</v>
      </c>
      <c r="O1085" t="s">
        <v>433</v>
      </c>
      <c r="P1085">
        <v>309923</v>
      </c>
      <c r="Q1085">
        <v>0.229608644727884</v>
      </c>
      <c r="R1085">
        <v>4</v>
      </c>
      <c r="S1085">
        <v>0</v>
      </c>
      <c r="T1085">
        <v>1</v>
      </c>
      <c r="U1085" t="b">
        <v>1</v>
      </c>
      <c r="V1085">
        <v>12.259720068802221</v>
      </c>
      <c r="W1085">
        <v>10.645166259806819</v>
      </c>
      <c r="X1085" t="b">
        <v>1</v>
      </c>
      <c r="Y1085">
        <v>0</v>
      </c>
      <c r="Z1085">
        <v>11008</v>
      </c>
      <c r="AA1085">
        <v>1.7880806197464901E-2</v>
      </c>
      <c r="AB1085">
        <v>1.298301554338666</v>
      </c>
      <c r="AC1085">
        <v>-6.3179555321363004E-2</v>
      </c>
      <c r="AD1085">
        <v>9.5284413160392503E-2</v>
      </c>
      <c r="AE1085">
        <v>1</v>
      </c>
      <c r="AF1085" t="b">
        <v>1</v>
      </c>
      <c r="AG1085">
        <v>-1.061206103243E-3</v>
      </c>
      <c r="AH1085">
        <v>-0.1414645350006456</v>
      </c>
      <c r="AI1085" t="b">
        <v>1</v>
      </c>
    </row>
    <row r="1086" spans="1:35" x14ac:dyDescent="0.3">
      <c r="A1086" t="s">
        <v>2314</v>
      </c>
      <c r="B1086" t="s">
        <v>2315</v>
      </c>
      <c r="C1086" t="s">
        <v>549</v>
      </c>
      <c r="D1086">
        <v>292</v>
      </c>
      <c r="E1086">
        <v>5754</v>
      </c>
      <c r="F1086">
        <v>14</v>
      </c>
      <c r="G1086">
        <v>60</v>
      </c>
      <c r="H1086">
        <v>60</v>
      </c>
      <c r="I1086">
        <v>1</v>
      </c>
      <c r="J1086">
        <v>1</v>
      </c>
      <c r="K1086" t="s">
        <v>432</v>
      </c>
      <c r="L1086">
        <v>0.81198653198653203</v>
      </c>
      <c r="M1086">
        <v>1</v>
      </c>
      <c r="N1086">
        <v>1</v>
      </c>
      <c r="O1086" t="s">
        <v>518</v>
      </c>
      <c r="P1086">
        <v>0</v>
      </c>
      <c r="R1086">
        <v>0</v>
      </c>
      <c r="T1086">
        <v>0</v>
      </c>
      <c r="U1086" t="b">
        <v>0</v>
      </c>
      <c r="V1086">
        <v>3.1591282280937452</v>
      </c>
      <c r="Y1086">
        <v>0</v>
      </c>
      <c r="Z1086">
        <v>199</v>
      </c>
      <c r="AA1086">
        <v>2.0818584110610602E-2</v>
      </c>
      <c r="AB1086">
        <v>1.554356004622041</v>
      </c>
      <c r="AC1086">
        <v>1.3543247344461299E-2</v>
      </c>
      <c r="AD1086">
        <v>3.1473553002384497E-2</v>
      </c>
      <c r="AE1086">
        <v>0</v>
      </c>
      <c r="AF1086" t="b">
        <v>0</v>
      </c>
    </row>
    <row r="1087" spans="1:35" x14ac:dyDescent="0.3">
      <c r="A1087" t="s">
        <v>2316</v>
      </c>
      <c r="B1087" t="s">
        <v>2317</v>
      </c>
      <c r="C1087" t="s">
        <v>754</v>
      </c>
      <c r="D1087">
        <v>12565</v>
      </c>
      <c r="E1087">
        <v>38</v>
      </c>
      <c r="F1087">
        <v>2</v>
      </c>
      <c r="G1087">
        <v>2400</v>
      </c>
      <c r="I1087">
        <v>1</v>
      </c>
      <c r="J1087">
        <v>1</v>
      </c>
      <c r="K1087" t="s">
        <v>86</v>
      </c>
      <c r="P1087">
        <v>0</v>
      </c>
      <c r="R1087">
        <v>0</v>
      </c>
      <c r="T1087">
        <v>0</v>
      </c>
      <c r="U1087" t="b">
        <v>0</v>
      </c>
      <c r="V1087">
        <v>0</v>
      </c>
      <c r="Y1087">
        <v>0.96728512065320404</v>
      </c>
      <c r="Z1087">
        <v>2</v>
      </c>
      <c r="AA1087">
        <v>0</v>
      </c>
      <c r="AB1087">
        <v>0</v>
      </c>
      <c r="AC1087">
        <v>0</v>
      </c>
      <c r="AD1087">
        <v>0</v>
      </c>
      <c r="AE1087">
        <v>0</v>
      </c>
      <c r="AF1087" t="b">
        <v>0</v>
      </c>
    </row>
    <row r="1088" spans="1:35" x14ac:dyDescent="0.3">
      <c r="A1088" t="s">
        <v>2318</v>
      </c>
      <c r="B1088" t="s">
        <v>2319</v>
      </c>
      <c r="C1088" t="s">
        <v>431</v>
      </c>
      <c r="D1088">
        <v>292</v>
      </c>
      <c r="E1088">
        <v>11601</v>
      </c>
      <c r="F1088">
        <v>250</v>
      </c>
      <c r="G1088">
        <v>54</v>
      </c>
      <c r="H1088">
        <v>1</v>
      </c>
      <c r="I1088">
        <v>4.8357900181018799E-2</v>
      </c>
      <c r="J1088">
        <v>0.27444715378794249</v>
      </c>
      <c r="K1088" t="s">
        <v>432</v>
      </c>
      <c r="L1088">
        <v>0.73539056587908858</v>
      </c>
      <c r="M1088">
        <v>0.99809342230695897</v>
      </c>
      <c r="N1088">
        <v>1.4063571918591301E-2</v>
      </c>
      <c r="O1088" t="s">
        <v>433</v>
      </c>
      <c r="P1088">
        <v>8611</v>
      </c>
      <c r="Q1088">
        <v>0.91034723028684239</v>
      </c>
      <c r="R1088">
        <v>6</v>
      </c>
      <c r="S1088">
        <v>1</v>
      </c>
      <c r="T1088">
        <v>0</v>
      </c>
      <c r="U1088" t="b">
        <v>0</v>
      </c>
      <c r="Y1088">
        <v>0</v>
      </c>
      <c r="Z1088">
        <v>240</v>
      </c>
      <c r="AA1088">
        <v>2.1345342529967101E-2</v>
      </c>
      <c r="AB1088">
        <v>1.328125</v>
      </c>
      <c r="AC1088">
        <v>6.4935064935064003E-3</v>
      </c>
      <c r="AD1088">
        <v>0</v>
      </c>
      <c r="AE1088">
        <v>0</v>
      </c>
      <c r="AF1088" t="b">
        <v>0</v>
      </c>
    </row>
    <row r="1089" spans="1:35" x14ac:dyDescent="0.3">
      <c r="A1089" t="s">
        <v>2320</v>
      </c>
      <c r="B1089" t="s">
        <v>2321</v>
      </c>
      <c r="C1089" t="s">
        <v>549</v>
      </c>
      <c r="D1089">
        <v>503</v>
      </c>
      <c r="E1089">
        <v>9939</v>
      </c>
      <c r="F1089">
        <v>20</v>
      </c>
      <c r="G1089">
        <v>60</v>
      </c>
      <c r="H1089">
        <v>60</v>
      </c>
      <c r="I1089">
        <v>1</v>
      </c>
      <c r="J1089">
        <v>1</v>
      </c>
      <c r="K1089" t="s">
        <v>432</v>
      </c>
      <c r="L1089">
        <v>0.83800644889948128</v>
      </c>
      <c r="M1089">
        <v>1</v>
      </c>
      <c r="N1089">
        <v>1</v>
      </c>
      <c r="O1089" t="s">
        <v>518</v>
      </c>
      <c r="P1089">
        <v>0</v>
      </c>
      <c r="R1089">
        <v>0</v>
      </c>
      <c r="T1089">
        <v>0</v>
      </c>
      <c r="U1089" t="b">
        <v>0</v>
      </c>
      <c r="V1089">
        <v>0.1075268817204301</v>
      </c>
      <c r="Y1089">
        <v>0</v>
      </c>
      <c r="Z1089">
        <v>414</v>
      </c>
      <c r="AA1089">
        <v>0</v>
      </c>
      <c r="AB1089">
        <v>0</v>
      </c>
      <c r="AC1089">
        <v>0</v>
      </c>
      <c r="AD1089">
        <v>0</v>
      </c>
      <c r="AE1089">
        <v>0</v>
      </c>
      <c r="AF1089" t="b">
        <v>0</v>
      </c>
    </row>
    <row r="1090" spans="1:35" x14ac:dyDescent="0.3">
      <c r="A1090" t="s">
        <v>2322</v>
      </c>
      <c r="B1090" t="s">
        <v>2323</v>
      </c>
      <c r="C1090" t="s">
        <v>549</v>
      </c>
      <c r="D1090">
        <v>258</v>
      </c>
      <c r="E1090">
        <v>2362</v>
      </c>
      <c r="F1090">
        <v>9</v>
      </c>
      <c r="G1090">
        <v>120</v>
      </c>
      <c r="H1090">
        <v>60</v>
      </c>
      <c r="I1090">
        <v>1</v>
      </c>
      <c r="J1090">
        <v>1</v>
      </c>
      <c r="K1090" t="s">
        <v>432</v>
      </c>
      <c r="L1090">
        <v>0.79580152671755722</v>
      </c>
      <c r="M1090">
        <v>1</v>
      </c>
      <c r="N1090">
        <v>1</v>
      </c>
      <c r="O1090" t="s">
        <v>433</v>
      </c>
      <c r="P1090">
        <v>0</v>
      </c>
      <c r="R1090">
        <v>0</v>
      </c>
      <c r="T1090">
        <v>0</v>
      </c>
      <c r="U1090" t="b">
        <v>0</v>
      </c>
      <c r="V1090">
        <v>0</v>
      </c>
      <c r="Y1090">
        <v>0</v>
      </c>
      <c r="Z1090">
        <v>67</v>
      </c>
      <c r="AA1090">
        <v>0</v>
      </c>
      <c r="AB1090">
        <v>0</v>
      </c>
      <c r="AC1090">
        <v>0</v>
      </c>
      <c r="AD1090">
        <v>0</v>
      </c>
      <c r="AE1090">
        <v>0</v>
      </c>
      <c r="AF1090" t="b">
        <v>0</v>
      </c>
    </row>
    <row r="1091" spans="1:35" x14ac:dyDescent="0.3">
      <c r="A1091" t="s">
        <v>2324</v>
      </c>
      <c r="B1091" t="s">
        <v>2325</v>
      </c>
      <c r="C1091" t="s">
        <v>549</v>
      </c>
      <c r="D1091">
        <v>10077</v>
      </c>
      <c r="E1091">
        <v>276290</v>
      </c>
      <c r="F1091">
        <v>22</v>
      </c>
      <c r="G1091">
        <v>60</v>
      </c>
      <c r="H1091">
        <v>60</v>
      </c>
      <c r="I1091">
        <v>1</v>
      </c>
      <c r="J1091">
        <v>1</v>
      </c>
      <c r="K1091" t="s">
        <v>432</v>
      </c>
      <c r="L1091">
        <v>0.87270459859703819</v>
      </c>
      <c r="M1091">
        <v>1</v>
      </c>
      <c r="N1091">
        <v>1</v>
      </c>
      <c r="O1091" t="s">
        <v>433</v>
      </c>
      <c r="P1091">
        <v>0</v>
      </c>
      <c r="R1091">
        <v>0</v>
      </c>
      <c r="T1091">
        <v>1</v>
      </c>
      <c r="U1091" t="b">
        <v>1</v>
      </c>
      <c r="V1091">
        <v>5.1896002123009159</v>
      </c>
      <c r="W1091">
        <v>2.3318181818181811</v>
      </c>
      <c r="X1091" t="b">
        <v>1</v>
      </c>
      <c r="Y1091">
        <v>0</v>
      </c>
      <c r="Z1091">
        <v>5782</v>
      </c>
      <c r="AA1091">
        <v>3.2361331265193298E-2</v>
      </c>
      <c r="AB1091">
        <v>2.6239111197531222</v>
      </c>
      <c r="AC1091">
        <v>2.02953440320577E-2</v>
      </c>
      <c r="AD1091">
        <v>4.4648653665910303E-2</v>
      </c>
      <c r="AE1091">
        <v>1</v>
      </c>
      <c r="AF1091" t="b">
        <v>1</v>
      </c>
      <c r="AG1091">
        <v>2.0518910595149299E-2</v>
      </c>
      <c r="AH1091">
        <v>2.9659152587534061</v>
      </c>
      <c r="AI1091" t="b">
        <v>1</v>
      </c>
    </row>
    <row r="1092" spans="1:35" x14ac:dyDescent="0.3">
      <c r="A1092" t="s">
        <v>2326</v>
      </c>
      <c r="B1092" t="s">
        <v>2327</v>
      </c>
      <c r="C1092" t="s">
        <v>549</v>
      </c>
      <c r="D1092">
        <v>11222</v>
      </c>
      <c r="E1092">
        <v>275235</v>
      </c>
      <c r="F1092">
        <v>36</v>
      </c>
      <c r="G1092">
        <v>60</v>
      </c>
      <c r="H1092">
        <v>60</v>
      </c>
      <c r="I1092">
        <v>1</v>
      </c>
      <c r="J1092">
        <v>1</v>
      </c>
      <c r="K1092" t="s">
        <v>432</v>
      </c>
      <c r="L1092">
        <v>0.89104555410471331</v>
      </c>
      <c r="M1092">
        <v>1</v>
      </c>
      <c r="N1092">
        <v>1</v>
      </c>
      <c r="O1092" t="s">
        <v>518</v>
      </c>
      <c r="P1092">
        <v>0</v>
      </c>
      <c r="R1092">
        <v>0</v>
      </c>
      <c r="T1092">
        <v>1</v>
      </c>
      <c r="U1092" t="b">
        <v>1</v>
      </c>
      <c r="V1092">
        <v>9.6795791704591831</v>
      </c>
      <c r="W1092">
        <v>0</v>
      </c>
      <c r="X1092" t="b">
        <v>1</v>
      </c>
      <c r="Y1092">
        <v>0</v>
      </c>
      <c r="Z1092">
        <v>4772</v>
      </c>
      <c r="AA1092">
        <v>6.7231198405164103E-2</v>
      </c>
      <c r="AB1092">
        <v>5.4372242365164301</v>
      </c>
      <c r="AC1092">
        <v>3.6794181435348301E-2</v>
      </c>
      <c r="AD1092">
        <v>9.8481301706227001E-2</v>
      </c>
      <c r="AE1092">
        <v>1</v>
      </c>
      <c r="AF1092" t="b">
        <v>1</v>
      </c>
      <c r="AG1092">
        <v>-2.7780286216909401E-2</v>
      </c>
      <c r="AH1092">
        <v>-3.9617579117579118</v>
      </c>
      <c r="AI1092" t="b">
        <v>1</v>
      </c>
    </row>
    <row r="1093" spans="1:35" x14ac:dyDescent="0.3">
      <c r="A1093" t="s">
        <v>2328</v>
      </c>
      <c r="B1093" t="s">
        <v>2329</v>
      </c>
      <c r="C1093" t="s">
        <v>549</v>
      </c>
      <c r="D1093">
        <v>1282</v>
      </c>
      <c r="E1093">
        <v>46785</v>
      </c>
      <c r="F1093">
        <v>14</v>
      </c>
      <c r="G1093">
        <v>60</v>
      </c>
      <c r="H1093">
        <v>60</v>
      </c>
      <c r="I1093">
        <v>1</v>
      </c>
      <c r="J1093">
        <v>1</v>
      </c>
      <c r="K1093" t="s">
        <v>432</v>
      </c>
      <c r="L1093">
        <v>0.88857834077146158</v>
      </c>
      <c r="M1093">
        <v>1</v>
      </c>
      <c r="N1093">
        <v>1</v>
      </c>
      <c r="O1093" t="s">
        <v>433</v>
      </c>
      <c r="P1093">
        <v>0</v>
      </c>
      <c r="R1093">
        <v>0</v>
      </c>
      <c r="T1093">
        <v>0</v>
      </c>
      <c r="U1093" t="b">
        <v>0</v>
      </c>
      <c r="V1093">
        <v>1.994260049249124</v>
      </c>
      <c r="Y1093">
        <v>0</v>
      </c>
      <c r="Z1093">
        <v>1323</v>
      </c>
      <c r="AA1093">
        <v>7.5498420951535996E-3</v>
      </c>
      <c r="AB1093">
        <v>0.5884776228913885</v>
      </c>
      <c r="AC1093">
        <v>6.7776147133881996E-3</v>
      </c>
      <c r="AD1093">
        <v>9.8705560179990996E-3</v>
      </c>
      <c r="AE1093">
        <v>0</v>
      </c>
      <c r="AF1093" t="b">
        <v>0</v>
      </c>
    </row>
    <row r="1094" spans="1:35" x14ac:dyDescent="0.3">
      <c r="A1094" t="s">
        <v>2330</v>
      </c>
      <c r="B1094" t="s">
        <v>2331</v>
      </c>
      <c r="C1094" t="s">
        <v>549</v>
      </c>
      <c r="D1094">
        <v>2757</v>
      </c>
      <c r="E1094">
        <v>57718</v>
      </c>
      <c r="F1094">
        <v>237</v>
      </c>
      <c r="G1094">
        <v>47</v>
      </c>
      <c r="H1094">
        <v>1</v>
      </c>
      <c r="I1094">
        <v>1.65113136283308E-2</v>
      </c>
      <c r="J1094">
        <v>0.21928069450186019</v>
      </c>
      <c r="K1094" t="s">
        <v>432</v>
      </c>
      <c r="L1094">
        <v>0.7916163704009922</v>
      </c>
      <c r="M1094">
        <v>1</v>
      </c>
      <c r="N1094">
        <v>1.3765588118563699E-2</v>
      </c>
      <c r="O1094" t="s">
        <v>433</v>
      </c>
      <c r="P1094">
        <v>32561</v>
      </c>
      <c r="Q1094">
        <v>0.48582660237707681</v>
      </c>
      <c r="R1094">
        <v>0</v>
      </c>
      <c r="T1094">
        <v>0</v>
      </c>
      <c r="U1094" t="b">
        <v>0</v>
      </c>
      <c r="V1094">
        <v>1.852214593876534</v>
      </c>
      <c r="Y1094">
        <v>0</v>
      </c>
      <c r="Z1094">
        <v>1733</v>
      </c>
      <c r="AA1094">
        <v>7.7917173578872997E-3</v>
      </c>
      <c r="AB1094">
        <v>0.4810098838498949</v>
      </c>
      <c r="AC1094">
        <v>-7.3296703647180003E-4</v>
      </c>
      <c r="AD1094">
        <v>1.6328475265226201E-2</v>
      </c>
      <c r="AE1094">
        <v>0</v>
      </c>
      <c r="AF1094" t="b">
        <v>0</v>
      </c>
    </row>
    <row r="1095" spans="1:35" x14ac:dyDescent="0.3">
      <c r="A1095" t="s">
        <v>2332</v>
      </c>
      <c r="B1095" t="s">
        <v>2333</v>
      </c>
      <c r="C1095" t="s">
        <v>549</v>
      </c>
      <c r="D1095">
        <v>5950</v>
      </c>
      <c r="E1095">
        <v>240909</v>
      </c>
      <c r="F1095">
        <v>284</v>
      </c>
      <c r="G1095">
        <v>57</v>
      </c>
      <c r="H1095">
        <v>1</v>
      </c>
      <c r="I1095">
        <v>2.5935104126454299E-2</v>
      </c>
      <c r="J1095">
        <v>0.1929198449317221</v>
      </c>
      <c r="K1095" t="s">
        <v>86</v>
      </c>
      <c r="P1095">
        <v>0</v>
      </c>
      <c r="R1095">
        <v>0</v>
      </c>
      <c r="T1095">
        <v>0</v>
      </c>
      <c r="U1095" t="b">
        <v>0</v>
      </c>
      <c r="V1095">
        <v>4.7658993247994887</v>
      </c>
      <c r="Y1095">
        <v>0</v>
      </c>
      <c r="Z1095">
        <v>4804</v>
      </c>
      <c r="AA1095">
        <v>7.2576410438144306E-2</v>
      </c>
      <c r="AB1095">
        <v>4.2870582529463412</v>
      </c>
      <c r="AC1095">
        <v>3.9341613669192803E-2</v>
      </c>
      <c r="AD1095">
        <v>0.1065196179472807</v>
      </c>
      <c r="AE1095">
        <v>0</v>
      </c>
      <c r="AF1095" t="b">
        <v>0</v>
      </c>
    </row>
    <row r="1096" spans="1:35" x14ac:dyDescent="0.3">
      <c r="A1096" t="s">
        <v>2334</v>
      </c>
      <c r="B1096" t="s">
        <v>2335</v>
      </c>
      <c r="C1096" t="s">
        <v>549</v>
      </c>
      <c r="D1096">
        <v>239</v>
      </c>
      <c r="E1096">
        <v>9249</v>
      </c>
      <c r="F1096">
        <v>107</v>
      </c>
      <c r="G1096">
        <v>30</v>
      </c>
      <c r="H1096">
        <v>1</v>
      </c>
      <c r="I1096">
        <v>1.6974808087360699E-2</v>
      </c>
      <c r="J1096">
        <v>5.8278006112340602E-2</v>
      </c>
      <c r="K1096" t="s">
        <v>432</v>
      </c>
      <c r="L1096">
        <v>0.83970913689535254</v>
      </c>
      <c r="M1096">
        <v>0.21104536489151871</v>
      </c>
      <c r="N1096">
        <v>2.9116465863453799E-2</v>
      </c>
      <c r="O1096" t="s">
        <v>433</v>
      </c>
      <c r="P1096">
        <v>7736</v>
      </c>
      <c r="Q1096">
        <v>3.32213029989658E-2</v>
      </c>
      <c r="R1096">
        <v>962</v>
      </c>
      <c r="S1096">
        <v>9.3555093555093005E-3</v>
      </c>
      <c r="T1096">
        <v>0</v>
      </c>
      <c r="U1096" t="b">
        <v>0</v>
      </c>
      <c r="V1096">
        <v>0</v>
      </c>
      <c r="Y1096">
        <v>0</v>
      </c>
      <c r="Z1096">
        <v>280</v>
      </c>
      <c r="AA1096">
        <v>0</v>
      </c>
      <c r="AB1096">
        <v>0</v>
      </c>
      <c r="AC1096">
        <v>0</v>
      </c>
      <c r="AD1096">
        <v>0</v>
      </c>
      <c r="AE1096">
        <v>0</v>
      </c>
      <c r="AF1096" t="b">
        <v>0</v>
      </c>
    </row>
    <row r="1097" spans="1:35" x14ac:dyDescent="0.3">
      <c r="A1097" t="s">
        <v>2336</v>
      </c>
      <c r="B1097" t="s">
        <v>2337</v>
      </c>
      <c r="C1097" t="s">
        <v>431</v>
      </c>
      <c r="D1097">
        <v>399</v>
      </c>
      <c r="E1097">
        <v>32054</v>
      </c>
      <c r="F1097">
        <v>73</v>
      </c>
      <c r="G1097">
        <v>10</v>
      </c>
      <c r="H1097">
        <v>1</v>
      </c>
      <c r="I1097">
        <v>1.99975042116428E-2</v>
      </c>
      <c r="J1097">
        <v>0.21973259566620559</v>
      </c>
      <c r="K1097" t="s">
        <v>86</v>
      </c>
      <c r="P1097">
        <v>0</v>
      </c>
      <c r="R1097">
        <v>0</v>
      </c>
      <c r="T1097">
        <v>0</v>
      </c>
      <c r="U1097" t="b">
        <v>0</v>
      </c>
      <c r="V1097">
        <v>0.34361329833770771</v>
      </c>
      <c r="Y1097">
        <v>0</v>
      </c>
      <c r="Z1097">
        <v>1150</v>
      </c>
      <c r="AA1097">
        <v>-2.4623256055849999E-4</v>
      </c>
      <c r="AB1097">
        <v>-4.7049689440993E-3</v>
      </c>
      <c r="AC1097">
        <v>-5.5368465762559995E-4</v>
      </c>
      <c r="AD1097">
        <v>0</v>
      </c>
      <c r="AE1097">
        <v>0</v>
      </c>
      <c r="AF1097" t="b">
        <v>0</v>
      </c>
    </row>
    <row r="1098" spans="1:35" x14ac:dyDescent="0.3">
      <c r="A1098" t="s">
        <v>2338</v>
      </c>
      <c r="B1098" t="s">
        <v>2339</v>
      </c>
      <c r="C1098" t="s">
        <v>549</v>
      </c>
      <c r="D1098">
        <v>1213</v>
      </c>
      <c r="E1098">
        <v>47109</v>
      </c>
      <c r="F1098">
        <v>16</v>
      </c>
      <c r="G1098">
        <v>60</v>
      </c>
      <c r="H1098">
        <v>60</v>
      </c>
      <c r="I1098">
        <v>1</v>
      </c>
      <c r="J1098">
        <v>1</v>
      </c>
      <c r="K1098" t="s">
        <v>86</v>
      </c>
      <c r="P1098">
        <v>0</v>
      </c>
      <c r="R1098">
        <v>0</v>
      </c>
      <c r="T1098">
        <v>0</v>
      </c>
      <c r="U1098" t="b">
        <v>0</v>
      </c>
      <c r="V1098">
        <v>7.5110864745010997E-2</v>
      </c>
      <c r="Y1098">
        <v>0</v>
      </c>
      <c r="Z1098">
        <v>1129</v>
      </c>
      <c r="AA1098">
        <v>3.6756722108891998E-3</v>
      </c>
      <c r="AB1098">
        <v>0.2829649979142887</v>
      </c>
      <c r="AC1098">
        <v>3.5393934480133001E-3</v>
      </c>
      <c r="AD1098">
        <v>4.2826610383723002E-3</v>
      </c>
      <c r="AE1098">
        <v>0</v>
      </c>
      <c r="AF1098" t="b">
        <v>0</v>
      </c>
    </row>
    <row r="1099" spans="1:35" x14ac:dyDescent="0.3">
      <c r="A1099" t="s">
        <v>2340</v>
      </c>
      <c r="B1099" t="s">
        <v>2341</v>
      </c>
      <c r="C1099" t="s">
        <v>549</v>
      </c>
      <c r="D1099">
        <v>4337</v>
      </c>
      <c r="E1099">
        <v>103321</v>
      </c>
      <c r="F1099">
        <v>12</v>
      </c>
      <c r="G1099">
        <v>60</v>
      </c>
      <c r="H1099">
        <v>60</v>
      </c>
      <c r="I1099">
        <v>1</v>
      </c>
      <c r="J1099">
        <v>1</v>
      </c>
      <c r="K1099" t="s">
        <v>86</v>
      </c>
      <c r="P1099">
        <v>0</v>
      </c>
      <c r="R1099">
        <v>0</v>
      </c>
      <c r="T1099">
        <v>1</v>
      </c>
      <c r="U1099" t="b">
        <v>1</v>
      </c>
      <c r="V1099">
        <v>7.0002066115702481</v>
      </c>
      <c r="W1099">
        <v>0</v>
      </c>
      <c r="X1099" t="b">
        <v>1</v>
      </c>
      <c r="Y1099">
        <v>0</v>
      </c>
      <c r="Z1099">
        <v>2112</v>
      </c>
      <c r="AA1099">
        <v>3.8257596203579797E-2</v>
      </c>
      <c r="AB1099">
        <v>3.0006943442772318</v>
      </c>
      <c r="AC1099">
        <v>1.0930322715784899E-2</v>
      </c>
      <c r="AD1099">
        <v>6.6863099816205002E-2</v>
      </c>
      <c r="AE1099">
        <v>1</v>
      </c>
      <c r="AF1099" t="b">
        <v>1</v>
      </c>
      <c r="AG1099">
        <v>0</v>
      </c>
      <c r="AH1099">
        <v>0</v>
      </c>
      <c r="AI1099" t="b">
        <v>1</v>
      </c>
    </row>
    <row r="1100" spans="1:35" x14ac:dyDescent="0.3">
      <c r="A1100" t="s">
        <v>2342</v>
      </c>
      <c r="B1100" t="s">
        <v>2343</v>
      </c>
      <c r="C1100" t="s">
        <v>549</v>
      </c>
      <c r="D1100">
        <v>1118</v>
      </c>
      <c r="E1100">
        <v>30407</v>
      </c>
      <c r="F1100">
        <v>6</v>
      </c>
      <c r="G1100">
        <v>60</v>
      </c>
      <c r="H1100">
        <v>60</v>
      </c>
      <c r="I1100">
        <v>1</v>
      </c>
      <c r="J1100">
        <v>1</v>
      </c>
      <c r="K1100" t="s">
        <v>432</v>
      </c>
      <c r="L1100">
        <v>0.82923576964747059</v>
      </c>
      <c r="M1100">
        <v>1</v>
      </c>
      <c r="N1100">
        <v>1</v>
      </c>
      <c r="O1100" t="s">
        <v>433</v>
      </c>
      <c r="P1100">
        <v>0</v>
      </c>
      <c r="R1100">
        <v>0</v>
      </c>
      <c r="T1100">
        <v>0</v>
      </c>
      <c r="U1100" t="b">
        <v>0</v>
      </c>
      <c r="V1100">
        <v>6.9938117438117438</v>
      </c>
      <c r="Y1100">
        <v>0</v>
      </c>
      <c r="Z1100">
        <v>612</v>
      </c>
      <c r="AA1100">
        <v>3.9840859651108902E-2</v>
      </c>
      <c r="AB1100">
        <v>2.7108322921471721</v>
      </c>
      <c r="AC1100">
        <v>3.5581111057393002E-3</v>
      </c>
      <c r="AD1100">
        <v>7.7104559836866801E-2</v>
      </c>
      <c r="AE1100">
        <v>0</v>
      </c>
      <c r="AF1100" t="b">
        <v>0</v>
      </c>
    </row>
    <row r="1101" spans="1:35" x14ac:dyDescent="0.3">
      <c r="A1101" t="s">
        <v>2344</v>
      </c>
      <c r="B1101" t="s">
        <v>2345</v>
      </c>
      <c r="C1101" t="s">
        <v>549</v>
      </c>
      <c r="D1101">
        <v>1378</v>
      </c>
      <c r="E1101">
        <v>41587</v>
      </c>
      <c r="F1101">
        <v>219</v>
      </c>
      <c r="G1101">
        <v>48</v>
      </c>
      <c r="H1101">
        <v>1</v>
      </c>
      <c r="I1101">
        <v>1.71928727727414E-2</v>
      </c>
      <c r="J1101">
        <v>0.2369370417781915</v>
      </c>
      <c r="K1101" t="s">
        <v>86</v>
      </c>
      <c r="P1101">
        <v>0</v>
      </c>
      <c r="R1101">
        <v>0</v>
      </c>
      <c r="T1101">
        <v>0</v>
      </c>
      <c r="U1101" t="b">
        <v>0</v>
      </c>
      <c r="V1101">
        <v>4.9252995642701531</v>
      </c>
      <c r="Y1101">
        <v>0</v>
      </c>
      <c r="Z1101">
        <v>1158</v>
      </c>
      <c r="AA1101">
        <v>0.1029856446641534</v>
      </c>
      <c r="AB1101">
        <v>5.5073129830254182</v>
      </c>
      <c r="AC1101">
        <v>8.1218864246166006E-2</v>
      </c>
      <c r="AD1101">
        <v>0.13617283697933949</v>
      </c>
      <c r="AE1101">
        <v>0</v>
      </c>
      <c r="AF1101" t="b">
        <v>0</v>
      </c>
    </row>
    <row r="1102" spans="1:35" x14ac:dyDescent="0.3">
      <c r="A1102" t="s">
        <v>2346</v>
      </c>
      <c r="B1102" t="s">
        <v>2347</v>
      </c>
      <c r="C1102" t="s">
        <v>549</v>
      </c>
      <c r="D1102">
        <v>2484</v>
      </c>
      <c r="E1102">
        <v>94752</v>
      </c>
      <c r="F1102">
        <v>317</v>
      </c>
      <c r="G1102">
        <v>51</v>
      </c>
      <c r="H1102">
        <v>1</v>
      </c>
      <c r="I1102">
        <v>1.76249577845322E-2</v>
      </c>
      <c r="J1102">
        <v>0.18580257704924771</v>
      </c>
      <c r="K1102" t="s">
        <v>432</v>
      </c>
      <c r="L1102">
        <v>0.82125191530495767</v>
      </c>
      <c r="M1102">
        <v>0.9788862041192038</v>
      </c>
      <c r="N1102">
        <v>1.3185409649265499E-2</v>
      </c>
      <c r="O1102" t="s">
        <v>518</v>
      </c>
      <c r="P1102">
        <v>78808</v>
      </c>
      <c r="Q1102">
        <v>3.7699218353466603E-2</v>
      </c>
      <c r="R1102">
        <v>367</v>
      </c>
      <c r="S1102">
        <v>0</v>
      </c>
      <c r="T1102">
        <v>0</v>
      </c>
      <c r="U1102" t="b">
        <v>0</v>
      </c>
      <c r="V1102">
        <v>5.5509163808400972</v>
      </c>
      <c r="Y1102">
        <v>0</v>
      </c>
      <c r="Z1102">
        <v>2048</v>
      </c>
      <c r="AA1102">
        <v>2.0043821556099101E-2</v>
      </c>
      <c r="AB1102">
        <v>1.2102451619826851</v>
      </c>
      <c r="AC1102">
        <v>-9.0014218149172993E-3</v>
      </c>
      <c r="AD1102">
        <v>4.9672916742808403E-2</v>
      </c>
      <c r="AE1102">
        <v>0</v>
      </c>
      <c r="AF1102" t="b">
        <v>0</v>
      </c>
    </row>
    <row r="1103" spans="1:35" x14ac:dyDescent="0.3">
      <c r="A1103" t="s">
        <v>2348</v>
      </c>
      <c r="B1103" t="s">
        <v>2349</v>
      </c>
      <c r="C1103" t="s">
        <v>549</v>
      </c>
      <c r="D1103">
        <v>4705</v>
      </c>
      <c r="E1103">
        <v>185513</v>
      </c>
      <c r="F1103">
        <v>431</v>
      </c>
      <c r="G1103">
        <v>51</v>
      </c>
      <c r="H1103">
        <v>1</v>
      </c>
      <c r="I1103">
        <v>2.93618236996868E-2</v>
      </c>
      <c r="J1103">
        <v>0.19528646079761111</v>
      </c>
      <c r="K1103" t="s">
        <v>432</v>
      </c>
      <c r="L1103">
        <v>0.82003280446645432</v>
      </c>
      <c r="M1103">
        <v>0.99976630736423922</v>
      </c>
      <c r="N1103">
        <v>1.8732570439465301E-2</v>
      </c>
      <c r="O1103" t="s">
        <v>433</v>
      </c>
      <c r="P1103">
        <v>123838</v>
      </c>
      <c r="Q1103">
        <v>0.40028908735606189</v>
      </c>
      <c r="R1103">
        <v>6</v>
      </c>
      <c r="S1103">
        <v>0.1666666666666666</v>
      </c>
      <c r="T1103">
        <v>0</v>
      </c>
      <c r="U1103" t="b">
        <v>0</v>
      </c>
      <c r="V1103">
        <v>9.1274676357325344</v>
      </c>
      <c r="Y1103">
        <v>0</v>
      </c>
      <c r="Z1103">
        <v>3642</v>
      </c>
      <c r="AA1103">
        <v>0.1058143172092787</v>
      </c>
      <c r="AB1103">
        <v>6.8722871266043741</v>
      </c>
      <c r="AC1103">
        <v>5.1374622321494798E-2</v>
      </c>
      <c r="AD1103">
        <v>0.16050570301615361</v>
      </c>
      <c r="AE1103">
        <v>0</v>
      </c>
      <c r="AF1103" t="b">
        <v>0</v>
      </c>
    </row>
    <row r="1104" spans="1:35" x14ac:dyDescent="0.3">
      <c r="A1104" t="s">
        <v>2350</v>
      </c>
      <c r="B1104" t="s">
        <v>2351</v>
      </c>
      <c r="C1104" t="s">
        <v>549</v>
      </c>
      <c r="D1104">
        <v>8043</v>
      </c>
      <c r="E1104">
        <v>246158</v>
      </c>
      <c r="F1104">
        <v>34</v>
      </c>
      <c r="G1104">
        <v>60</v>
      </c>
      <c r="H1104">
        <v>60</v>
      </c>
      <c r="I1104">
        <v>1</v>
      </c>
      <c r="J1104">
        <v>1</v>
      </c>
      <c r="K1104" t="s">
        <v>432</v>
      </c>
      <c r="L1104">
        <v>0.82485209401183246</v>
      </c>
      <c r="M1104">
        <v>1</v>
      </c>
      <c r="N1104">
        <v>1</v>
      </c>
      <c r="O1104" t="s">
        <v>518</v>
      </c>
      <c r="P1104">
        <v>0</v>
      </c>
      <c r="R1104">
        <v>0</v>
      </c>
      <c r="T1104">
        <v>0</v>
      </c>
      <c r="U1104" t="b">
        <v>0</v>
      </c>
      <c r="V1104">
        <v>8.7855314573133576</v>
      </c>
      <c r="Y1104">
        <v>0</v>
      </c>
      <c r="Z1104">
        <v>3146</v>
      </c>
      <c r="AA1104">
        <v>3.9435457597330102E-2</v>
      </c>
      <c r="AB1104">
        <v>3.2931681607298011</v>
      </c>
      <c r="AC1104">
        <v>3.7449507361704002E-3</v>
      </c>
      <c r="AD1104">
        <v>7.3647708005585399E-2</v>
      </c>
      <c r="AE1104">
        <v>0</v>
      </c>
      <c r="AF1104" t="b">
        <v>0</v>
      </c>
    </row>
    <row r="1105" spans="1:35" x14ac:dyDescent="0.3">
      <c r="A1105" t="s">
        <v>2352</v>
      </c>
      <c r="B1105" t="s">
        <v>2353</v>
      </c>
      <c r="C1105" t="s">
        <v>549</v>
      </c>
      <c r="D1105">
        <v>31661</v>
      </c>
      <c r="E1105">
        <v>966077</v>
      </c>
      <c r="F1105">
        <v>473</v>
      </c>
      <c r="G1105">
        <v>53</v>
      </c>
      <c r="H1105">
        <v>1</v>
      </c>
      <c r="I1105">
        <v>1.64169108673532E-2</v>
      </c>
      <c r="J1105">
        <v>8.4846528987410005E-2</v>
      </c>
      <c r="K1105" t="s">
        <v>86</v>
      </c>
      <c r="P1105">
        <v>0</v>
      </c>
      <c r="R1105">
        <v>0</v>
      </c>
      <c r="T1105">
        <v>2</v>
      </c>
      <c r="U1105" t="b">
        <v>1</v>
      </c>
      <c r="V1105">
        <v>10.74628105694504</v>
      </c>
      <c r="W1105">
        <v>11.85079655903918</v>
      </c>
      <c r="X1105" t="b">
        <v>0</v>
      </c>
      <c r="Y1105">
        <v>0</v>
      </c>
      <c r="Z1105">
        <v>10352</v>
      </c>
      <c r="AA1105">
        <v>7.8888985128184402E-2</v>
      </c>
      <c r="AB1105">
        <v>5.1787745810250554</v>
      </c>
      <c r="AC1105">
        <v>2.36280477009028E-2</v>
      </c>
      <c r="AD1105">
        <v>0.13643586098991101</v>
      </c>
      <c r="AE1105">
        <v>2</v>
      </c>
      <c r="AF1105" t="b">
        <v>1</v>
      </c>
      <c r="AG1105">
        <v>1.7955030402359299E-2</v>
      </c>
      <c r="AH1105">
        <v>1.708599052546443</v>
      </c>
      <c r="AI1105" t="b">
        <v>1</v>
      </c>
    </row>
    <row r="1106" spans="1:35" x14ac:dyDescent="0.3">
      <c r="A1106" t="s">
        <v>2354</v>
      </c>
      <c r="B1106" t="s">
        <v>2355</v>
      </c>
      <c r="C1106" t="s">
        <v>549</v>
      </c>
      <c r="D1106">
        <v>1504</v>
      </c>
      <c r="E1106">
        <v>30048</v>
      </c>
      <c r="F1106">
        <v>8</v>
      </c>
      <c r="G1106">
        <v>60</v>
      </c>
      <c r="H1106">
        <v>60</v>
      </c>
      <c r="I1106">
        <v>1</v>
      </c>
      <c r="J1106">
        <v>1</v>
      </c>
      <c r="K1106" t="s">
        <v>432</v>
      </c>
      <c r="L1106">
        <v>0.86000429599398565</v>
      </c>
      <c r="M1106">
        <v>1</v>
      </c>
      <c r="N1106">
        <v>1</v>
      </c>
      <c r="O1106" t="s">
        <v>433</v>
      </c>
      <c r="P1106">
        <v>0</v>
      </c>
      <c r="R1106">
        <v>0</v>
      </c>
      <c r="T1106">
        <v>0</v>
      </c>
      <c r="U1106" t="b">
        <v>0</v>
      </c>
      <c r="V1106">
        <v>8.5577381707088822</v>
      </c>
      <c r="Y1106">
        <v>0</v>
      </c>
      <c r="Z1106">
        <v>812</v>
      </c>
      <c r="AA1106">
        <v>1.7863683981603099E-2</v>
      </c>
      <c r="AB1106">
        <v>1.4471578471608399</v>
      </c>
      <c r="AC1106">
        <v>5.3041199405036996E-3</v>
      </c>
      <c r="AD1106">
        <v>3.0040467906123702E-2</v>
      </c>
      <c r="AE1106">
        <v>0</v>
      </c>
      <c r="AF1106" t="b">
        <v>0</v>
      </c>
    </row>
    <row r="1107" spans="1:35" x14ac:dyDescent="0.3">
      <c r="A1107" t="s">
        <v>2356</v>
      </c>
      <c r="B1107" t="s">
        <v>2357</v>
      </c>
      <c r="C1107" t="s">
        <v>549</v>
      </c>
      <c r="D1107">
        <v>3980</v>
      </c>
      <c r="E1107">
        <v>140885</v>
      </c>
      <c r="F1107">
        <v>464</v>
      </c>
      <c r="G1107">
        <v>45</v>
      </c>
      <c r="H1107">
        <v>1</v>
      </c>
      <c r="I1107">
        <v>1.87741775206728E-2</v>
      </c>
      <c r="J1107">
        <v>0.15205142175355349</v>
      </c>
      <c r="K1107" t="s">
        <v>432</v>
      </c>
      <c r="L1107">
        <v>0.8642454671475962</v>
      </c>
      <c r="M1107">
        <v>1</v>
      </c>
      <c r="N1107">
        <v>1.8856782616328699E-2</v>
      </c>
      <c r="O1107" t="s">
        <v>433</v>
      </c>
      <c r="P1107">
        <v>88626</v>
      </c>
      <c r="Q1107">
        <v>0.29223929772301582</v>
      </c>
      <c r="R1107">
        <v>0</v>
      </c>
      <c r="T1107">
        <v>0</v>
      </c>
      <c r="U1107" t="b">
        <v>0</v>
      </c>
      <c r="V1107">
        <v>9.5167862177237179</v>
      </c>
      <c r="Y1107">
        <v>0</v>
      </c>
      <c r="Z1107">
        <v>3304</v>
      </c>
      <c r="AA1107">
        <v>6.7087399703797193E-2</v>
      </c>
      <c r="AB1107">
        <v>3.7096346459211942</v>
      </c>
      <c r="AC1107">
        <v>2.21312563852822E-2</v>
      </c>
      <c r="AD1107">
        <v>0.1106994061105059</v>
      </c>
      <c r="AE1107">
        <v>0</v>
      </c>
      <c r="AF1107" t="b">
        <v>0</v>
      </c>
    </row>
    <row r="1108" spans="1:35" x14ac:dyDescent="0.3">
      <c r="A1108" t="s">
        <v>2358</v>
      </c>
      <c r="B1108" t="s">
        <v>2359</v>
      </c>
      <c r="C1108" t="s">
        <v>549</v>
      </c>
      <c r="D1108">
        <v>1093</v>
      </c>
      <c r="E1108">
        <v>17091</v>
      </c>
      <c r="F1108">
        <v>8</v>
      </c>
      <c r="G1108">
        <v>60</v>
      </c>
      <c r="H1108">
        <v>60</v>
      </c>
      <c r="I1108">
        <v>1</v>
      </c>
      <c r="J1108">
        <v>1</v>
      </c>
      <c r="K1108" t="s">
        <v>432</v>
      </c>
      <c r="L1108">
        <v>0.83731841245568916</v>
      </c>
      <c r="M1108">
        <v>1</v>
      </c>
      <c r="N1108">
        <v>1</v>
      </c>
      <c r="O1108" t="s">
        <v>433</v>
      </c>
      <c r="P1108">
        <v>0</v>
      </c>
      <c r="R1108">
        <v>0</v>
      </c>
      <c r="T1108">
        <v>0</v>
      </c>
      <c r="U1108" t="b">
        <v>0</v>
      </c>
      <c r="V1108">
        <v>1.290322580645161</v>
      </c>
      <c r="Y1108">
        <v>0</v>
      </c>
      <c r="Z1108">
        <v>539</v>
      </c>
      <c r="AA1108">
        <v>-4.6539818602929999E-4</v>
      </c>
      <c r="AB1108">
        <v>-3.7989221662691003E-2</v>
      </c>
      <c r="AC1108">
        <v>-7.4023519529609E-3</v>
      </c>
      <c r="AD1108">
        <v>6.5914364058214997E-3</v>
      </c>
      <c r="AE1108">
        <v>0</v>
      </c>
      <c r="AF1108" t="b">
        <v>0</v>
      </c>
    </row>
    <row r="1109" spans="1:35" x14ac:dyDescent="0.3">
      <c r="A1109" t="s">
        <v>2360</v>
      </c>
      <c r="B1109" t="s">
        <v>2361</v>
      </c>
      <c r="C1109" t="s">
        <v>549</v>
      </c>
      <c r="D1109">
        <v>1213</v>
      </c>
      <c r="E1109">
        <v>23460</v>
      </c>
      <c r="F1109">
        <v>6</v>
      </c>
      <c r="G1109">
        <v>60</v>
      </c>
      <c r="H1109">
        <v>60</v>
      </c>
      <c r="I1109">
        <v>1</v>
      </c>
      <c r="J1109">
        <v>1</v>
      </c>
      <c r="K1109" t="s">
        <v>432</v>
      </c>
      <c r="L1109">
        <v>0.84903724747474751</v>
      </c>
      <c r="M1109">
        <v>1</v>
      </c>
      <c r="N1109">
        <v>1</v>
      </c>
      <c r="O1109" t="s">
        <v>433</v>
      </c>
      <c r="P1109">
        <v>0</v>
      </c>
      <c r="R1109">
        <v>0</v>
      </c>
      <c r="T1109">
        <v>0</v>
      </c>
      <c r="U1109" t="b">
        <v>0</v>
      </c>
      <c r="V1109">
        <v>1.950503355704698</v>
      </c>
      <c r="Y1109">
        <v>0</v>
      </c>
      <c r="Z1109">
        <v>777</v>
      </c>
      <c r="AA1109">
        <v>-3.5678314542880001E-3</v>
      </c>
      <c r="AB1109">
        <v>-0.24649950070118129</v>
      </c>
      <c r="AC1109">
        <v>-1.47293700088731E-2</v>
      </c>
      <c r="AD1109">
        <v>6.3373507610479003E-3</v>
      </c>
      <c r="AE1109">
        <v>0</v>
      </c>
      <c r="AF1109" t="b">
        <v>0</v>
      </c>
    </row>
    <row r="1110" spans="1:35" x14ac:dyDescent="0.3">
      <c r="A1110" t="s">
        <v>2362</v>
      </c>
      <c r="B1110" t="s">
        <v>2363</v>
      </c>
      <c r="C1110" t="s">
        <v>549</v>
      </c>
      <c r="D1110">
        <v>2531</v>
      </c>
      <c r="E1110">
        <v>73927</v>
      </c>
      <c r="F1110">
        <v>20</v>
      </c>
      <c r="G1110">
        <v>60</v>
      </c>
      <c r="H1110">
        <v>60</v>
      </c>
      <c r="I1110">
        <v>1</v>
      </c>
      <c r="J1110">
        <v>1</v>
      </c>
      <c r="K1110" t="s">
        <v>432</v>
      </c>
      <c r="L1110">
        <v>0.76086423286047178</v>
      </c>
      <c r="M1110">
        <v>1</v>
      </c>
      <c r="N1110">
        <v>1</v>
      </c>
      <c r="O1110" t="s">
        <v>518</v>
      </c>
      <c r="P1110">
        <v>0</v>
      </c>
      <c r="R1110">
        <v>0</v>
      </c>
      <c r="T1110">
        <v>0</v>
      </c>
      <c r="U1110" t="b">
        <v>0</v>
      </c>
      <c r="V1110">
        <v>6.9405193826681426</v>
      </c>
      <c r="Y1110">
        <v>0</v>
      </c>
      <c r="Z1110">
        <v>1730</v>
      </c>
      <c r="AA1110">
        <v>5.8172832721766203E-2</v>
      </c>
      <c r="AB1110">
        <v>4.527378126237358</v>
      </c>
      <c r="AC1110">
        <v>3.2738295531019403E-2</v>
      </c>
      <c r="AD1110">
        <v>8.3775446985744295E-2</v>
      </c>
      <c r="AE1110">
        <v>0</v>
      </c>
      <c r="AF1110" t="b">
        <v>0</v>
      </c>
    </row>
    <row r="1111" spans="1:35" x14ac:dyDescent="0.3">
      <c r="A1111" t="s">
        <v>2364</v>
      </c>
      <c r="B1111" t="s">
        <v>2365</v>
      </c>
      <c r="C1111" t="s">
        <v>549</v>
      </c>
      <c r="D1111">
        <v>259</v>
      </c>
      <c r="E1111">
        <v>7949</v>
      </c>
      <c r="F1111">
        <v>315</v>
      </c>
      <c r="G1111">
        <v>42</v>
      </c>
      <c r="H1111">
        <v>1</v>
      </c>
      <c r="I1111">
        <v>4.9188577179519397E-2</v>
      </c>
      <c r="J1111">
        <v>0.2387914230019493</v>
      </c>
      <c r="K1111" t="s">
        <v>432</v>
      </c>
      <c r="L1111">
        <v>0.77095516569200784</v>
      </c>
      <c r="M1111">
        <v>1</v>
      </c>
      <c r="N1111">
        <v>1.2642225031605499E-2</v>
      </c>
      <c r="O1111" t="s">
        <v>433</v>
      </c>
      <c r="P1111">
        <v>6248</v>
      </c>
      <c r="Q1111">
        <v>1</v>
      </c>
      <c r="R1111">
        <v>0</v>
      </c>
      <c r="T1111">
        <v>0</v>
      </c>
      <c r="U1111" t="b">
        <v>0</v>
      </c>
      <c r="V1111">
        <v>15.796428571428571</v>
      </c>
      <c r="Y1111">
        <v>0</v>
      </c>
      <c r="Z1111">
        <v>103</v>
      </c>
      <c r="AA1111">
        <v>8.3883233195148205E-2</v>
      </c>
      <c r="AB1111">
        <v>8.0779010633379578</v>
      </c>
      <c r="AC1111">
        <v>9.6661581788312606E-2</v>
      </c>
      <c r="AD1111">
        <v>8.7805773314805505E-2</v>
      </c>
      <c r="AE1111">
        <v>0</v>
      </c>
      <c r="AF1111" t="b">
        <v>0</v>
      </c>
    </row>
    <row r="1112" spans="1:35" x14ac:dyDescent="0.3">
      <c r="A1112" t="s">
        <v>2366</v>
      </c>
      <c r="B1112" t="s">
        <v>2367</v>
      </c>
      <c r="C1112" t="s">
        <v>549</v>
      </c>
      <c r="D1112">
        <v>342</v>
      </c>
      <c r="E1112">
        <v>15675</v>
      </c>
      <c r="F1112">
        <v>271</v>
      </c>
      <c r="G1112">
        <v>44</v>
      </c>
      <c r="H1112">
        <v>1</v>
      </c>
      <c r="I1112">
        <v>3.7958532695374803E-2</v>
      </c>
      <c r="J1112">
        <v>0.2385590310295311</v>
      </c>
      <c r="K1112" t="s">
        <v>432</v>
      </c>
      <c r="L1112">
        <v>0.77723668602110263</v>
      </c>
      <c r="M1112">
        <v>1</v>
      </c>
      <c r="N1112">
        <v>2.03229175034139E-2</v>
      </c>
      <c r="O1112" t="s">
        <v>433</v>
      </c>
      <c r="P1112">
        <v>12196</v>
      </c>
      <c r="Q1112">
        <v>0.94949163660216462</v>
      </c>
      <c r="R1112">
        <v>0</v>
      </c>
      <c r="T1112">
        <v>0</v>
      </c>
      <c r="U1112" t="b">
        <v>0</v>
      </c>
      <c r="V1112">
        <v>6.3333333333333339</v>
      </c>
      <c r="Y1112">
        <v>0</v>
      </c>
      <c r="Z1112">
        <v>516</v>
      </c>
      <c r="AA1112">
        <v>3.2649489993865001E-2</v>
      </c>
      <c r="AB1112">
        <v>1.9706487633813221</v>
      </c>
      <c r="AC1112">
        <v>1.9995999774346199E-2</v>
      </c>
      <c r="AD1112">
        <v>5.3636701012610699E-2</v>
      </c>
      <c r="AE1112">
        <v>0</v>
      </c>
      <c r="AF1112" t="b">
        <v>0</v>
      </c>
    </row>
    <row r="1113" spans="1:35" x14ac:dyDescent="0.3">
      <c r="A1113" t="s">
        <v>2368</v>
      </c>
      <c r="B1113" t="s">
        <v>2369</v>
      </c>
      <c r="C1113" t="s">
        <v>549</v>
      </c>
      <c r="D1113">
        <v>502</v>
      </c>
      <c r="E1113">
        <v>11748</v>
      </c>
      <c r="F1113">
        <v>193</v>
      </c>
      <c r="G1113">
        <v>41</v>
      </c>
      <c r="H1113">
        <v>1</v>
      </c>
      <c r="I1113">
        <v>4.49438202247191E-2</v>
      </c>
      <c r="J1113">
        <v>0.2522448979591837</v>
      </c>
      <c r="K1113" t="s">
        <v>432</v>
      </c>
      <c r="L1113">
        <v>0.75779591836734694</v>
      </c>
      <c r="M1113">
        <v>1</v>
      </c>
      <c r="N1113">
        <v>1.3250026930949E-2</v>
      </c>
      <c r="O1113" t="s">
        <v>433</v>
      </c>
      <c r="P1113">
        <v>9160</v>
      </c>
      <c r="Q1113">
        <v>1</v>
      </c>
      <c r="R1113">
        <v>0</v>
      </c>
      <c r="T1113">
        <v>0</v>
      </c>
      <c r="U1113" t="b">
        <v>0</v>
      </c>
      <c r="V1113">
        <v>4.5562500000000004</v>
      </c>
      <c r="Y1113">
        <v>0</v>
      </c>
      <c r="Z1113">
        <v>277</v>
      </c>
      <c r="AA1113">
        <v>4.2233969111580401E-2</v>
      </c>
      <c r="AB1113">
        <v>3.0289023551658931</v>
      </c>
      <c r="AC1113">
        <v>-1.19722493530554E-2</v>
      </c>
      <c r="AD1113">
        <v>5.9872404734615997E-2</v>
      </c>
      <c r="AE1113">
        <v>0</v>
      </c>
      <c r="AF1113" t="b">
        <v>0</v>
      </c>
    </row>
    <row r="1114" spans="1:35" x14ac:dyDescent="0.3">
      <c r="A1114" t="s">
        <v>2370</v>
      </c>
      <c r="B1114" t="s">
        <v>2371</v>
      </c>
      <c r="C1114" t="s">
        <v>549</v>
      </c>
      <c r="D1114">
        <v>1086</v>
      </c>
      <c r="E1114">
        <v>58061</v>
      </c>
      <c r="F1114">
        <v>312</v>
      </c>
      <c r="G1114">
        <v>40</v>
      </c>
      <c r="H1114">
        <v>1</v>
      </c>
      <c r="I1114">
        <v>1.45192125523156E-2</v>
      </c>
      <c r="J1114">
        <v>0.16597917230186629</v>
      </c>
      <c r="K1114" t="s">
        <v>432</v>
      </c>
      <c r="L1114">
        <v>0.84379226399783613</v>
      </c>
      <c r="M1114">
        <v>1</v>
      </c>
      <c r="N1114">
        <v>1.15803814713896E-2</v>
      </c>
      <c r="O1114" t="s">
        <v>433</v>
      </c>
      <c r="P1114">
        <v>49334</v>
      </c>
      <c r="Q1114">
        <v>0.96852069566627474</v>
      </c>
      <c r="R1114">
        <v>0</v>
      </c>
      <c r="T1114">
        <v>0</v>
      </c>
      <c r="U1114" t="b">
        <v>0</v>
      </c>
      <c r="V1114">
        <v>6.329097607202085</v>
      </c>
      <c r="Y1114">
        <v>0</v>
      </c>
      <c r="Z1114">
        <v>1930</v>
      </c>
      <c r="AA1114">
        <v>7.6919183602960198E-2</v>
      </c>
      <c r="AB1114">
        <v>3.8290143755391028</v>
      </c>
      <c r="AC1114">
        <v>5.5051116880983603E-2</v>
      </c>
      <c r="AD1114">
        <v>9.85611919522347E-2</v>
      </c>
      <c r="AE1114">
        <v>0</v>
      </c>
      <c r="AF1114" t="b">
        <v>0</v>
      </c>
    </row>
    <row r="1115" spans="1:35" x14ac:dyDescent="0.3">
      <c r="A1115" t="s">
        <v>2372</v>
      </c>
      <c r="B1115" t="s">
        <v>2373</v>
      </c>
      <c r="C1115" t="s">
        <v>549</v>
      </c>
      <c r="D1115">
        <v>66</v>
      </c>
      <c r="E1115">
        <v>2730</v>
      </c>
      <c r="F1115">
        <v>130</v>
      </c>
      <c r="G1115">
        <v>35</v>
      </c>
      <c r="H1115">
        <v>1</v>
      </c>
      <c r="I1115">
        <v>6.6300366300366301E-2</v>
      </c>
      <c r="J1115">
        <v>0.2407010014306151</v>
      </c>
      <c r="K1115" t="s">
        <v>432</v>
      </c>
      <c r="L1115">
        <v>0.76001430615164522</v>
      </c>
      <c r="M1115">
        <v>1</v>
      </c>
      <c r="N1115">
        <v>9.4117647058819998E-4</v>
      </c>
      <c r="O1115" t="s">
        <v>433</v>
      </c>
      <c r="P1115">
        <v>2123</v>
      </c>
      <c r="Q1115">
        <v>0.90390956194064997</v>
      </c>
      <c r="R1115">
        <v>0</v>
      </c>
      <c r="T1115">
        <v>0</v>
      </c>
      <c r="U1115" t="b">
        <v>0</v>
      </c>
      <c r="V1115">
        <v>9.0277777777777803</v>
      </c>
      <c r="Y1115">
        <v>0</v>
      </c>
      <c r="Z1115">
        <v>133</v>
      </c>
      <c r="AA1115">
        <v>5.22387791095274E-2</v>
      </c>
      <c r="AB1115">
        <v>2.9446174961212548</v>
      </c>
      <c r="AC1115">
        <v>9.3526170798897995E-2</v>
      </c>
      <c r="AD1115">
        <v>7.0049099836333895E-2</v>
      </c>
      <c r="AE1115">
        <v>0</v>
      </c>
      <c r="AF1115" t="b">
        <v>0</v>
      </c>
    </row>
    <row r="1116" spans="1:35" x14ac:dyDescent="0.3">
      <c r="A1116" t="s">
        <v>2374</v>
      </c>
      <c r="B1116" t="s">
        <v>2375</v>
      </c>
      <c r="C1116" t="s">
        <v>431</v>
      </c>
      <c r="D1116">
        <v>117</v>
      </c>
      <c r="E1116">
        <v>1115</v>
      </c>
      <c r="F1116">
        <v>17</v>
      </c>
      <c r="G1116">
        <v>120</v>
      </c>
      <c r="H1116">
        <v>60</v>
      </c>
      <c r="I1116">
        <v>1</v>
      </c>
      <c r="J1116">
        <v>1</v>
      </c>
      <c r="K1116" t="s">
        <v>86</v>
      </c>
      <c r="P1116">
        <v>0</v>
      </c>
      <c r="R1116">
        <v>0</v>
      </c>
      <c r="T1116">
        <v>0</v>
      </c>
      <c r="U1116" t="b">
        <v>0</v>
      </c>
      <c r="Y1116">
        <v>0.320862676056338</v>
      </c>
      <c r="Z1116">
        <v>58</v>
      </c>
      <c r="AA1116">
        <v>0</v>
      </c>
      <c r="AB1116">
        <v>0</v>
      </c>
      <c r="AE1116">
        <v>0</v>
      </c>
      <c r="AF1116" t="b">
        <v>0</v>
      </c>
    </row>
    <row r="1117" spans="1:35" x14ac:dyDescent="0.3">
      <c r="A1117" t="s">
        <v>2376</v>
      </c>
      <c r="B1117" t="s">
        <v>2377</v>
      </c>
      <c r="C1117" t="s">
        <v>549</v>
      </c>
      <c r="D1117">
        <v>374</v>
      </c>
      <c r="E1117">
        <v>7476</v>
      </c>
      <c r="F1117">
        <v>229</v>
      </c>
      <c r="G1117">
        <v>46</v>
      </c>
      <c r="H1117">
        <v>1</v>
      </c>
      <c r="I1117">
        <v>5.95238095238095E-2</v>
      </c>
      <c r="J1117">
        <v>0.2796178343949044</v>
      </c>
      <c r="K1117" t="s">
        <v>432</v>
      </c>
      <c r="L1117">
        <v>0.72980891719745222</v>
      </c>
      <c r="M1117">
        <v>1</v>
      </c>
      <c r="N1117">
        <v>1.29167393960551E-2</v>
      </c>
      <c r="O1117" t="s">
        <v>433</v>
      </c>
      <c r="P1117">
        <v>5655</v>
      </c>
      <c r="Q1117">
        <v>0.99982316534040683</v>
      </c>
      <c r="R1117">
        <v>0</v>
      </c>
      <c r="T1117">
        <v>0</v>
      </c>
      <c r="U1117" t="b">
        <v>0</v>
      </c>
      <c r="V1117">
        <v>8.695652173913043</v>
      </c>
      <c r="Y1117">
        <v>0</v>
      </c>
      <c r="Z1117">
        <v>145</v>
      </c>
      <c r="AA1117">
        <v>9.6700191154263898E-2</v>
      </c>
      <c r="AB1117">
        <v>7.1188013136288992</v>
      </c>
      <c r="AC1117">
        <v>6.8757126567844898E-2</v>
      </c>
      <c r="AD1117">
        <v>0.13425925925925919</v>
      </c>
      <c r="AE1117">
        <v>0</v>
      </c>
      <c r="AF1117" t="b">
        <v>0</v>
      </c>
    </row>
    <row r="1118" spans="1:35" x14ac:dyDescent="0.3">
      <c r="A1118" t="s">
        <v>2378</v>
      </c>
      <c r="B1118" t="s">
        <v>2379</v>
      </c>
      <c r="C1118" t="s">
        <v>549</v>
      </c>
      <c r="D1118">
        <v>4332</v>
      </c>
      <c r="E1118">
        <v>158454</v>
      </c>
      <c r="F1118">
        <v>488</v>
      </c>
      <c r="G1118">
        <v>39</v>
      </c>
      <c r="H1118">
        <v>1</v>
      </c>
      <c r="I1118">
        <v>2.29782776073813E-2</v>
      </c>
      <c r="J1118">
        <v>0.18439546398338921</v>
      </c>
      <c r="K1118" t="s">
        <v>432</v>
      </c>
      <c r="L1118">
        <v>0.82748516457189192</v>
      </c>
      <c r="M1118">
        <v>1</v>
      </c>
      <c r="N1118">
        <v>1.43575124533232E-2</v>
      </c>
      <c r="O1118" t="s">
        <v>433</v>
      </c>
      <c r="P1118">
        <v>132765</v>
      </c>
      <c r="Q1118">
        <v>0.94877414981358044</v>
      </c>
      <c r="R1118">
        <v>0</v>
      </c>
      <c r="T1118">
        <v>0</v>
      </c>
      <c r="U1118" t="b">
        <v>0</v>
      </c>
      <c r="V1118">
        <v>6.4141008762889689</v>
      </c>
      <c r="Y1118">
        <v>0</v>
      </c>
      <c r="Z1118">
        <v>3396</v>
      </c>
      <c r="AA1118">
        <v>7.6242133157147701E-2</v>
      </c>
      <c r="AB1118">
        <v>3.877363159708171</v>
      </c>
      <c r="AC1118">
        <v>4.7499024724429899E-2</v>
      </c>
      <c r="AD1118">
        <v>9.7158871223290297E-2</v>
      </c>
      <c r="AE1118">
        <v>0</v>
      </c>
      <c r="AF1118" t="b">
        <v>0</v>
      </c>
    </row>
    <row r="1119" spans="1:35" x14ac:dyDescent="0.3">
      <c r="A1119" t="s">
        <v>2380</v>
      </c>
      <c r="B1119" t="s">
        <v>2381</v>
      </c>
      <c r="C1119" t="s">
        <v>549</v>
      </c>
      <c r="D1119">
        <v>277</v>
      </c>
      <c r="E1119">
        <v>10018</v>
      </c>
      <c r="F1119">
        <v>224</v>
      </c>
      <c r="G1119">
        <v>48</v>
      </c>
      <c r="H1119">
        <v>1</v>
      </c>
      <c r="I1119">
        <v>4.3022559393092401E-2</v>
      </c>
      <c r="J1119">
        <v>0.2915007285089849</v>
      </c>
      <c r="K1119" t="s">
        <v>432</v>
      </c>
      <c r="L1119">
        <v>0.7130645944633317</v>
      </c>
      <c r="M1119">
        <v>1</v>
      </c>
      <c r="N1119">
        <v>6.4023974935294003E-3</v>
      </c>
      <c r="O1119" t="s">
        <v>433</v>
      </c>
      <c r="P1119">
        <v>7294</v>
      </c>
      <c r="Q1119">
        <v>0.9993145050726624</v>
      </c>
      <c r="R1119">
        <v>0</v>
      </c>
      <c r="T1119">
        <v>0</v>
      </c>
      <c r="U1119" t="b">
        <v>0</v>
      </c>
      <c r="V1119">
        <v>10.03212703962704</v>
      </c>
      <c r="Y1119">
        <v>0</v>
      </c>
      <c r="Z1119">
        <v>166</v>
      </c>
      <c r="AA1119">
        <v>6.3832489605460702E-2</v>
      </c>
      <c r="AB1119">
        <v>6.5768013507830378</v>
      </c>
      <c r="AC1119">
        <v>3.4218218471371901E-2</v>
      </c>
      <c r="AD1119">
        <v>0.10310591675044541</v>
      </c>
      <c r="AE1119">
        <v>0</v>
      </c>
      <c r="AF1119" t="b">
        <v>0</v>
      </c>
    </row>
    <row r="1120" spans="1:35" x14ac:dyDescent="0.3">
      <c r="A1120" t="s">
        <v>2382</v>
      </c>
      <c r="B1120" t="s">
        <v>2383</v>
      </c>
      <c r="C1120" t="s">
        <v>549</v>
      </c>
      <c r="D1120">
        <v>276</v>
      </c>
      <c r="E1120">
        <v>4757</v>
      </c>
      <c r="F1120">
        <v>132</v>
      </c>
      <c r="G1120">
        <v>44</v>
      </c>
      <c r="H1120">
        <v>1</v>
      </c>
      <c r="I1120">
        <v>2.9640529745638002E-2</v>
      </c>
      <c r="J1120">
        <v>0.21974965229485391</v>
      </c>
      <c r="K1120" t="s">
        <v>432</v>
      </c>
      <c r="L1120">
        <v>0.79117822372342539</v>
      </c>
      <c r="M1120">
        <v>1</v>
      </c>
      <c r="N1120">
        <v>1.3812154696132501E-2</v>
      </c>
      <c r="O1120" t="s">
        <v>433</v>
      </c>
      <c r="P1120">
        <v>3927</v>
      </c>
      <c r="Q1120">
        <v>1</v>
      </c>
      <c r="R1120">
        <v>0</v>
      </c>
      <c r="T1120">
        <v>0</v>
      </c>
      <c r="U1120" t="b">
        <v>0</v>
      </c>
      <c r="V1120">
        <v>8.0944841269841259</v>
      </c>
      <c r="Y1120">
        <v>0</v>
      </c>
      <c r="Z1120">
        <v>30</v>
      </c>
      <c r="AA1120">
        <v>0.1188450978034311</v>
      </c>
      <c r="AB1120">
        <v>17.113694083694089</v>
      </c>
      <c r="AC1120">
        <v>7.2748015873015798E-2</v>
      </c>
      <c r="AD1120">
        <v>0.1734540343915344</v>
      </c>
      <c r="AE1120">
        <v>0</v>
      </c>
      <c r="AF1120" t="b">
        <v>0</v>
      </c>
    </row>
    <row r="1121" spans="1:35" x14ac:dyDescent="0.3">
      <c r="A1121" t="s">
        <v>2384</v>
      </c>
      <c r="B1121" t="s">
        <v>2385</v>
      </c>
      <c r="C1121" t="s">
        <v>549</v>
      </c>
      <c r="D1121">
        <v>726</v>
      </c>
      <c r="E1121">
        <v>25190</v>
      </c>
      <c r="F1121">
        <v>306</v>
      </c>
      <c r="G1121">
        <v>37</v>
      </c>
      <c r="H1121">
        <v>1</v>
      </c>
      <c r="I1121">
        <v>3.6959110758237303E-2</v>
      </c>
      <c r="J1121">
        <v>0.2292502314100586</v>
      </c>
      <c r="K1121" t="s">
        <v>432</v>
      </c>
      <c r="L1121">
        <v>0.78212742980561556</v>
      </c>
      <c r="M1121">
        <v>1</v>
      </c>
      <c r="N1121">
        <v>1.4547068395877501E-2</v>
      </c>
      <c r="O1121" t="s">
        <v>433</v>
      </c>
      <c r="P1121">
        <v>19984</v>
      </c>
      <c r="Q1121">
        <v>0.96607285828662925</v>
      </c>
      <c r="R1121">
        <v>0</v>
      </c>
      <c r="T1121">
        <v>0</v>
      </c>
      <c r="U1121" t="b">
        <v>0</v>
      </c>
      <c r="V1121">
        <v>9.3746225045913487</v>
      </c>
      <c r="Y1121">
        <v>0</v>
      </c>
      <c r="Z1121">
        <v>635</v>
      </c>
      <c r="AA1121">
        <v>5.8934868661604599E-2</v>
      </c>
      <c r="AB1121">
        <v>3.3633680959563308</v>
      </c>
      <c r="AC1121">
        <v>9.3686037026254002E-3</v>
      </c>
      <c r="AD1121">
        <v>9.2476869605486497E-2</v>
      </c>
      <c r="AE1121">
        <v>0</v>
      </c>
      <c r="AF1121" t="b">
        <v>0</v>
      </c>
    </row>
    <row r="1122" spans="1:35" x14ac:dyDescent="0.3">
      <c r="A1122" t="s">
        <v>2386</v>
      </c>
      <c r="B1122" t="s">
        <v>2387</v>
      </c>
      <c r="C1122" t="s">
        <v>549</v>
      </c>
      <c r="D1122">
        <v>385</v>
      </c>
      <c r="E1122">
        <v>19363</v>
      </c>
      <c r="F1122">
        <v>241</v>
      </c>
      <c r="G1122">
        <v>39</v>
      </c>
      <c r="H1122">
        <v>1</v>
      </c>
      <c r="I1122">
        <v>1.44089242369467E-2</v>
      </c>
      <c r="J1122">
        <v>0.18411991087705079</v>
      </c>
      <c r="K1122" t="s">
        <v>432</v>
      </c>
      <c r="L1122">
        <v>0.82757747620012156</v>
      </c>
      <c r="M1122">
        <v>1</v>
      </c>
      <c r="N1122">
        <v>1.4134491831365101E-2</v>
      </c>
      <c r="O1122" t="s">
        <v>433</v>
      </c>
      <c r="P1122">
        <v>16112</v>
      </c>
      <c r="Q1122">
        <v>0.95785749751737836</v>
      </c>
      <c r="R1122">
        <v>0</v>
      </c>
      <c r="T1122">
        <v>0</v>
      </c>
      <c r="U1122" t="b">
        <v>0</v>
      </c>
      <c r="V1122">
        <v>2.9989523809523808</v>
      </c>
      <c r="Y1122">
        <v>0</v>
      </c>
      <c r="Z1122">
        <v>810</v>
      </c>
      <c r="AA1122">
        <v>4.6484982245328502E-2</v>
      </c>
      <c r="AB1122">
        <v>2.2827473966362861</v>
      </c>
      <c r="AC1122">
        <v>3.4233512070127002E-3</v>
      </c>
      <c r="AD1122">
        <v>9.12575874941466E-2</v>
      </c>
      <c r="AE1122">
        <v>0</v>
      </c>
      <c r="AF1122" t="b">
        <v>0</v>
      </c>
    </row>
    <row r="1123" spans="1:35" x14ac:dyDescent="0.3">
      <c r="A1123" t="s">
        <v>2388</v>
      </c>
      <c r="B1123" t="s">
        <v>2389</v>
      </c>
      <c r="C1123" t="s">
        <v>549</v>
      </c>
      <c r="D1123">
        <v>4347</v>
      </c>
      <c r="E1123">
        <v>182521</v>
      </c>
      <c r="F1123">
        <v>407</v>
      </c>
      <c r="G1123">
        <v>44</v>
      </c>
      <c r="H1123">
        <v>1</v>
      </c>
      <c r="I1123">
        <v>2.0041529467842E-2</v>
      </c>
      <c r="J1123">
        <v>0.19054626795384971</v>
      </c>
      <c r="K1123" t="s">
        <v>86</v>
      </c>
      <c r="P1123">
        <v>0</v>
      </c>
      <c r="R1123">
        <v>0</v>
      </c>
      <c r="T1123">
        <v>0</v>
      </c>
      <c r="U1123" t="b">
        <v>0</v>
      </c>
      <c r="V1123">
        <v>6.228594331555767</v>
      </c>
      <c r="Y1123">
        <v>0</v>
      </c>
      <c r="Z1123">
        <v>4267</v>
      </c>
      <c r="AA1123">
        <v>0.1145800876633034</v>
      </c>
      <c r="AB1123">
        <v>5.7795749378510219</v>
      </c>
      <c r="AC1123">
        <v>7.8960156932407294E-2</v>
      </c>
      <c r="AD1123">
        <v>0.1562360495242516</v>
      </c>
      <c r="AE1123">
        <v>0</v>
      </c>
      <c r="AF1123" t="b">
        <v>0</v>
      </c>
    </row>
    <row r="1124" spans="1:35" x14ac:dyDescent="0.3">
      <c r="A1124" t="s">
        <v>2390</v>
      </c>
      <c r="B1124" t="s">
        <v>2391</v>
      </c>
      <c r="C1124" t="s">
        <v>549</v>
      </c>
      <c r="D1124">
        <v>761</v>
      </c>
      <c r="E1124">
        <v>25481</v>
      </c>
      <c r="F1124">
        <v>224</v>
      </c>
      <c r="G1124">
        <v>51</v>
      </c>
      <c r="H1124">
        <v>1</v>
      </c>
      <c r="I1124">
        <v>1.35395000196224E-2</v>
      </c>
      <c r="J1124">
        <v>0.1457206005639814</v>
      </c>
      <c r="K1124" t="s">
        <v>432</v>
      </c>
      <c r="L1124">
        <v>0.8670833015776237</v>
      </c>
      <c r="M1124">
        <v>1</v>
      </c>
      <c r="N1124">
        <v>1.4766634437900999E-2</v>
      </c>
      <c r="O1124" t="s">
        <v>433</v>
      </c>
      <c r="P1124">
        <v>15563</v>
      </c>
      <c r="Q1124">
        <v>0.29711495213005201</v>
      </c>
      <c r="R1124">
        <v>0</v>
      </c>
      <c r="T1124">
        <v>0</v>
      </c>
      <c r="U1124" t="b">
        <v>0</v>
      </c>
      <c r="V1124">
        <v>1.700833333333333</v>
      </c>
      <c r="Y1124">
        <v>0</v>
      </c>
      <c r="Z1124">
        <v>1079</v>
      </c>
      <c r="AA1124">
        <v>-4.0640607600330001E-4</v>
      </c>
      <c r="AB1124">
        <v>-2.68977006928812E-2</v>
      </c>
      <c r="AC1124">
        <v>-6.2955815726367E-3</v>
      </c>
      <c r="AD1124">
        <v>4.3446809509093999E-3</v>
      </c>
      <c r="AE1124">
        <v>0</v>
      </c>
      <c r="AF1124" t="b">
        <v>0</v>
      </c>
    </row>
    <row r="1125" spans="1:35" x14ac:dyDescent="0.3">
      <c r="A1125" t="s">
        <v>2392</v>
      </c>
      <c r="B1125" t="s">
        <v>2393</v>
      </c>
      <c r="C1125" t="s">
        <v>549</v>
      </c>
      <c r="D1125">
        <v>502</v>
      </c>
      <c r="E1125">
        <v>11484</v>
      </c>
      <c r="F1125">
        <v>8</v>
      </c>
      <c r="G1125">
        <v>60</v>
      </c>
      <c r="H1125">
        <v>60</v>
      </c>
      <c r="I1125">
        <v>1</v>
      </c>
      <c r="J1125">
        <v>1</v>
      </c>
      <c r="K1125" t="s">
        <v>432</v>
      </c>
      <c r="L1125">
        <v>0.81651785714285718</v>
      </c>
      <c r="M1125">
        <v>1</v>
      </c>
      <c r="N1125">
        <v>1</v>
      </c>
      <c r="O1125" t="s">
        <v>433</v>
      </c>
      <c r="P1125">
        <v>0</v>
      </c>
      <c r="R1125">
        <v>0</v>
      </c>
      <c r="T1125">
        <v>0</v>
      </c>
      <c r="U1125" t="b">
        <v>0</v>
      </c>
      <c r="V1125">
        <v>6.5121107266435994</v>
      </c>
      <c r="Y1125">
        <v>0</v>
      </c>
      <c r="Z1125">
        <v>340</v>
      </c>
      <c r="AA1125">
        <v>-2.2017032557970001E-3</v>
      </c>
      <c r="AB1125">
        <v>-0.16981792717086819</v>
      </c>
      <c r="AC1125">
        <v>-1.53325435775935E-2</v>
      </c>
      <c r="AD1125">
        <v>1.50687377254061E-2</v>
      </c>
      <c r="AE1125">
        <v>0</v>
      </c>
      <c r="AF1125" t="b">
        <v>0</v>
      </c>
    </row>
    <row r="1126" spans="1:35" x14ac:dyDescent="0.3">
      <c r="A1126" t="s">
        <v>2394</v>
      </c>
      <c r="B1126" t="s">
        <v>2395</v>
      </c>
      <c r="C1126" t="s">
        <v>431</v>
      </c>
      <c r="D1126">
        <v>178</v>
      </c>
      <c r="E1126">
        <v>55</v>
      </c>
      <c r="F1126">
        <v>2</v>
      </c>
      <c r="G1126">
        <v>300</v>
      </c>
      <c r="I1126">
        <v>1</v>
      </c>
      <c r="J1126">
        <v>1</v>
      </c>
      <c r="K1126" t="s">
        <v>432</v>
      </c>
      <c r="L1126">
        <v>0.66802067946824228</v>
      </c>
      <c r="M1126">
        <v>1</v>
      </c>
      <c r="O1126" t="s">
        <v>433</v>
      </c>
      <c r="P1126">
        <v>0</v>
      </c>
      <c r="R1126">
        <v>0</v>
      </c>
      <c r="T1126">
        <v>0</v>
      </c>
      <c r="U1126" t="b">
        <v>0</v>
      </c>
      <c r="V1126">
        <v>0</v>
      </c>
      <c r="Y1126">
        <v>0.66802067946824228</v>
      </c>
      <c r="Z1126">
        <v>2</v>
      </c>
      <c r="AA1126">
        <v>0</v>
      </c>
      <c r="AB1126">
        <v>0</v>
      </c>
      <c r="AC1126">
        <v>0</v>
      </c>
      <c r="AD1126">
        <v>0</v>
      </c>
      <c r="AE1126">
        <v>0</v>
      </c>
      <c r="AF1126" t="b">
        <v>0</v>
      </c>
    </row>
    <row r="1127" spans="1:35" x14ac:dyDescent="0.3">
      <c r="A1127" t="s">
        <v>2396</v>
      </c>
      <c r="B1127" t="s">
        <v>2397</v>
      </c>
      <c r="C1127" t="s">
        <v>549</v>
      </c>
      <c r="D1127">
        <v>60</v>
      </c>
      <c r="E1127">
        <v>1911</v>
      </c>
      <c r="F1127">
        <v>3</v>
      </c>
      <c r="G1127">
        <v>60</v>
      </c>
      <c r="H1127">
        <v>60</v>
      </c>
      <c r="I1127">
        <v>1</v>
      </c>
      <c r="J1127">
        <v>1</v>
      </c>
      <c r="K1127" t="s">
        <v>432</v>
      </c>
      <c r="L1127">
        <v>0.85993820803295573</v>
      </c>
      <c r="M1127">
        <v>1</v>
      </c>
      <c r="N1127">
        <v>1</v>
      </c>
      <c r="O1127" t="s">
        <v>433</v>
      </c>
      <c r="P1127">
        <v>0</v>
      </c>
      <c r="R1127">
        <v>0</v>
      </c>
      <c r="T1127">
        <v>0</v>
      </c>
      <c r="U1127" t="b">
        <v>0</v>
      </c>
      <c r="V1127">
        <v>0</v>
      </c>
      <c r="Y1127">
        <v>0</v>
      </c>
      <c r="Z1127">
        <v>95</v>
      </c>
      <c r="AA1127">
        <v>0</v>
      </c>
      <c r="AB1127">
        <v>0</v>
      </c>
      <c r="AC1127">
        <v>0</v>
      </c>
      <c r="AD1127">
        <v>0</v>
      </c>
      <c r="AE1127">
        <v>0</v>
      </c>
      <c r="AF1127" t="b">
        <v>0</v>
      </c>
    </row>
    <row r="1128" spans="1:35" x14ac:dyDescent="0.3">
      <c r="A1128" t="s">
        <v>2398</v>
      </c>
      <c r="B1128" t="s">
        <v>2399</v>
      </c>
      <c r="C1128" t="s">
        <v>549</v>
      </c>
      <c r="D1128">
        <v>809</v>
      </c>
      <c r="E1128">
        <v>39244</v>
      </c>
      <c r="F1128">
        <v>318</v>
      </c>
      <c r="G1128">
        <v>35</v>
      </c>
      <c r="H1128">
        <v>1</v>
      </c>
      <c r="I1128">
        <v>2.0257873815105399E-2</v>
      </c>
      <c r="J1128">
        <v>0.18111002921129499</v>
      </c>
      <c r="K1128" t="s">
        <v>432</v>
      </c>
      <c r="L1128">
        <v>0.83489376576036756</v>
      </c>
      <c r="M1128">
        <v>1</v>
      </c>
      <c r="N1128">
        <v>1.91686602870813E-2</v>
      </c>
      <c r="O1128" t="s">
        <v>518</v>
      </c>
      <c r="P1128">
        <v>32799</v>
      </c>
      <c r="Q1128">
        <v>5.6739534741912803E-2</v>
      </c>
      <c r="R1128">
        <v>0</v>
      </c>
      <c r="T1128">
        <v>0</v>
      </c>
      <c r="U1128" t="b">
        <v>0</v>
      </c>
      <c r="V1128">
        <v>6.0831851158026202</v>
      </c>
      <c r="Y1128">
        <v>0</v>
      </c>
      <c r="Z1128">
        <v>809</v>
      </c>
      <c r="AA1128">
        <v>9.8681208852509694E-2</v>
      </c>
      <c r="AB1128">
        <v>4.2233243479568214</v>
      </c>
      <c r="AC1128">
        <v>9.1415610950795201E-2</v>
      </c>
      <c r="AD1128">
        <v>0.1152493235899445</v>
      </c>
      <c r="AE1128">
        <v>0</v>
      </c>
      <c r="AF1128" t="b">
        <v>0</v>
      </c>
    </row>
    <row r="1129" spans="1:35" x14ac:dyDescent="0.3">
      <c r="A1129" t="s">
        <v>2400</v>
      </c>
      <c r="B1129" t="s">
        <v>2401</v>
      </c>
      <c r="C1129" t="s">
        <v>826</v>
      </c>
      <c r="D1129">
        <v>33738</v>
      </c>
      <c r="E1129">
        <v>576162</v>
      </c>
      <c r="F1129">
        <v>45</v>
      </c>
      <c r="G1129">
        <v>60</v>
      </c>
      <c r="H1129">
        <v>60</v>
      </c>
      <c r="I1129">
        <v>1</v>
      </c>
      <c r="J1129">
        <v>1</v>
      </c>
      <c r="K1129" t="s">
        <v>86</v>
      </c>
      <c r="P1129">
        <v>0</v>
      </c>
      <c r="R1129">
        <v>0</v>
      </c>
      <c r="T1129">
        <v>3</v>
      </c>
      <c r="U1129" t="b">
        <v>1</v>
      </c>
      <c r="V1129">
        <v>0.94628170089592423</v>
      </c>
      <c r="W1129">
        <v>1.346153846153846</v>
      </c>
      <c r="X1129" t="b">
        <v>0</v>
      </c>
      <c r="Y1129">
        <v>0</v>
      </c>
      <c r="Z1129">
        <v>11358</v>
      </c>
      <c r="AA1129">
        <v>3.0312958676278999E-3</v>
      </c>
      <c r="AB1129">
        <v>0.34531189922035438</v>
      </c>
      <c r="AC1129">
        <v>6.0061043094141999E-3</v>
      </c>
      <c r="AD1129">
        <v>4.1693905955192002E-3</v>
      </c>
      <c r="AE1129">
        <v>3</v>
      </c>
      <c r="AF1129" t="b">
        <v>1</v>
      </c>
      <c r="AG1129">
        <v>0</v>
      </c>
      <c r="AH1129">
        <v>0</v>
      </c>
      <c r="AI1129" t="b">
        <v>1</v>
      </c>
    </row>
    <row r="1130" spans="1:35" x14ac:dyDescent="0.3">
      <c r="A1130" t="s">
        <v>2402</v>
      </c>
      <c r="B1130" t="s">
        <v>2403</v>
      </c>
      <c r="C1130" t="s">
        <v>1679</v>
      </c>
      <c r="D1130">
        <v>6594</v>
      </c>
      <c r="E1130">
        <v>114467</v>
      </c>
      <c r="F1130">
        <v>42</v>
      </c>
      <c r="G1130">
        <v>60</v>
      </c>
      <c r="H1130">
        <v>60</v>
      </c>
      <c r="I1130">
        <v>0.99780722828413437</v>
      </c>
      <c r="J1130">
        <v>0.99802107949026475</v>
      </c>
      <c r="K1130" t="s">
        <v>86</v>
      </c>
      <c r="P1130">
        <v>0</v>
      </c>
      <c r="R1130">
        <v>0</v>
      </c>
      <c r="T1130">
        <v>2</v>
      </c>
      <c r="U1130" t="b">
        <v>1</v>
      </c>
      <c r="V1130">
        <v>0.95792219752522201</v>
      </c>
      <c r="W1130">
        <v>1.458333333333333</v>
      </c>
      <c r="X1130" t="b">
        <v>0</v>
      </c>
      <c r="Y1130">
        <v>0</v>
      </c>
      <c r="Z1130">
        <v>3891</v>
      </c>
      <c r="AA1130">
        <v>5.7804459655590005E-4</v>
      </c>
      <c r="AB1130">
        <v>5.7927835929463802E-2</v>
      </c>
      <c r="AC1130">
        <v>3.6869935962876E-3</v>
      </c>
      <c r="AD1130">
        <v>-1.4048974835115999E-3</v>
      </c>
      <c r="AE1130">
        <v>2</v>
      </c>
      <c r="AF1130" t="b">
        <v>1</v>
      </c>
      <c r="AG1130">
        <v>4.4273298085229163E-5</v>
      </c>
      <c r="AH1130">
        <v>1.92472198460222E-2</v>
      </c>
      <c r="AI1130" t="b">
        <v>1</v>
      </c>
    </row>
    <row r="1131" spans="1:35" x14ac:dyDescent="0.3">
      <c r="A1131" t="s">
        <v>2404</v>
      </c>
      <c r="B1131" t="s">
        <v>2405</v>
      </c>
      <c r="C1131" t="s">
        <v>431</v>
      </c>
      <c r="D1131">
        <v>106</v>
      </c>
      <c r="E1131">
        <v>649</v>
      </c>
      <c r="F1131">
        <v>16</v>
      </c>
      <c r="G1131">
        <v>180</v>
      </c>
      <c r="H1131">
        <v>60</v>
      </c>
      <c r="I1131">
        <v>1</v>
      </c>
      <c r="J1131">
        <v>1</v>
      </c>
      <c r="K1131" t="s">
        <v>432</v>
      </c>
      <c r="L1131">
        <v>0.58641063515509606</v>
      </c>
      <c r="M1131">
        <v>1</v>
      </c>
      <c r="N1131">
        <v>1</v>
      </c>
      <c r="O1131" t="s">
        <v>433</v>
      </c>
      <c r="P1131">
        <v>0</v>
      </c>
      <c r="R1131">
        <v>0</v>
      </c>
      <c r="T1131">
        <v>0</v>
      </c>
      <c r="U1131" t="b">
        <v>0</v>
      </c>
      <c r="Y1131">
        <v>0.36090595765632688</v>
      </c>
      <c r="Z1131">
        <v>40</v>
      </c>
      <c r="AA1131">
        <v>0</v>
      </c>
      <c r="AB1131">
        <v>0</v>
      </c>
      <c r="AE1131">
        <v>0</v>
      </c>
      <c r="AF1131" t="b">
        <v>0</v>
      </c>
    </row>
    <row r="1132" spans="1:35" x14ac:dyDescent="0.3">
      <c r="A1132" t="s">
        <v>2406</v>
      </c>
      <c r="B1132" t="s">
        <v>2407</v>
      </c>
      <c r="C1132" t="s">
        <v>2267</v>
      </c>
      <c r="D1132">
        <v>7198</v>
      </c>
      <c r="E1132">
        <v>111990</v>
      </c>
      <c r="F1132">
        <v>33</v>
      </c>
      <c r="G1132">
        <v>60</v>
      </c>
      <c r="H1132">
        <v>60</v>
      </c>
      <c r="I1132">
        <v>0.99998214126261276</v>
      </c>
      <c r="J1132">
        <v>0.99973968809901315</v>
      </c>
      <c r="K1132" t="s">
        <v>86</v>
      </c>
      <c r="P1132">
        <v>0</v>
      </c>
      <c r="R1132">
        <v>0</v>
      </c>
      <c r="T1132">
        <v>2</v>
      </c>
      <c r="U1132" t="b">
        <v>1</v>
      </c>
      <c r="V1132">
        <v>2.3346320346320351</v>
      </c>
      <c r="W1132">
        <v>13.157894736842101</v>
      </c>
      <c r="X1132" t="b">
        <v>0</v>
      </c>
      <c r="Y1132">
        <v>0</v>
      </c>
      <c r="Z1132">
        <v>3833</v>
      </c>
      <c r="AA1132">
        <v>3.0113400087175002E-3</v>
      </c>
      <c r="AB1132">
        <v>0.33075408747589952</v>
      </c>
      <c r="AC1132">
        <v>7.1507762377687996E-3</v>
      </c>
      <c r="AD1132">
        <v>-2.4978097239133999E-3</v>
      </c>
      <c r="AE1132">
        <v>2</v>
      </c>
      <c r="AF1132" t="b">
        <v>1</v>
      </c>
      <c r="AG1132">
        <v>6.2735046065928004E-3</v>
      </c>
      <c r="AH1132">
        <v>1.894863563402889</v>
      </c>
      <c r="AI1132" t="b">
        <v>0</v>
      </c>
    </row>
    <row r="1133" spans="1:35" x14ac:dyDescent="0.3">
      <c r="A1133" t="s">
        <v>2408</v>
      </c>
      <c r="B1133" t="s">
        <v>2409</v>
      </c>
      <c r="C1133" t="s">
        <v>826</v>
      </c>
      <c r="D1133">
        <v>10873</v>
      </c>
      <c r="E1133">
        <v>159518</v>
      </c>
      <c r="F1133">
        <v>82</v>
      </c>
      <c r="G1133">
        <v>66</v>
      </c>
      <c r="H1133">
        <v>6</v>
      </c>
      <c r="I1133">
        <v>0.84586692410887798</v>
      </c>
      <c r="J1133">
        <v>0.86950037285607751</v>
      </c>
      <c r="K1133" t="s">
        <v>86</v>
      </c>
      <c r="P1133">
        <v>0</v>
      </c>
      <c r="R1133">
        <v>0</v>
      </c>
      <c r="T1133">
        <v>2</v>
      </c>
      <c r="U1133" t="b">
        <v>1</v>
      </c>
      <c r="V1133">
        <v>1.4863977910555859</v>
      </c>
      <c r="W1133">
        <v>5.7949999999999999</v>
      </c>
      <c r="X1133" t="b">
        <v>0</v>
      </c>
      <c r="Y1133">
        <v>0</v>
      </c>
      <c r="Z1133">
        <v>5094</v>
      </c>
      <c r="AA1133">
        <v>1.1677569396088001E-3</v>
      </c>
      <c r="AB1133">
        <v>0.13188310184776619</v>
      </c>
      <c r="AC1133">
        <v>6.8082687292952996E-3</v>
      </c>
      <c r="AD1133">
        <v>-3.7664334942029E-3</v>
      </c>
      <c r="AE1133">
        <v>2</v>
      </c>
      <c r="AF1133" t="b">
        <v>1</v>
      </c>
      <c r="AG1133">
        <v>-1.8338424721172999E-3</v>
      </c>
      <c r="AH1133">
        <v>-0.39034847655537319</v>
      </c>
      <c r="AI1133" t="b">
        <v>1</v>
      </c>
    </row>
    <row r="1134" spans="1:35" x14ac:dyDescent="0.3">
      <c r="A1134" t="s">
        <v>2410</v>
      </c>
      <c r="B1134" t="s">
        <v>2411</v>
      </c>
      <c r="C1134" t="s">
        <v>512</v>
      </c>
      <c r="D1134">
        <v>4550</v>
      </c>
      <c r="E1134">
        <v>61604</v>
      </c>
      <c r="F1134">
        <v>30</v>
      </c>
      <c r="G1134">
        <v>60</v>
      </c>
      <c r="H1134">
        <v>60</v>
      </c>
      <c r="I1134">
        <v>0.99996753457567678</v>
      </c>
      <c r="J1134">
        <v>0.99966281716260641</v>
      </c>
      <c r="K1134" t="s">
        <v>86</v>
      </c>
      <c r="P1134">
        <v>0</v>
      </c>
      <c r="R1134">
        <v>0</v>
      </c>
      <c r="T1134">
        <v>1</v>
      </c>
      <c r="U1134" t="b">
        <v>1</v>
      </c>
      <c r="V1134">
        <v>8.6577946243018022</v>
      </c>
      <c r="W1134">
        <v>8.1818181818181817</v>
      </c>
      <c r="X1134" t="b">
        <v>1</v>
      </c>
      <c r="Y1134">
        <v>0</v>
      </c>
      <c r="Z1134">
        <v>2043</v>
      </c>
      <c r="AA1134">
        <v>3.0655672432778999E-3</v>
      </c>
      <c r="AB1134">
        <v>0.30874698359554009</v>
      </c>
      <c r="AC1134">
        <v>1.65464844729151E-2</v>
      </c>
      <c r="AD1134">
        <v>-4.9018215300530004E-3</v>
      </c>
      <c r="AE1134">
        <v>1</v>
      </c>
      <c r="AF1134" t="b">
        <v>1</v>
      </c>
      <c r="AG1134">
        <v>7.5684169176377996E-3</v>
      </c>
      <c r="AH1134">
        <v>2.330645161290323</v>
      </c>
      <c r="AI1134" t="b">
        <v>0</v>
      </c>
    </row>
    <row r="1135" spans="1:35" x14ac:dyDescent="0.3">
      <c r="A1135" t="s">
        <v>2412</v>
      </c>
      <c r="B1135" t="s">
        <v>2413</v>
      </c>
      <c r="C1135" t="s">
        <v>512</v>
      </c>
      <c r="D1135">
        <v>1635</v>
      </c>
      <c r="E1135">
        <v>23380</v>
      </c>
      <c r="F1135">
        <v>29</v>
      </c>
      <c r="G1135">
        <v>120</v>
      </c>
      <c r="H1135">
        <v>60</v>
      </c>
      <c r="I1135">
        <v>1</v>
      </c>
      <c r="J1135">
        <v>0.99925140853394279</v>
      </c>
      <c r="K1135" t="s">
        <v>86</v>
      </c>
      <c r="P1135">
        <v>0</v>
      </c>
      <c r="R1135">
        <v>0</v>
      </c>
      <c r="T1135">
        <v>2</v>
      </c>
      <c r="U1135" t="b">
        <v>1</v>
      </c>
      <c r="V1135">
        <v>7.1279761904761898</v>
      </c>
      <c r="W1135">
        <v>14.074074074074071</v>
      </c>
      <c r="X1135" t="b">
        <v>0</v>
      </c>
      <c r="Y1135">
        <v>0</v>
      </c>
      <c r="Z1135">
        <v>950</v>
      </c>
      <c r="AA1135">
        <v>6.1442588751320004E-3</v>
      </c>
      <c r="AB1135">
        <v>0.75283663704716342</v>
      </c>
      <c r="AC1135">
        <v>7.2220365266277998E-3</v>
      </c>
      <c r="AD1135">
        <v>-4.8283026321559999E-4</v>
      </c>
      <c r="AE1135">
        <v>2</v>
      </c>
      <c r="AF1135" t="b">
        <v>1</v>
      </c>
      <c r="AG1135">
        <v>-5.7814607824243002E-3</v>
      </c>
      <c r="AH1135">
        <v>-0.67669172932330846</v>
      </c>
      <c r="AI1135" t="b">
        <v>1</v>
      </c>
    </row>
    <row r="1136" spans="1:35" x14ac:dyDescent="0.3">
      <c r="A1136" t="s">
        <v>2414</v>
      </c>
      <c r="B1136" t="s">
        <v>2415</v>
      </c>
      <c r="C1136" t="s">
        <v>512</v>
      </c>
      <c r="D1136">
        <v>1180</v>
      </c>
      <c r="E1136">
        <v>26378</v>
      </c>
      <c r="F1136">
        <v>8</v>
      </c>
      <c r="G1136">
        <v>60</v>
      </c>
      <c r="H1136">
        <v>60</v>
      </c>
      <c r="I1136">
        <v>1</v>
      </c>
      <c r="J1136">
        <v>1</v>
      </c>
      <c r="K1136" t="s">
        <v>86</v>
      </c>
      <c r="P1136">
        <v>0</v>
      </c>
      <c r="R1136">
        <v>0</v>
      </c>
      <c r="T1136">
        <v>1</v>
      </c>
      <c r="U1136" t="b">
        <v>1</v>
      </c>
      <c r="V1136">
        <v>0.7878391631252043</v>
      </c>
      <c r="W1136">
        <v>0</v>
      </c>
      <c r="X1136" t="b">
        <v>1</v>
      </c>
      <c r="Y1136">
        <v>0</v>
      </c>
      <c r="Z1136">
        <v>550</v>
      </c>
      <c r="AA1136">
        <v>4.6341276505004001E-3</v>
      </c>
      <c r="AB1136">
        <v>0.40139971139971131</v>
      </c>
      <c r="AC1136">
        <v>3.2125417630428999E-3</v>
      </c>
      <c r="AD1136">
        <v>1.2291249164996E-3</v>
      </c>
      <c r="AE1136">
        <v>1</v>
      </c>
      <c r="AF1136" t="b">
        <v>1</v>
      </c>
      <c r="AG1136">
        <v>0</v>
      </c>
      <c r="AH1136">
        <v>0</v>
      </c>
      <c r="AI1136" t="b">
        <v>1</v>
      </c>
    </row>
    <row r="1137" spans="1:35" x14ac:dyDescent="0.3">
      <c r="A1137" t="s">
        <v>2416</v>
      </c>
      <c r="B1137" t="s">
        <v>2417</v>
      </c>
      <c r="C1137" t="s">
        <v>512</v>
      </c>
      <c r="D1137">
        <v>4942</v>
      </c>
      <c r="E1137">
        <v>81246</v>
      </c>
      <c r="F1137">
        <v>20</v>
      </c>
      <c r="G1137">
        <v>60</v>
      </c>
      <c r="H1137">
        <v>60</v>
      </c>
      <c r="I1137">
        <v>0.94467419934519858</v>
      </c>
      <c r="J1137">
        <v>0.95191906065809639</v>
      </c>
      <c r="K1137" t="s">
        <v>86</v>
      </c>
      <c r="P1137">
        <v>0</v>
      </c>
      <c r="R1137">
        <v>0</v>
      </c>
      <c r="T1137">
        <v>1</v>
      </c>
      <c r="U1137" t="b">
        <v>1</v>
      </c>
      <c r="V1137">
        <v>0.25514089870525508</v>
      </c>
      <c r="W1137">
        <v>0</v>
      </c>
      <c r="X1137" t="b">
        <v>1</v>
      </c>
      <c r="Y1137">
        <v>0</v>
      </c>
      <c r="Z1137">
        <v>1553</v>
      </c>
      <c r="AA1137">
        <v>1.2870757923484999E-3</v>
      </c>
      <c r="AB1137">
        <v>0.11359500545927929</v>
      </c>
      <c r="AC1137">
        <v>1.4881644421707999E-3</v>
      </c>
      <c r="AD1137">
        <v>1.6573348264277E-3</v>
      </c>
      <c r="AE1137">
        <v>1</v>
      </c>
      <c r="AF1137" t="b">
        <v>1</v>
      </c>
      <c r="AG1137">
        <v>0</v>
      </c>
      <c r="AH1137">
        <v>0</v>
      </c>
      <c r="AI1137" t="b">
        <v>1</v>
      </c>
    </row>
    <row r="1138" spans="1:35" x14ac:dyDescent="0.3">
      <c r="A1138" t="s">
        <v>2418</v>
      </c>
      <c r="B1138" t="s">
        <v>2419</v>
      </c>
      <c r="C1138" t="s">
        <v>2267</v>
      </c>
      <c r="D1138">
        <v>22912</v>
      </c>
      <c r="E1138">
        <v>365978</v>
      </c>
      <c r="F1138">
        <v>33</v>
      </c>
      <c r="G1138">
        <v>60</v>
      </c>
      <c r="H1138">
        <v>60</v>
      </c>
      <c r="I1138">
        <v>0.99736049707905938</v>
      </c>
      <c r="J1138">
        <v>0.9983825496941896</v>
      </c>
      <c r="K1138" t="s">
        <v>86</v>
      </c>
      <c r="P1138">
        <v>0</v>
      </c>
      <c r="R1138">
        <v>0</v>
      </c>
      <c r="T1138">
        <v>0</v>
      </c>
      <c r="U1138" t="b">
        <v>0</v>
      </c>
      <c r="V1138">
        <v>0.36308717409936681</v>
      </c>
      <c r="Y1138">
        <v>0</v>
      </c>
      <c r="Z1138">
        <v>9309</v>
      </c>
      <c r="AA1138">
        <v>1.4459041168669001E-3</v>
      </c>
      <c r="AB1138">
        <v>0.1500249133185001</v>
      </c>
      <c r="AC1138">
        <v>2.4318197757453E-3</v>
      </c>
      <c r="AD1138">
        <v>-3.2998054311370002E-4</v>
      </c>
      <c r="AE1138">
        <v>0</v>
      </c>
      <c r="AF1138" t="b">
        <v>0</v>
      </c>
    </row>
    <row r="1139" spans="1:35" x14ac:dyDescent="0.3">
      <c r="A1139" t="s">
        <v>2420</v>
      </c>
      <c r="B1139" t="s">
        <v>2421</v>
      </c>
      <c r="C1139" t="s">
        <v>431</v>
      </c>
      <c r="D1139">
        <v>350</v>
      </c>
      <c r="E1139">
        <v>346</v>
      </c>
      <c r="F1139">
        <v>15</v>
      </c>
      <c r="G1139">
        <v>180</v>
      </c>
      <c r="H1139">
        <v>300</v>
      </c>
      <c r="I1139">
        <v>1</v>
      </c>
      <c r="J1139">
        <v>1</v>
      </c>
      <c r="K1139" t="s">
        <v>432</v>
      </c>
      <c r="L1139">
        <v>0.66941081517352707</v>
      </c>
      <c r="M1139">
        <v>1</v>
      </c>
      <c r="N1139">
        <v>1</v>
      </c>
      <c r="O1139" t="s">
        <v>433</v>
      </c>
      <c r="P1139">
        <v>0</v>
      </c>
      <c r="R1139">
        <v>0</v>
      </c>
      <c r="T1139">
        <v>0</v>
      </c>
      <c r="U1139" t="b">
        <v>0</v>
      </c>
      <c r="V1139">
        <v>0</v>
      </c>
      <c r="Y1139">
        <v>0.6656981436642454</v>
      </c>
      <c r="Z1139">
        <v>13</v>
      </c>
      <c r="AA1139">
        <v>0.38383838383838381</v>
      </c>
      <c r="AB1139">
        <v>175.38461538461539</v>
      </c>
      <c r="AC1139">
        <v>0.3658536585365853</v>
      </c>
      <c r="AD1139">
        <v>0.52272727272727271</v>
      </c>
      <c r="AE1139">
        <v>0</v>
      </c>
      <c r="AF1139" t="b">
        <v>0</v>
      </c>
    </row>
    <row r="1140" spans="1:35" x14ac:dyDescent="0.3">
      <c r="A1140" t="s">
        <v>2422</v>
      </c>
      <c r="B1140" t="s">
        <v>2423</v>
      </c>
      <c r="C1140" t="s">
        <v>512</v>
      </c>
      <c r="D1140">
        <v>13915</v>
      </c>
      <c r="E1140">
        <v>208919</v>
      </c>
      <c r="F1140">
        <v>32</v>
      </c>
      <c r="G1140">
        <v>120</v>
      </c>
      <c r="H1140">
        <v>60</v>
      </c>
      <c r="I1140">
        <v>1</v>
      </c>
      <c r="J1140">
        <v>1</v>
      </c>
      <c r="K1140" t="s">
        <v>86</v>
      </c>
      <c r="P1140">
        <v>0</v>
      </c>
      <c r="R1140">
        <v>0</v>
      </c>
      <c r="T1140">
        <v>1</v>
      </c>
      <c r="U1140" t="b">
        <v>1</v>
      </c>
      <c r="V1140">
        <v>0.2587573131896615</v>
      </c>
      <c r="W1140">
        <v>2.3677979479084399E-2</v>
      </c>
      <c r="X1140" t="b">
        <v>1</v>
      </c>
      <c r="Y1140">
        <v>0</v>
      </c>
      <c r="Z1140">
        <v>6024</v>
      </c>
      <c r="AA1140">
        <v>7.5747647190079999E-4</v>
      </c>
      <c r="AB1140">
        <v>8.5486199281019998E-2</v>
      </c>
      <c r="AC1140">
        <v>1.6276774533510001E-3</v>
      </c>
      <c r="AD1140">
        <v>-2.9913099909749998E-4</v>
      </c>
      <c r="AE1140">
        <v>2</v>
      </c>
      <c r="AF1140" t="b">
        <v>1</v>
      </c>
      <c r="AG1140">
        <v>9.7025298860161004E-3</v>
      </c>
      <c r="AH1140">
        <v>2.604477611940299</v>
      </c>
      <c r="AI1140" t="b">
        <v>0</v>
      </c>
    </row>
    <row r="1141" spans="1:35" x14ac:dyDescent="0.3">
      <c r="A1141" t="s">
        <v>2424</v>
      </c>
      <c r="B1141" t="s">
        <v>2425</v>
      </c>
      <c r="C1141" t="s">
        <v>2267</v>
      </c>
      <c r="D1141">
        <v>6129</v>
      </c>
      <c r="E1141">
        <v>93788</v>
      </c>
      <c r="F1141">
        <v>43</v>
      </c>
      <c r="G1141">
        <v>60</v>
      </c>
      <c r="H1141">
        <v>60</v>
      </c>
      <c r="I1141">
        <v>0.99914701241096937</v>
      </c>
      <c r="J1141">
        <v>0.9996118878744068</v>
      </c>
      <c r="K1141" t="s">
        <v>86</v>
      </c>
      <c r="P1141">
        <v>0</v>
      </c>
      <c r="R1141">
        <v>0</v>
      </c>
      <c r="T1141">
        <v>1</v>
      </c>
      <c r="U1141" t="b">
        <v>1</v>
      </c>
      <c r="V1141">
        <v>1.7897930760047751</v>
      </c>
      <c r="W1141">
        <v>3.062176165803109</v>
      </c>
      <c r="X1141" t="b">
        <v>0</v>
      </c>
      <c r="Y1141">
        <v>0</v>
      </c>
      <c r="Z1141">
        <v>3166</v>
      </c>
      <c r="AA1141">
        <v>1.269042967719E-4</v>
      </c>
      <c r="AB1141">
        <v>1.3818146477653699E-2</v>
      </c>
      <c r="AC1141">
        <v>2.4439425431169999E-3</v>
      </c>
      <c r="AD1141">
        <v>8.6002246724245846E-5</v>
      </c>
      <c r="AE1141">
        <v>2</v>
      </c>
      <c r="AF1141" t="b">
        <v>1</v>
      </c>
      <c r="AG1141">
        <v>3.201008617311E-3</v>
      </c>
      <c r="AH1141">
        <v>0.36591529756636709</v>
      </c>
      <c r="AI1141" t="b">
        <v>0</v>
      </c>
    </row>
    <row r="1142" spans="1:35" x14ac:dyDescent="0.3">
      <c r="A1142" t="s">
        <v>2426</v>
      </c>
      <c r="B1142" t="s">
        <v>2427</v>
      </c>
      <c r="C1142" t="s">
        <v>573</v>
      </c>
      <c r="D1142">
        <v>6212</v>
      </c>
      <c r="E1142">
        <v>167075</v>
      </c>
      <c r="F1142">
        <v>867</v>
      </c>
      <c r="G1142">
        <v>64</v>
      </c>
      <c r="H1142">
        <v>1</v>
      </c>
      <c r="I1142">
        <v>2.6359419422415001E-2</v>
      </c>
      <c r="J1142">
        <v>5.6487202118269998E-2</v>
      </c>
      <c r="K1142" t="s">
        <v>86</v>
      </c>
      <c r="P1142">
        <v>0</v>
      </c>
      <c r="R1142">
        <v>0</v>
      </c>
      <c r="T1142">
        <v>0</v>
      </c>
      <c r="U1142" t="b">
        <v>0</v>
      </c>
      <c r="V1142">
        <v>11.87000849431795</v>
      </c>
      <c r="Y1142">
        <v>0</v>
      </c>
      <c r="Z1142">
        <v>4444</v>
      </c>
      <c r="AA1142">
        <v>-4.49316189309465E-2</v>
      </c>
      <c r="AB1142">
        <v>-3.987125817352339</v>
      </c>
      <c r="AC1142">
        <v>-7.8473078795247495E-2</v>
      </c>
      <c r="AD1142">
        <v>-2.2998592122089701E-2</v>
      </c>
      <c r="AE1142">
        <v>0</v>
      </c>
      <c r="AF1142" t="b">
        <v>0</v>
      </c>
    </row>
    <row r="1143" spans="1:35" x14ac:dyDescent="0.3">
      <c r="A1143" t="s">
        <v>2428</v>
      </c>
      <c r="B1143" t="s">
        <v>2429</v>
      </c>
      <c r="C1143" t="s">
        <v>431</v>
      </c>
      <c r="D1143">
        <v>217</v>
      </c>
      <c r="E1143">
        <v>157</v>
      </c>
      <c r="F1143">
        <v>12</v>
      </c>
      <c r="G1143">
        <v>300</v>
      </c>
      <c r="H1143">
        <v>60</v>
      </c>
      <c r="I1143">
        <v>1</v>
      </c>
      <c r="J1143">
        <v>1</v>
      </c>
      <c r="K1143" t="s">
        <v>86</v>
      </c>
      <c r="P1143">
        <v>0</v>
      </c>
      <c r="R1143">
        <v>0</v>
      </c>
      <c r="T1143">
        <v>0</v>
      </c>
      <c r="U1143" t="b">
        <v>0</v>
      </c>
      <c r="V1143">
        <v>0</v>
      </c>
      <c r="Y1143">
        <v>0.77963454630641882</v>
      </c>
      <c r="Z1143">
        <v>6</v>
      </c>
      <c r="AA1143">
        <v>0</v>
      </c>
      <c r="AB1143">
        <v>0</v>
      </c>
      <c r="AC1143">
        <v>0</v>
      </c>
      <c r="AD1143">
        <v>0</v>
      </c>
      <c r="AE1143">
        <v>0</v>
      </c>
      <c r="AF1143" t="b">
        <v>0</v>
      </c>
    </row>
    <row r="1144" spans="1:35" x14ac:dyDescent="0.3">
      <c r="A1144" t="s">
        <v>2430</v>
      </c>
      <c r="B1144" t="s">
        <v>2431</v>
      </c>
      <c r="C1144" t="s">
        <v>573</v>
      </c>
      <c r="D1144">
        <v>30732</v>
      </c>
      <c r="E1144">
        <v>715248</v>
      </c>
      <c r="F1144">
        <v>1564</v>
      </c>
      <c r="G1144">
        <v>62</v>
      </c>
      <c r="H1144">
        <v>1</v>
      </c>
      <c r="I1144">
        <v>2.6070677583159899E-2</v>
      </c>
      <c r="J1144">
        <v>0.1121009000907149</v>
      </c>
      <c r="K1144" t="s">
        <v>86</v>
      </c>
      <c r="P1144">
        <v>0</v>
      </c>
      <c r="R1144">
        <v>0</v>
      </c>
      <c r="T1144">
        <v>0</v>
      </c>
      <c r="U1144" t="b">
        <v>0</v>
      </c>
      <c r="V1144">
        <v>5.5400421079222406</v>
      </c>
      <c r="Y1144">
        <v>0</v>
      </c>
      <c r="Z1144">
        <v>11360</v>
      </c>
      <c r="AA1144">
        <v>5.0409576149419997E-3</v>
      </c>
      <c r="AB1144">
        <v>0.60471830013837824</v>
      </c>
      <c r="AC1144">
        <v>7.8019381377446998E-3</v>
      </c>
      <c r="AD1144">
        <v>-2.5512295249224002E-3</v>
      </c>
      <c r="AE1144">
        <v>0</v>
      </c>
      <c r="AF1144" t="b">
        <v>0</v>
      </c>
    </row>
    <row r="1145" spans="1:35" x14ac:dyDescent="0.3">
      <c r="A1145" t="s">
        <v>2432</v>
      </c>
      <c r="B1145" t="s">
        <v>2433</v>
      </c>
      <c r="C1145" t="s">
        <v>573</v>
      </c>
      <c r="D1145">
        <v>26902</v>
      </c>
      <c r="E1145">
        <v>654921</v>
      </c>
      <c r="F1145">
        <v>875</v>
      </c>
      <c r="G1145">
        <v>80</v>
      </c>
      <c r="H1145">
        <v>1</v>
      </c>
      <c r="I1145">
        <v>1.9504642544673299E-2</v>
      </c>
      <c r="J1145">
        <v>5.4945345052894903E-2</v>
      </c>
      <c r="K1145" t="s">
        <v>86</v>
      </c>
      <c r="P1145">
        <v>0</v>
      </c>
      <c r="R1145">
        <v>0</v>
      </c>
      <c r="T1145">
        <v>0</v>
      </c>
      <c r="U1145" t="b">
        <v>0</v>
      </c>
      <c r="V1145">
        <v>4.4065397811393776</v>
      </c>
      <c r="Y1145">
        <v>0</v>
      </c>
      <c r="Z1145">
        <v>9316</v>
      </c>
      <c r="AA1145">
        <v>-2.6922765166116299E-2</v>
      </c>
      <c r="AB1145">
        <v>-2.5766943037087078</v>
      </c>
      <c r="AC1145">
        <v>-3.51711795776826E-2</v>
      </c>
      <c r="AD1145">
        <v>-2.0115955724414498E-2</v>
      </c>
      <c r="AE1145">
        <v>0</v>
      </c>
      <c r="AF1145" t="b">
        <v>0</v>
      </c>
    </row>
    <row r="1146" spans="1:35" x14ac:dyDescent="0.3">
      <c r="A1146" t="s">
        <v>2434</v>
      </c>
      <c r="B1146" t="s">
        <v>2435</v>
      </c>
      <c r="C1146" t="s">
        <v>573</v>
      </c>
      <c r="D1146">
        <v>6995</v>
      </c>
      <c r="E1146">
        <v>168652</v>
      </c>
      <c r="F1146">
        <v>317</v>
      </c>
      <c r="G1146">
        <v>85</v>
      </c>
      <c r="H1146">
        <v>1</v>
      </c>
      <c r="I1146">
        <v>1.5866992386689701E-2</v>
      </c>
      <c r="J1146">
        <v>6.7356686991522696E-2</v>
      </c>
      <c r="K1146" t="s">
        <v>86</v>
      </c>
      <c r="P1146">
        <v>0</v>
      </c>
      <c r="R1146">
        <v>0</v>
      </c>
      <c r="T1146">
        <v>0</v>
      </c>
      <c r="U1146" t="b">
        <v>0</v>
      </c>
      <c r="V1146">
        <v>4.7605785603277706</v>
      </c>
      <c r="Y1146">
        <v>0</v>
      </c>
      <c r="Z1146">
        <v>2166</v>
      </c>
      <c r="AA1146">
        <v>-3.1516841047584697E-2</v>
      </c>
      <c r="AB1146">
        <v>-3.0628656826626939</v>
      </c>
      <c r="AC1146">
        <v>-5.1688604875762302E-2</v>
      </c>
      <c r="AD1146">
        <v>-1.5208016002670599E-2</v>
      </c>
      <c r="AE1146">
        <v>0</v>
      </c>
      <c r="AF1146" t="b">
        <v>0</v>
      </c>
    </row>
    <row r="1147" spans="1:35" x14ac:dyDescent="0.3">
      <c r="A1147" t="s">
        <v>2436</v>
      </c>
      <c r="B1147" t="s">
        <v>2437</v>
      </c>
      <c r="C1147" t="s">
        <v>573</v>
      </c>
      <c r="D1147">
        <v>1981</v>
      </c>
      <c r="E1147">
        <v>33300</v>
      </c>
      <c r="F1147">
        <v>177</v>
      </c>
      <c r="G1147">
        <v>85</v>
      </c>
      <c r="H1147">
        <v>1</v>
      </c>
      <c r="I1147">
        <v>4.0480480480480398E-2</v>
      </c>
      <c r="J1147">
        <v>0.13902308105206651</v>
      </c>
      <c r="K1147" t="s">
        <v>86</v>
      </c>
      <c r="P1147">
        <v>0</v>
      </c>
      <c r="R1147">
        <v>0</v>
      </c>
      <c r="T1147">
        <v>0</v>
      </c>
      <c r="U1147" t="b">
        <v>0</v>
      </c>
      <c r="V1147">
        <v>1.8188154525213349</v>
      </c>
      <c r="Y1147">
        <v>0</v>
      </c>
      <c r="Z1147">
        <v>413</v>
      </c>
      <c r="AA1147">
        <v>3.9755926175636001E-3</v>
      </c>
      <c r="AB1147">
        <v>0.37797910617949831</v>
      </c>
      <c r="AC1147">
        <v>-4.9642325117200004E-4</v>
      </c>
      <c r="AD1147">
        <v>8.8472421870384992E-3</v>
      </c>
      <c r="AE1147">
        <v>0</v>
      </c>
      <c r="AF1147" t="b">
        <v>0</v>
      </c>
    </row>
    <row r="1148" spans="1:35" x14ac:dyDescent="0.3">
      <c r="A1148" t="s">
        <v>2438</v>
      </c>
      <c r="B1148" t="s">
        <v>2439</v>
      </c>
      <c r="C1148" t="s">
        <v>431</v>
      </c>
      <c r="D1148">
        <v>103</v>
      </c>
      <c r="E1148">
        <v>2169</v>
      </c>
      <c r="F1148">
        <v>9</v>
      </c>
      <c r="G1148">
        <v>60</v>
      </c>
      <c r="H1148">
        <v>60</v>
      </c>
      <c r="I1148">
        <v>0.96864914707238359</v>
      </c>
      <c r="J1148">
        <v>0.98623481781376521</v>
      </c>
      <c r="K1148" t="s">
        <v>86</v>
      </c>
      <c r="P1148">
        <v>0</v>
      </c>
      <c r="R1148">
        <v>0</v>
      </c>
      <c r="T1148">
        <v>0</v>
      </c>
      <c r="U1148" t="b">
        <v>0</v>
      </c>
      <c r="V1148">
        <v>0</v>
      </c>
      <c r="Y1148">
        <v>0</v>
      </c>
      <c r="Z1148">
        <v>65</v>
      </c>
      <c r="AA1148">
        <v>0</v>
      </c>
      <c r="AB1148">
        <v>0</v>
      </c>
      <c r="AC1148">
        <v>0</v>
      </c>
      <c r="AD1148">
        <v>0</v>
      </c>
      <c r="AE1148">
        <v>0</v>
      </c>
      <c r="AF1148" t="b">
        <v>0</v>
      </c>
    </row>
    <row r="1149" spans="1:35" x14ac:dyDescent="0.3">
      <c r="A1149" t="s">
        <v>2440</v>
      </c>
      <c r="B1149" t="s">
        <v>2441</v>
      </c>
      <c r="C1149" t="s">
        <v>754</v>
      </c>
      <c r="D1149">
        <v>2239</v>
      </c>
      <c r="E1149">
        <v>96420</v>
      </c>
      <c r="F1149">
        <v>391</v>
      </c>
      <c r="G1149">
        <v>110</v>
      </c>
      <c r="H1149">
        <v>1</v>
      </c>
      <c r="I1149">
        <v>2.53992947521261E-2</v>
      </c>
      <c r="J1149">
        <v>0.14164952006405901</v>
      </c>
      <c r="K1149" t="s">
        <v>86</v>
      </c>
      <c r="P1149">
        <v>0</v>
      </c>
      <c r="R1149">
        <v>0</v>
      </c>
      <c r="T1149">
        <v>0</v>
      </c>
      <c r="U1149" t="b">
        <v>0</v>
      </c>
      <c r="Y1149">
        <v>0</v>
      </c>
      <c r="Z1149">
        <v>0</v>
      </c>
      <c r="AE1149">
        <v>0</v>
      </c>
      <c r="AF1149" t="b">
        <v>0</v>
      </c>
    </row>
    <row r="1150" spans="1:35" x14ac:dyDescent="0.3">
      <c r="A1150" t="s">
        <v>2442</v>
      </c>
      <c r="B1150" t="s">
        <v>2443</v>
      </c>
      <c r="C1150" t="s">
        <v>431</v>
      </c>
      <c r="D1150">
        <v>402</v>
      </c>
      <c r="E1150">
        <v>6310</v>
      </c>
      <c r="F1150">
        <v>187</v>
      </c>
      <c r="G1150">
        <v>64</v>
      </c>
      <c r="H1150">
        <v>1</v>
      </c>
      <c r="I1150">
        <v>9.09667194928684E-2</v>
      </c>
      <c r="J1150">
        <v>0.30095351609058402</v>
      </c>
      <c r="K1150" t="s">
        <v>432</v>
      </c>
      <c r="L1150">
        <v>0.69904648390941593</v>
      </c>
      <c r="M1150">
        <v>1</v>
      </c>
      <c r="N1150">
        <v>0</v>
      </c>
      <c r="O1150" t="s">
        <v>518</v>
      </c>
      <c r="P1150">
        <v>4692</v>
      </c>
      <c r="Q1150">
        <v>4.1560102301790199E-2</v>
      </c>
      <c r="R1150">
        <v>0</v>
      </c>
      <c r="T1150">
        <v>0</v>
      </c>
      <c r="U1150" t="b">
        <v>0</v>
      </c>
      <c r="V1150">
        <v>25.90909090909091</v>
      </c>
      <c r="Y1150">
        <v>0</v>
      </c>
      <c r="Z1150">
        <v>413</v>
      </c>
      <c r="AA1150">
        <v>1.5917344381360999E-3</v>
      </c>
      <c r="AB1150">
        <v>0.15698143664245359</v>
      </c>
      <c r="AC1150">
        <v>4.2168674698795101E-2</v>
      </c>
      <c r="AD1150">
        <v>4.8192771084337303E-2</v>
      </c>
      <c r="AE1150">
        <v>0</v>
      </c>
      <c r="AF1150" t="b">
        <v>0</v>
      </c>
    </row>
    <row r="1151" spans="1:35" x14ac:dyDescent="0.3">
      <c r="A1151" t="s">
        <v>2444</v>
      </c>
      <c r="B1151" t="s">
        <v>2445</v>
      </c>
      <c r="C1151" t="s">
        <v>431</v>
      </c>
      <c r="D1151">
        <v>71</v>
      </c>
      <c r="E1151">
        <v>763</v>
      </c>
      <c r="F1151">
        <v>17</v>
      </c>
      <c r="G1151">
        <v>120</v>
      </c>
      <c r="H1151">
        <v>60</v>
      </c>
      <c r="I1151">
        <v>0.89515072083879421</v>
      </c>
      <c r="J1151">
        <v>0.92805755395683442</v>
      </c>
      <c r="K1151" t="s">
        <v>432</v>
      </c>
      <c r="L1151">
        <v>0.65107913669064743</v>
      </c>
      <c r="M1151">
        <v>1</v>
      </c>
      <c r="N1151">
        <v>0.88950276243093918</v>
      </c>
      <c r="O1151" t="s">
        <v>433</v>
      </c>
      <c r="P1151">
        <v>0</v>
      </c>
      <c r="R1151">
        <v>0</v>
      </c>
      <c r="T1151">
        <v>0</v>
      </c>
      <c r="U1151" t="b">
        <v>0</v>
      </c>
      <c r="V1151">
        <v>0</v>
      </c>
      <c r="Y1151">
        <v>0</v>
      </c>
      <c r="Z1151">
        <v>32</v>
      </c>
      <c r="AA1151">
        <v>0</v>
      </c>
      <c r="AB1151">
        <v>0</v>
      </c>
      <c r="AC1151">
        <v>0</v>
      </c>
      <c r="AD1151">
        <v>0</v>
      </c>
      <c r="AE1151">
        <v>0</v>
      </c>
      <c r="AF1151" t="b">
        <v>0</v>
      </c>
    </row>
    <row r="1152" spans="1:35" x14ac:dyDescent="0.3">
      <c r="A1152" t="s">
        <v>2446</v>
      </c>
      <c r="B1152" t="s">
        <v>2447</v>
      </c>
      <c r="C1152" t="s">
        <v>431</v>
      </c>
      <c r="D1152">
        <v>589</v>
      </c>
      <c r="E1152">
        <v>364</v>
      </c>
      <c r="F1152">
        <v>7</v>
      </c>
      <c r="G1152">
        <v>180</v>
      </c>
      <c r="H1152">
        <v>60</v>
      </c>
      <c r="I1152">
        <v>1</v>
      </c>
      <c r="J1152">
        <v>1</v>
      </c>
      <c r="K1152" t="s">
        <v>432</v>
      </c>
      <c r="L1152">
        <v>0.65281353438764256</v>
      </c>
      <c r="M1152">
        <v>1</v>
      </c>
      <c r="O1152" t="s">
        <v>518</v>
      </c>
      <c r="P1152">
        <v>0</v>
      </c>
      <c r="R1152">
        <v>0</v>
      </c>
      <c r="T1152">
        <v>0</v>
      </c>
      <c r="U1152" t="b">
        <v>0</v>
      </c>
      <c r="V1152">
        <v>66.666666666666671</v>
      </c>
      <c r="Y1152">
        <v>0.65281353438764256</v>
      </c>
      <c r="Z1152">
        <v>17</v>
      </c>
      <c r="AA1152">
        <v>8.8571428571428495E-2</v>
      </c>
      <c r="AB1152">
        <v>23.445378151260499</v>
      </c>
      <c r="AC1152">
        <v>0.2515723270440251</v>
      </c>
      <c r="AD1152">
        <v>0</v>
      </c>
      <c r="AE1152">
        <v>0</v>
      </c>
      <c r="AF1152" t="b">
        <v>0</v>
      </c>
    </row>
    <row r="1153" spans="1:35" x14ac:dyDescent="0.3">
      <c r="A1153" t="s">
        <v>2448</v>
      </c>
      <c r="B1153" t="s">
        <v>2449</v>
      </c>
      <c r="C1153" t="s">
        <v>431</v>
      </c>
      <c r="D1153">
        <v>632</v>
      </c>
      <c r="E1153">
        <v>3797</v>
      </c>
      <c r="F1153">
        <v>23</v>
      </c>
      <c r="G1153">
        <v>120</v>
      </c>
      <c r="H1153">
        <v>60</v>
      </c>
      <c r="I1153">
        <v>0.96944956544640504</v>
      </c>
      <c r="J1153">
        <v>0.98797678275290202</v>
      </c>
      <c r="K1153" t="s">
        <v>432</v>
      </c>
      <c r="L1153">
        <v>0.80945866718780535</v>
      </c>
      <c r="M1153">
        <v>1</v>
      </c>
      <c r="N1153">
        <v>0.98493115094829842</v>
      </c>
      <c r="O1153" t="s">
        <v>433</v>
      </c>
      <c r="P1153">
        <v>58</v>
      </c>
      <c r="Q1153">
        <v>1.72413793103448E-2</v>
      </c>
      <c r="R1153">
        <v>0</v>
      </c>
      <c r="T1153">
        <v>0</v>
      </c>
      <c r="U1153" t="b">
        <v>0</v>
      </c>
      <c r="V1153">
        <v>0</v>
      </c>
      <c r="Y1153">
        <v>5.72601133476646E-2</v>
      </c>
      <c r="Z1153">
        <v>111</v>
      </c>
      <c r="AA1153">
        <v>0</v>
      </c>
      <c r="AB1153">
        <v>0</v>
      </c>
      <c r="AC1153">
        <v>0</v>
      </c>
      <c r="AD1153">
        <v>0</v>
      </c>
      <c r="AE1153">
        <v>0</v>
      </c>
      <c r="AF1153" t="b">
        <v>0</v>
      </c>
    </row>
    <row r="1154" spans="1:35" x14ac:dyDescent="0.3">
      <c r="A1154" t="s">
        <v>2450</v>
      </c>
      <c r="B1154" t="s">
        <v>2451</v>
      </c>
      <c r="C1154" t="s">
        <v>431</v>
      </c>
      <c r="D1154">
        <v>141</v>
      </c>
      <c r="E1154">
        <v>260</v>
      </c>
      <c r="F1154">
        <v>18</v>
      </c>
      <c r="G1154">
        <v>120</v>
      </c>
      <c r="H1154">
        <v>60</v>
      </c>
      <c r="I1154">
        <v>1</v>
      </c>
      <c r="J1154">
        <v>1</v>
      </c>
      <c r="K1154" t="s">
        <v>432</v>
      </c>
      <c r="L1154">
        <v>0.6176084099868594</v>
      </c>
      <c r="M1154">
        <v>1</v>
      </c>
      <c r="N1154">
        <v>1</v>
      </c>
      <c r="O1154" t="s">
        <v>433</v>
      </c>
      <c r="P1154">
        <v>0</v>
      </c>
      <c r="R1154">
        <v>0</v>
      </c>
      <c r="T1154">
        <v>0</v>
      </c>
      <c r="U1154" t="b">
        <v>0</v>
      </c>
      <c r="V1154">
        <v>0</v>
      </c>
      <c r="Y1154">
        <v>0.59198423127463862</v>
      </c>
      <c r="Z1154">
        <v>8</v>
      </c>
      <c r="AA1154">
        <v>0</v>
      </c>
      <c r="AB1154">
        <v>0</v>
      </c>
      <c r="AC1154">
        <v>0</v>
      </c>
      <c r="AD1154">
        <v>0</v>
      </c>
      <c r="AE1154">
        <v>0</v>
      </c>
      <c r="AF1154" t="b">
        <v>0</v>
      </c>
    </row>
    <row r="1155" spans="1:35" x14ac:dyDescent="0.3">
      <c r="A1155" t="s">
        <v>2452</v>
      </c>
      <c r="B1155" t="s">
        <v>2453</v>
      </c>
      <c r="C1155" t="s">
        <v>431</v>
      </c>
      <c r="D1155">
        <v>372</v>
      </c>
      <c r="E1155">
        <v>6663</v>
      </c>
      <c r="F1155">
        <v>104</v>
      </c>
      <c r="G1155">
        <v>60</v>
      </c>
      <c r="H1155">
        <v>1</v>
      </c>
      <c r="I1155">
        <v>0.9231577367552154</v>
      </c>
      <c r="J1155">
        <v>0.96452412740797255</v>
      </c>
      <c r="K1155" t="s">
        <v>432</v>
      </c>
      <c r="L1155">
        <v>3.6620255578867E-2</v>
      </c>
      <c r="M1155">
        <v>1</v>
      </c>
      <c r="N1155">
        <v>3.125E-2</v>
      </c>
      <c r="O1155" t="s">
        <v>433</v>
      </c>
      <c r="P1155">
        <v>372</v>
      </c>
      <c r="Q1155">
        <v>0.72043010752688175</v>
      </c>
      <c r="R1155">
        <v>0</v>
      </c>
      <c r="T1155">
        <v>0</v>
      </c>
      <c r="U1155" t="b">
        <v>0</v>
      </c>
      <c r="V1155">
        <v>21.666666666666671</v>
      </c>
      <c r="Y1155">
        <v>0</v>
      </c>
      <c r="Z1155">
        <v>321</v>
      </c>
      <c r="AA1155">
        <v>1.79848487769146E-2</v>
      </c>
      <c r="AB1155">
        <v>1.695482866043613</v>
      </c>
      <c r="AC1155">
        <v>-0.20967741935483869</v>
      </c>
      <c r="AD1155">
        <v>0</v>
      </c>
      <c r="AE1155">
        <v>0</v>
      </c>
      <c r="AF1155" t="b">
        <v>0</v>
      </c>
    </row>
    <row r="1156" spans="1:35" x14ac:dyDescent="0.3">
      <c r="A1156" t="s">
        <v>2454</v>
      </c>
      <c r="B1156" t="s">
        <v>2455</v>
      </c>
      <c r="C1156" t="s">
        <v>431</v>
      </c>
      <c r="D1156">
        <v>127</v>
      </c>
      <c r="E1156">
        <v>1987</v>
      </c>
      <c r="F1156">
        <v>15</v>
      </c>
      <c r="G1156">
        <v>60</v>
      </c>
      <c r="H1156">
        <v>60</v>
      </c>
      <c r="I1156">
        <v>1</v>
      </c>
      <c r="J1156">
        <v>1</v>
      </c>
      <c r="K1156" t="s">
        <v>432</v>
      </c>
      <c r="L1156">
        <v>0.65934065934065933</v>
      </c>
      <c r="M1156">
        <v>1</v>
      </c>
      <c r="N1156">
        <v>1</v>
      </c>
      <c r="O1156" t="s">
        <v>433</v>
      </c>
      <c r="P1156">
        <v>0</v>
      </c>
      <c r="R1156">
        <v>0</v>
      </c>
      <c r="T1156">
        <v>0</v>
      </c>
      <c r="U1156" t="b">
        <v>0</v>
      </c>
      <c r="V1156">
        <v>3.6363636363636358</v>
      </c>
      <c r="Y1156">
        <v>0</v>
      </c>
      <c r="Z1156">
        <v>80</v>
      </c>
      <c r="AA1156">
        <v>2.9761904761904001E-3</v>
      </c>
      <c r="AB1156">
        <v>0.25</v>
      </c>
      <c r="AC1156">
        <v>-1.63934426229508E-2</v>
      </c>
      <c r="AD1156">
        <v>-1.4184397163120499E-2</v>
      </c>
      <c r="AE1156">
        <v>0</v>
      </c>
      <c r="AF1156" t="b">
        <v>0</v>
      </c>
    </row>
    <row r="1157" spans="1:35" x14ac:dyDescent="0.3">
      <c r="A1157" t="s">
        <v>2456</v>
      </c>
      <c r="B1157" t="s">
        <v>2457</v>
      </c>
      <c r="C1157" t="s">
        <v>479</v>
      </c>
      <c r="D1157">
        <v>10216</v>
      </c>
      <c r="E1157">
        <v>185836</v>
      </c>
      <c r="F1157">
        <v>24</v>
      </c>
      <c r="G1157">
        <v>60</v>
      </c>
      <c r="H1157">
        <v>60</v>
      </c>
      <c r="I1157">
        <v>1</v>
      </c>
      <c r="J1157">
        <v>1</v>
      </c>
      <c r="K1157" t="s">
        <v>86</v>
      </c>
      <c r="P1157">
        <v>0</v>
      </c>
      <c r="R1157">
        <v>0</v>
      </c>
      <c r="T1157">
        <v>2</v>
      </c>
      <c r="U1157" t="b">
        <v>1</v>
      </c>
      <c r="V1157">
        <v>12.8715752215573</v>
      </c>
      <c r="W1157">
        <v>8.4531926038791045</v>
      </c>
      <c r="X1157" t="b">
        <v>1</v>
      </c>
      <c r="Y1157">
        <v>0</v>
      </c>
      <c r="Z1157">
        <v>3088</v>
      </c>
      <c r="AA1157">
        <v>5.5720125945936699E-2</v>
      </c>
      <c r="AB1157">
        <v>4.4789109749813329</v>
      </c>
      <c r="AC1157">
        <v>5.1533012025804003E-3</v>
      </c>
      <c r="AD1157">
        <v>0.1026780078475021</v>
      </c>
      <c r="AE1157">
        <v>2</v>
      </c>
      <c r="AF1157" t="b">
        <v>1</v>
      </c>
      <c r="AG1157">
        <v>2.4458079371088098E-2</v>
      </c>
      <c r="AH1157">
        <v>2.113928065268349</v>
      </c>
      <c r="AI1157" t="b">
        <v>1</v>
      </c>
    </row>
    <row r="1158" spans="1:35" x14ac:dyDescent="0.3">
      <c r="A1158" t="s">
        <v>2458</v>
      </c>
      <c r="B1158" t="s">
        <v>2459</v>
      </c>
      <c r="C1158" t="s">
        <v>479</v>
      </c>
      <c r="D1158">
        <v>124</v>
      </c>
      <c r="E1158">
        <v>984</v>
      </c>
      <c r="F1158">
        <v>23</v>
      </c>
      <c r="G1158">
        <v>60</v>
      </c>
      <c r="H1158">
        <v>60</v>
      </c>
      <c r="I1158">
        <v>1</v>
      </c>
      <c r="J1158">
        <v>1</v>
      </c>
      <c r="K1158" t="s">
        <v>86</v>
      </c>
      <c r="P1158">
        <v>0</v>
      </c>
      <c r="R1158">
        <v>0</v>
      </c>
      <c r="T1158">
        <v>0</v>
      </c>
      <c r="U1158" t="b">
        <v>0</v>
      </c>
      <c r="Y1158">
        <v>0</v>
      </c>
      <c r="Z1158">
        <v>0</v>
      </c>
      <c r="AE1158">
        <v>0</v>
      </c>
      <c r="AF1158" t="b">
        <v>0</v>
      </c>
    </row>
    <row r="1159" spans="1:35" x14ac:dyDescent="0.3">
      <c r="A1159" t="s">
        <v>2460</v>
      </c>
      <c r="B1159" t="s">
        <v>2461</v>
      </c>
      <c r="C1159" t="s">
        <v>431</v>
      </c>
      <c r="D1159">
        <v>227</v>
      </c>
      <c r="E1159">
        <v>2640</v>
      </c>
      <c r="F1159">
        <v>312</v>
      </c>
      <c r="G1159">
        <v>87</v>
      </c>
      <c r="H1159">
        <v>1</v>
      </c>
      <c r="I1159">
        <v>0.15606060606060601</v>
      </c>
      <c r="J1159">
        <v>0.41672473867595811</v>
      </c>
      <c r="K1159" t="s">
        <v>432</v>
      </c>
      <c r="L1159">
        <v>0.59094076655052263</v>
      </c>
      <c r="M1159">
        <v>0.98381601362862003</v>
      </c>
      <c r="N1159">
        <v>2.41745283018867E-2</v>
      </c>
      <c r="O1159" t="s">
        <v>433</v>
      </c>
      <c r="P1159">
        <v>1655</v>
      </c>
      <c r="Q1159">
        <v>0.93353474320241681</v>
      </c>
      <c r="R1159">
        <v>19</v>
      </c>
      <c r="S1159">
        <v>1</v>
      </c>
      <c r="T1159">
        <v>0</v>
      </c>
      <c r="U1159" t="b">
        <v>0</v>
      </c>
      <c r="V1159">
        <v>0.73924731182795678</v>
      </c>
      <c r="Y1159">
        <v>0</v>
      </c>
      <c r="Z1159">
        <v>140</v>
      </c>
      <c r="AA1159">
        <v>-2.7855163821577999E-2</v>
      </c>
      <c r="AB1159">
        <v>-3.7282312925170071</v>
      </c>
      <c r="AC1159">
        <v>-9.6205962059620495E-2</v>
      </c>
      <c r="AD1159">
        <v>-0.1</v>
      </c>
      <c r="AE1159">
        <v>0</v>
      </c>
      <c r="AF1159" t="b">
        <v>0</v>
      </c>
    </row>
    <row r="1160" spans="1:35" x14ac:dyDescent="0.3">
      <c r="A1160" t="s">
        <v>2462</v>
      </c>
      <c r="B1160" t="s">
        <v>2463</v>
      </c>
      <c r="C1160" t="s">
        <v>474</v>
      </c>
      <c r="D1160">
        <v>980</v>
      </c>
      <c r="E1160">
        <v>25251</v>
      </c>
      <c r="F1160">
        <v>18</v>
      </c>
      <c r="G1160">
        <v>60</v>
      </c>
      <c r="H1160">
        <v>60</v>
      </c>
      <c r="I1160">
        <v>1</v>
      </c>
      <c r="J1160">
        <v>1</v>
      </c>
      <c r="K1160" t="s">
        <v>86</v>
      </c>
      <c r="P1160">
        <v>0</v>
      </c>
      <c r="R1160">
        <v>0</v>
      </c>
      <c r="T1160">
        <v>0</v>
      </c>
      <c r="U1160" t="b">
        <v>0</v>
      </c>
      <c r="V1160">
        <v>4.9198113207547172</v>
      </c>
      <c r="Y1160">
        <v>0</v>
      </c>
      <c r="Z1160">
        <v>513</v>
      </c>
      <c r="AA1160">
        <v>1.2316060694884E-2</v>
      </c>
      <c r="AB1160">
        <v>1.0062677738116339</v>
      </c>
      <c r="AC1160">
        <v>5.3965274519000004E-4</v>
      </c>
      <c r="AD1160">
        <v>3.7326911499096001E-3</v>
      </c>
      <c r="AE1160">
        <v>0</v>
      </c>
      <c r="AF1160" t="b">
        <v>0</v>
      </c>
    </row>
    <row r="1161" spans="1:35" x14ac:dyDescent="0.3">
      <c r="A1161" t="s">
        <v>2464</v>
      </c>
      <c r="B1161" t="s">
        <v>2465</v>
      </c>
      <c r="C1161" t="s">
        <v>474</v>
      </c>
      <c r="D1161">
        <v>837</v>
      </c>
      <c r="E1161">
        <v>4266</v>
      </c>
      <c r="F1161">
        <v>44</v>
      </c>
      <c r="G1161">
        <v>540</v>
      </c>
      <c r="H1161">
        <v>60</v>
      </c>
      <c r="I1161">
        <v>1</v>
      </c>
      <c r="J1161">
        <v>1</v>
      </c>
      <c r="K1161" t="s">
        <v>86</v>
      </c>
      <c r="P1161">
        <v>0</v>
      </c>
      <c r="R1161">
        <v>0</v>
      </c>
      <c r="T1161">
        <v>1</v>
      </c>
      <c r="U1161" t="b">
        <v>1</v>
      </c>
      <c r="V1161">
        <v>0.68907563025210128</v>
      </c>
      <c r="W1161">
        <v>1.9770833333333331</v>
      </c>
      <c r="X1161" t="b">
        <v>0</v>
      </c>
      <c r="Y1161">
        <v>0</v>
      </c>
      <c r="Z1161">
        <v>70</v>
      </c>
      <c r="AA1161">
        <v>1.048283959158824E-5</v>
      </c>
      <c r="AB1161">
        <v>7.3260073260069999E-3</v>
      </c>
      <c r="AC1161">
        <v>1.7768301350390402E-5</v>
      </c>
      <c r="AD1161">
        <v>0</v>
      </c>
      <c r="AE1161">
        <v>1</v>
      </c>
      <c r="AF1161" t="b">
        <v>1</v>
      </c>
      <c r="AG1161">
        <v>2.4229709173112998E-3</v>
      </c>
      <c r="AH1161">
        <v>0.70317833361311621</v>
      </c>
      <c r="AI1161" t="b">
        <v>0</v>
      </c>
    </row>
    <row r="1162" spans="1:35" x14ac:dyDescent="0.3">
      <c r="A1162" t="s">
        <v>2466</v>
      </c>
      <c r="B1162" t="s">
        <v>2467</v>
      </c>
      <c r="C1162" t="s">
        <v>512</v>
      </c>
      <c r="D1162">
        <v>517</v>
      </c>
      <c r="E1162">
        <v>7460</v>
      </c>
      <c r="F1162">
        <v>14</v>
      </c>
      <c r="G1162">
        <v>120</v>
      </c>
      <c r="H1162">
        <v>60</v>
      </c>
      <c r="I1162">
        <v>0.99973190348525465</v>
      </c>
      <c r="J1162">
        <v>0.99976536837165642</v>
      </c>
      <c r="K1162" t="s">
        <v>86</v>
      </c>
      <c r="P1162">
        <v>0</v>
      </c>
      <c r="R1162">
        <v>0</v>
      </c>
      <c r="T1162">
        <v>0</v>
      </c>
      <c r="U1162" t="b">
        <v>0</v>
      </c>
      <c r="V1162">
        <v>0</v>
      </c>
      <c r="Y1162">
        <v>0</v>
      </c>
      <c r="Z1162">
        <v>280</v>
      </c>
      <c r="AA1162">
        <v>-3.2669062397900001E-4</v>
      </c>
      <c r="AB1162">
        <v>-3.5714285714285698E-2</v>
      </c>
      <c r="AC1162">
        <v>-2.4449877750611E-3</v>
      </c>
      <c r="AD1162">
        <v>-1.2422360248446999E-3</v>
      </c>
      <c r="AE1162">
        <v>0</v>
      </c>
      <c r="AF1162" t="b">
        <v>0</v>
      </c>
    </row>
    <row r="1163" spans="1:35" x14ac:dyDescent="0.3">
      <c r="A1163" t="s">
        <v>2468</v>
      </c>
      <c r="B1163" t="s">
        <v>2469</v>
      </c>
      <c r="C1163" t="s">
        <v>512</v>
      </c>
      <c r="D1163">
        <v>29597</v>
      </c>
      <c r="E1163">
        <v>476302</v>
      </c>
      <c r="F1163">
        <v>74</v>
      </c>
      <c r="G1163">
        <v>60</v>
      </c>
      <c r="H1163">
        <v>60</v>
      </c>
      <c r="I1163">
        <v>0.99907411684183556</v>
      </c>
      <c r="J1163">
        <v>0.99938869095788097</v>
      </c>
      <c r="K1163" t="s">
        <v>86</v>
      </c>
      <c r="P1163">
        <v>0</v>
      </c>
      <c r="R1163">
        <v>0</v>
      </c>
      <c r="T1163">
        <v>3</v>
      </c>
      <c r="U1163" t="b">
        <v>1</v>
      </c>
      <c r="V1163">
        <v>1.115189427421698</v>
      </c>
      <c r="W1163">
        <v>6.0243684328191369</v>
      </c>
      <c r="X1163" t="b">
        <v>0</v>
      </c>
      <c r="Y1163">
        <v>3.503191407372116E-6</v>
      </c>
      <c r="Z1163">
        <v>11643</v>
      </c>
      <c r="AA1163">
        <v>2.5955862280167001E-3</v>
      </c>
      <c r="AB1163">
        <v>0.25700300637399931</v>
      </c>
      <c r="AC1163">
        <v>8.3697942129496005E-3</v>
      </c>
      <c r="AD1163">
        <v>1.7996221027925001E-3</v>
      </c>
      <c r="AE1163">
        <v>3</v>
      </c>
      <c r="AF1163" t="b">
        <v>1</v>
      </c>
      <c r="AG1163">
        <v>3.9505619919758999E-3</v>
      </c>
      <c r="AH1163">
        <v>1.156836450586451</v>
      </c>
      <c r="AI1163" t="b">
        <v>0</v>
      </c>
    </row>
    <row r="1164" spans="1:35" x14ac:dyDescent="0.3">
      <c r="A1164" t="s">
        <v>2470</v>
      </c>
      <c r="B1164" t="s">
        <v>2471</v>
      </c>
      <c r="C1164" t="s">
        <v>831</v>
      </c>
      <c r="D1164">
        <v>1800</v>
      </c>
      <c r="E1164">
        <v>37017</v>
      </c>
      <c r="F1164">
        <v>8</v>
      </c>
      <c r="G1164">
        <v>60</v>
      </c>
      <c r="H1164">
        <v>60</v>
      </c>
      <c r="I1164">
        <v>1</v>
      </c>
      <c r="J1164">
        <v>1</v>
      </c>
      <c r="K1164" t="s">
        <v>86</v>
      </c>
      <c r="P1164">
        <v>0</v>
      </c>
      <c r="R1164">
        <v>0</v>
      </c>
      <c r="T1164">
        <v>0</v>
      </c>
      <c r="U1164" t="b">
        <v>0</v>
      </c>
      <c r="V1164">
        <v>3.3195488721804511</v>
      </c>
      <c r="Y1164">
        <v>0</v>
      </c>
      <c r="Z1164">
        <v>834</v>
      </c>
      <c r="AA1164">
        <v>-3.8340617819707999E-3</v>
      </c>
      <c r="AB1164">
        <v>-0.35145566334732642</v>
      </c>
      <c r="AC1164">
        <v>6.3309546250168002E-3</v>
      </c>
      <c r="AD1164">
        <v>-1.1176521233776E-2</v>
      </c>
      <c r="AE1164">
        <v>0</v>
      </c>
      <c r="AF1164" t="b">
        <v>0</v>
      </c>
    </row>
    <row r="1165" spans="1:35" x14ac:dyDescent="0.3">
      <c r="A1165" t="s">
        <v>2472</v>
      </c>
      <c r="B1165" t="s">
        <v>2473</v>
      </c>
      <c r="C1165" t="s">
        <v>831</v>
      </c>
      <c r="D1165">
        <v>98</v>
      </c>
      <c r="E1165">
        <v>1793</v>
      </c>
      <c r="F1165">
        <v>7</v>
      </c>
      <c r="G1165">
        <v>60</v>
      </c>
      <c r="H1165">
        <v>60</v>
      </c>
      <c r="I1165">
        <v>1</v>
      </c>
      <c r="J1165">
        <v>1</v>
      </c>
      <c r="K1165" t="s">
        <v>86</v>
      </c>
      <c r="P1165">
        <v>0</v>
      </c>
      <c r="R1165">
        <v>0</v>
      </c>
      <c r="T1165">
        <v>0</v>
      </c>
      <c r="U1165" t="b">
        <v>0</v>
      </c>
      <c r="V1165">
        <v>0</v>
      </c>
      <c r="Y1165">
        <v>0</v>
      </c>
      <c r="Z1165">
        <v>38</v>
      </c>
      <c r="AA1165">
        <v>0</v>
      </c>
      <c r="AB1165">
        <v>0</v>
      </c>
      <c r="AC1165">
        <v>0</v>
      </c>
      <c r="AD1165">
        <v>0</v>
      </c>
      <c r="AE1165">
        <v>0</v>
      </c>
      <c r="AF1165" t="b">
        <v>0</v>
      </c>
    </row>
    <row r="1166" spans="1:35" x14ac:dyDescent="0.3">
      <c r="A1166" t="s">
        <v>2474</v>
      </c>
      <c r="B1166" t="s">
        <v>2475</v>
      </c>
      <c r="C1166" t="s">
        <v>532</v>
      </c>
      <c r="D1166">
        <v>4345</v>
      </c>
      <c r="E1166">
        <v>178917</v>
      </c>
      <c r="F1166">
        <v>369</v>
      </c>
      <c r="G1166">
        <v>54</v>
      </c>
      <c r="H1166">
        <v>1</v>
      </c>
      <c r="I1166">
        <v>1.9953386207012098E-2</v>
      </c>
      <c r="J1166">
        <v>0.14655510952090059</v>
      </c>
      <c r="K1166" t="s">
        <v>432</v>
      </c>
      <c r="L1166">
        <v>0.83751854437559992</v>
      </c>
      <c r="M1166">
        <v>0.80731789191003689</v>
      </c>
      <c r="N1166">
        <v>1.8364874897430199E-2</v>
      </c>
      <c r="O1166" t="s">
        <v>433</v>
      </c>
      <c r="P1166">
        <v>150734</v>
      </c>
      <c r="Q1166">
        <v>0.32609762893574112</v>
      </c>
      <c r="R1166">
        <v>5696</v>
      </c>
      <c r="S1166">
        <v>1.9136235955056102E-2</v>
      </c>
      <c r="T1166">
        <v>0</v>
      </c>
      <c r="U1166" t="b">
        <v>0</v>
      </c>
      <c r="V1166">
        <v>4.8733638904980792</v>
      </c>
      <c r="Y1166">
        <v>0</v>
      </c>
      <c r="Z1166">
        <v>3049</v>
      </c>
      <c r="AA1166">
        <v>3.0020572135085299E-2</v>
      </c>
      <c r="AB1166">
        <v>1.846214036540984</v>
      </c>
      <c r="AC1166">
        <v>1.56366469048108E-2</v>
      </c>
      <c r="AD1166">
        <v>4.2699322434954001E-2</v>
      </c>
      <c r="AE1166">
        <v>0</v>
      </c>
      <c r="AF1166" t="b">
        <v>0</v>
      </c>
    </row>
    <row r="1167" spans="1:35" x14ac:dyDescent="0.3">
      <c r="A1167" t="s">
        <v>2476</v>
      </c>
      <c r="B1167" t="s">
        <v>2477</v>
      </c>
      <c r="C1167" t="s">
        <v>532</v>
      </c>
      <c r="D1167">
        <v>3187</v>
      </c>
      <c r="E1167">
        <v>91956</v>
      </c>
      <c r="F1167">
        <v>7</v>
      </c>
      <c r="G1167">
        <v>120</v>
      </c>
      <c r="H1167">
        <v>60</v>
      </c>
      <c r="I1167">
        <v>1</v>
      </c>
      <c r="J1167">
        <v>1</v>
      </c>
      <c r="K1167" t="s">
        <v>432</v>
      </c>
      <c r="L1167">
        <v>0.88910492117060391</v>
      </c>
      <c r="M1167">
        <v>1</v>
      </c>
      <c r="N1167">
        <v>1</v>
      </c>
      <c r="O1167" t="s">
        <v>433</v>
      </c>
      <c r="P1167">
        <v>0</v>
      </c>
      <c r="R1167">
        <v>0</v>
      </c>
      <c r="T1167">
        <v>3</v>
      </c>
      <c r="U1167" t="b">
        <v>1</v>
      </c>
      <c r="V1167">
        <v>8.5592868394159627</v>
      </c>
      <c r="W1167">
        <v>11.344079000505269</v>
      </c>
      <c r="X1167" t="b">
        <v>0</v>
      </c>
      <c r="Y1167">
        <v>0</v>
      </c>
      <c r="Z1167">
        <v>897</v>
      </c>
      <c r="AA1167">
        <v>6.7997365903844906E-2</v>
      </c>
      <c r="AB1167">
        <v>6.8869902121956494</v>
      </c>
      <c r="AC1167">
        <v>5.6241411070116099E-2</v>
      </c>
      <c r="AD1167">
        <v>8.2967242133816399E-2</v>
      </c>
      <c r="AE1167">
        <v>3</v>
      </c>
      <c r="AF1167" t="b">
        <v>1</v>
      </c>
      <c r="AG1167">
        <v>1.60433771769284E-2</v>
      </c>
      <c r="AH1167">
        <v>1.631808669757365</v>
      </c>
      <c r="AI1167" t="b">
        <v>1</v>
      </c>
    </row>
    <row r="1168" spans="1:35" x14ac:dyDescent="0.3">
      <c r="A1168" t="s">
        <v>2478</v>
      </c>
      <c r="B1168" t="s">
        <v>2479</v>
      </c>
      <c r="C1168" t="s">
        <v>532</v>
      </c>
      <c r="D1168">
        <v>5056</v>
      </c>
      <c r="E1168">
        <v>160784</v>
      </c>
      <c r="F1168">
        <v>299</v>
      </c>
      <c r="G1168">
        <v>56</v>
      </c>
      <c r="H1168">
        <v>1</v>
      </c>
      <c r="I1168">
        <v>2.2663946661359301E-2</v>
      </c>
      <c r="J1168">
        <v>0.23737254972897029</v>
      </c>
      <c r="K1168" t="s">
        <v>432</v>
      </c>
      <c r="L1168">
        <v>0.90874831925426136</v>
      </c>
      <c r="M1168">
        <v>0.93465045592705165</v>
      </c>
      <c r="N1168">
        <v>0.1673556049497395</v>
      </c>
      <c r="O1168" t="s">
        <v>518</v>
      </c>
      <c r="P1168">
        <v>125492</v>
      </c>
      <c r="Q1168">
        <v>1.8821916934944002E-2</v>
      </c>
      <c r="R1168">
        <v>570</v>
      </c>
      <c r="S1168">
        <v>5.2631578947368004E-3</v>
      </c>
      <c r="T1168">
        <v>1</v>
      </c>
      <c r="U1168" t="b">
        <v>1</v>
      </c>
      <c r="V1168">
        <v>5.380601294282938</v>
      </c>
      <c r="W1168">
        <v>0.4017857142857143</v>
      </c>
      <c r="X1168" t="b">
        <v>1</v>
      </c>
      <c r="Y1168">
        <v>0</v>
      </c>
      <c r="Z1168">
        <v>3175</v>
      </c>
      <c r="AA1168">
        <v>1.3196880710480899E-2</v>
      </c>
      <c r="AB1168">
        <v>0.87463422612005737</v>
      </c>
      <c r="AC1168">
        <v>-7.4635805659899E-3</v>
      </c>
      <c r="AD1168">
        <v>2.6319896096863801E-2</v>
      </c>
      <c r="AE1168">
        <v>1</v>
      </c>
      <c r="AF1168" t="b">
        <v>1</v>
      </c>
      <c r="AG1168">
        <v>-2.5769875016099999E-4</v>
      </c>
      <c r="AH1168">
        <v>-2.6785714285714201E-2</v>
      </c>
      <c r="AI1168" t="b">
        <v>1</v>
      </c>
    </row>
    <row r="1169" spans="1:35" x14ac:dyDescent="0.3">
      <c r="A1169" t="s">
        <v>2480</v>
      </c>
      <c r="B1169" t="s">
        <v>2481</v>
      </c>
      <c r="C1169" t="s">
        <v>532</v>
      </c>
      <c r="D1169">
        <v>1742</v>
      </c>
      <c r="E1169">
        <v>54236</v>
      </c>
      <c r="F1169">
        <v>12</v>
      </c>
      <c r="G1169">
        <v>60</v>
      </c>
      <c r="H1169">
        <v>60</v>
      </c>
      <c r="I1169">
        <v>1</v>
      </c>
      <c r="J1169">
        <v>1</v>
      </c>
      <c r="K1169" t="s">
        <v>432</v>
      </c>
      <c r="L1169">
        <v>0.97090256768877603</v>
      </c>
      <c r="M1169">
        <v>1</v>
      </c>
      <c r="N1169">
        <v>1</v>
      </c>
      <c r="O1169" t="s">
        <v>433</v>
      </c>
      <c r="P1169">
        <v>0</v>
      </c>
      <c r="R1169">
        <v>0</v>
      </c>
      <c r="T1169">
        <v>0</v>
      </c>
      <c r="U1169" t="b">
        <v>0</v>
      </c>
      <c r="V1169">
        <v>7.3937134018340513</v>
      </c>
      <c r="Y1169">
        <v>0</v>
      </c>
      <c r="Z1169">
        <v>1393</v>
      </c>
      <c r="AA1169">
        <v>2.1608569570544699E-2</v>
      </c>
      <c r="AB1169">
        <v>1.6381756624356181</v>
      </c>
      <c r="AC1169">
        <v>2.2546936077161898E-2</v>
      </c>
      <c r="AD1169">
        <v>1.88251917062792E-2</v>
      </c>
      <c r="AE1169">
        <v>0</v>
      </c>
      <c r="AF1169" t="b">
        <v>0</v>
      </c>
    </row>
    <row r="1170" spans="1:35" x14ac:dyDescent="0.3">
      <c r="A1170" t="s">
        <v>2482</v>
      </c>
      <c r="B1170" t="s">
        <v>2483</v>
      </c>
      <c r="C1170" t="s">
        <v>532</v>
      </c>
      <c r="D1170">
        <v>1417</v>
      </c>
      <c r="E1170">
        <v>41102</v>
      </c>
      <c r="F1170">
        <v>25</v>
      </c>
      <c r="G1170">
        <v>60</v>
      </c>
      <c r="H1170">
        <v>10</v>
      </c>
      <c r="I1170">
        <v>0.94883460658848717</v>
      </c>
      <c r="J1170">
        <v>0.92687865451765517</v>
      </c>
      <c r="K1170" t="s">
        <v>432</v>
      </c>
      <c r="L1170">
        <v>0.91030806421620281</v>
      </c>
      <c r="M1170">
        <v>0.98157106657452198</v>
      </c>
      <c r="N1170">
        <v>0.92148985428299057</v>
      </c>
      <c r="O1170" t="s">
        <v>433</v>
      </c>
      <c r="P1170">
        <v>3392</v>
      </c>
      <c r="Q1170">
        <v>2.2405660377358399E-2</v>
      </c>
      <c r="R1170">
        <v>0</v>
      </c>
      <c r="T1170">
        <v>0</v>
      </c>
      <c r="U1170" t="b">
        <v>0</v>
      </c>
      <c r="V1170">
        <v>4.7078715830478872</v>
      </c>
      <c r="Y1170">
        <v>0</v>
      </c>
      <c r="Z1170">
        <v>792</v>
      </c>
      <c r="AA1170">
        <v>3.7870613641442E-3</v>
      </c>
      <c r="AB1170">
        <v>0.28432757267984538</v>
      </c>
      <c r="AC1170">
        <v>-1.9360713056419E-3</v>
      </c>
      <c r="AD1170">
        <v>1.1506335516610001E-2</v>
      </c>
      <c r="AE1170">
        <v>0</v>
      </c>
      <c r="AF1170" t="b">
        <v>0</v>
      </c>
    </row>
    <row r="1171" spans="1:35" x14ac:dyDescent="0.3">
      <c r="A1171" t="s">
        <v>2484</v>
      </c>
      <c r="B1171" t="s">
        <v>2485</v>
      </c>
      <c r="C1171" t="s">
        <v>532</v>
      </c>
      <c r="D1171">
        <v>2196</v>
      </c>
      <c r="E1171">
        <v>95216</v>
      </c>
      <c r="F1171">
        <v>264</v>
      </c>
      <c r="G1171">
        <v>57</v>
      </c>
      <c r="H1171">
        <v>1</v>
      </c>
      <c r="I1171">
        <v>1.9807595362124002E-2</v>
      </c>
      <c r="J1171">
        <v>0.165031002340574</v>
      </c>
      <c r="K1171" t="s">
        <v>432</v>
      </c>
      <c r="L1171">
        <v>0.95919393914507456</v>
      </c>
      <c r="M1171">
        <v>1</v>
      </c>
      <c r="N1171">
        <v>0.1295097231289532</v>
      </c>
      <c r="O1171" t="s">
        <v>433</v>
      </c>
      <c r="P1171">
        <v>30404</v>
      </c>
      <c r="Q1171">
        <v>4.0093408762004998E-2</v>
      </c>
      <c r="R1171">
        <v>0</v>
      </c>
      <c r="T1171">
        <v>0</v>
      </c>
      <c r="U1171" t="b">
        <v>0</v>
      </c>
      <c r="V1171">
        <v>3.5944849645505661</v>
      </c>
      <c r="Y1171">
        <v>0</v>
      </c>
      <c r="Z1171">
        <v>2469</v>
      </c>
      <c r="AA1171">
        <v>2.15960418917867E-2</v>
      </c>
      <c r="AB1171">
        <v>1.446699572601045</v>
      </c>
      <c r="AC1171">
        <v>1.43424293163316E-2</v>
      </c>
      <c r="AD1171">
        <v>1.9666851156633199E-2</v>
      </c>
      <c r="AE1171">
        <v>0</v>
      </c>
      <c r="AF1171" t="b">
        <v>0</v>
      </c>
    </row>
    <row r="1172" spans="1:35" x14ac:dyDescent="0.3">
      <c r="A1172" t="s">
        <v>2486</v>
      </c>
      <c r="B1172" t="s">
        <v>2487</v>
      </c>
      <c r="C1172" t="s">
        <v>85</v>
      </c>
      <c r="D1172">
        <v>1356</v>
      </c>
      <c r="E1172">
        <v>40410</v>
      </c>
      <c r="F1172">
        <v>18</v>
      </c>
      <c r="G1172">
        <v>60</v>
      </c>
      <c r="H1172">
        <v>60</v>
      </c>
      <c r="I1172">
        <v>1</v>
      </c>
      <c r="J1172">
        <v>1</v>
      </c>
      <c r="K1172" t="s">
        <v>86</v>
      </c>
      <c r="P1172">
        <v>0</v>
      </c>
      <c r="R1172">
        <v>0</v>
      </c>
      <c r="T1172">
        <v>0</v>
      </c>
      <c r="U1172" t="b">
        <v>0</v>
      </c>
      <c r="Y1172">
        <v>0</v>
      </c>
      <c r="Z1172">
        <v>473</v>
      </c>
      <c r="AA1172">
        <v>-7.9840319361270003E-4</v>
      </c>
      <c r="AB1172">
        <v>-6.7653276955602498E-2</v>
      </c>
      <c r="AC1172">
        <v>-1.1834319526627E-3</v>
      </c>
      <c r="AD1172">
        <v>0</v>
      </c>
      <c r="AE1172">
        <v>0</v>
      </c>
      <c r="AF1172" t="b">
        <v>0</v>
      </c>
    </row>
    <row r="1173" spans="1:35" x14ac:dyDescent="0.3">
      <c r="A1173" t="s">
        <v>2488</v>
      </c>
      <c r="B1173" t="s">
        <v>1421</v>
      </c>
      <c r="C1173" t="s">
        <v>85</v>
      </c>
      <c r="D1173">
        <v>878</v>
      </c>
      <c r="E1173">
        <v>22007</v>
      </c>
      <c r="F1173">
        <v>10</v>
      </c>
      <c r="G1173">
        <v>60</v>
      </c>
      <c r="H1173">
        <v>60</v>
      </c>
      <c r="I1173">
        <v>1</v>
      </c>
      <c r="J1173">
        <v>1</v>
      </c>
      <c r="K1173" t="s">
        <v>86</v>
      </c>
      <c r="P1173">
        <v>0</v>
      </c>
      <c r="R1173">
        <v>0</v>
      </c>
      <c r="T1173">
        <v>0</v>
      </c>
      <c r="U1173" t="b">
        <v>0</v>
      </c>
      <c r="V1173">
        <v>1.666666666666667</v>
      </c>
      <c r="Y1173">
        <v>0</v>
      </c>
      <c r="Z1173">
        <v>461</v>
      </c>
      <c r="AA1173">
        <v>1.6259560819146299E-2</v>
      </c>
      <c r="AB1173">
        <v>1.633715525255655</v>
      </c>
      <c r="AC1173">
        <v>2.25752508361204E-2</v>
      </c>
      <c r="AD1173">
        <v>3.5714285714285698E-2</v>
      </c>
      <c r="AE1173">
        <v>0</v>
      </c>
      <c r="AF1173" t="b">
        <v>0</v>
      </c>
    </row>
    <row r="1174" spans="1:35" x14ac:dyDescent="0.3">
      <c r="A1174" t="s">
        <v>2489</v>
      </c>
      <c r="B1174" t="s">
        <v>2490</v>
      </c>
      <c r="C1174" t="s">
        <v>768</v>
      </c>
      <c r="D1174">
        <v>554</v>
      </c>
      <c r="E1174">
        <v>10777</v>
      </c>
      <c r="F1174">
        <v>663</v>
      </c>
      <c r="G1174">
        <v>87</v>
      </c>
      <c r="H1174">
        <v>1</v>
      </c>
      <c r="I1174">
        <v>1.67022362438526E-2</v>
      </c>
      <c r="J1174">
        <v>0.1148553281580804</v>
      </c>
      <c r="K1174" t="s">
        <v>86</v>
      </c>
      <c r="P1174">
        <v>0</v>
      </c>
      <c r="R1174">
        <v>0</v>
      </c>
      <c r="T1174">
        <v>0</v>
      </c>
      <c r="U1174" t="b">
        <v>0</v>
      </c>
      <c r="Y1174">
        <v>0</v>
      </c>
      <c r="Z1174">
        <v>0</v>
      </c>
      <c r="AE1174">
        <v>0</v>
      </c>
      <c r="AF1174" t="b">
        <v>0</v>
      </c>
    </row>
    <row r="1175" spans="1:35" x14ac:dyDescent="0.3">
      <c r="A1175" t="s">
        <v>2491</v>
      </c>
      <c r="B1175" t="s">
        <v>2492</v>
      </c>
      <c r="C1175" t="s">
        <v>431</v>
      </c>
      <c r="D1175">
        <v>84</v>
      </c>
      <c r="E1175">
        <v>1515</v>
      </c>
      <c r="F1175">
        <v>7</v>
      </c>
      <c r="G1175">
        <v>60</v>
      </c>
      <c r="H1175">
        <v>60</v>
      </c>
      <c r="I1175">
        <v>1</v>
      </c>
      <c r="J1175">
        <v>1</v>
      </c>
      <c r="K1175" t="s">
        <v>432</v>
      </c>
      <c r="L1175">
        <v>0.7632575757575758</v>
      </c>
      <c r="M1175">
        <v>1</v>
      </c>
      <c r="N1175">
        <v>1</v>
      </c>
      <c r="O1175" t="s">
        <v>433</v>
      </c>
      <c r="P1175">
        <v>0</v>
      </c>
      <c r="R1175">
        <v>0</v>
      </c>
      <c r="T1175">
        <v>0</v>
      </c>
      <c r="U1175" t="b">
        <v>0</v>
      </c>
      <c r="V1175">
        <v>0</v>
      </c>
      <c r="Y1175">
        <v>0</v>
      </c>
      <c r="Z1175">
        <v>65</v>
      </c>
      <c r="AA1175">
        <v>0</v>
      </c>
      <c r="AB1175">
        <v>0</v>
      </c>
      <c r="AC1175">
        <v>0</v>
      </c>
      <c r="AD1175">
        <v>0</v>
      </c>
      <c r="AE1175">
        <v>0</v>
      </c>
      <c r="AF1175" t="b">
        <v>0</v>
      </c>
    </row>
    <row r="1176" spans="1:35" x14ac:dyDescent="0.3">
      <c r="A1176" t="s">
        <v>2493</v>
      </c>
      <c r="B1176" t="s">
        <v>2494</v>
      </c>
      <c r="C1176" t="s">
        <v>431</v>
      </c>
      <c r="D1176">
        <v>1922</v>
      </c>
      <c r="E1176">
        <v>61959</v>
      </c>
      <c r="F1176">
        <v>252</v>
      </c>
      <c r="G1176">
        <v>54</v>
      </c>
      <c r="H1176">
        <v>1</v>
      </c>
      <c r="I1176">
        <v>2.6921028422021001E-2</v>
      </c>
      <c r="J1176">
        <v>0.1733222710978225</v>
      </c>
      <c r="K1176" t="s">
        <v>432</v>
      </c>
      <c r="L1176">
        <v>0.84280145896275893</v>
      </c>
      <c r="M1176">
        <v>1</v>
      </c>
      <c r="N1176">
        <v>1.9131113133601999E-2</v>
      </c>
      <c r="O1176" t="s">
        <v>433</v>
      </c>
      <c r="P1176">
        <v>40798</v>
      </c>
      <c r="Q1176">
        <v>0.30888769057306731</v>
      </c>
      <c r="R1176">
        <v>0</v>
      </c>
      <c r="T1176">
        <v>0</v>
      </c>
      <c r="U1176" t="b">
        <v>0</v>
      </c>
      <c r="V1176">
        <v>0.40201394268009288</v>
      </c>
      <c r="Y1176">
        <v>0</v>
      </c>
      <c r="Z1176">
        <v>1690</v>
      </c>
      <c r="AA1176">
        <v>0</v>
      </c>
      <c r="AB1176">
        <v>0</v>
      </c>
      <c r="AC1176">
        <v>0</v>
      </c>
      <c r="AD1176">
        <v>0</v>
      </c>
      <c r="AE1176">
        <v>0</v>
      </c>
      <c r="AF1176" t="b">
        <v>0</v>
      </c>
    </row>
    <row r="1177" spans="1:35" x14ac:dyDescent="0.3">
      <c r="A1177" t="s">
        <v>2495</v>
      </c>
      <c r="B1177" t="s">
        <v>2496</v>
      </c>
      <c r="C1177" t="s">
        <v>431</v>
      </c>
      <c r="D1177">
        <v>1365</v>
      </c>
      <c r="E1177">
        <v>21945</v>
      </c>
      <c r="F1177">
        <v>316</v>
      </c>
      <c r="G1177">
        <v>82</v>
      </c>
      <c r="H1177">
        <v>1</v>
      </c>
      <c r="I1177">
        <v>6.0560492139439502E-2</v>
      </c>
      <c r="J1177">
        <v>0.29528246942341291</v>
      </c>
      <c r="K1177" t="s">
        <v>432</v>
      </c>
      <c r="L1177">
        <v>0.78850153922955324</v>
      </c>
      <c r="M1177">
        <v>1</v>
      </c>
      <c r="N1177">
        <v>0.1062572544054025</v>
      </c>
      <c r="O1177" t="s">
        <v>433</v>
      </c>
      <c r="P1177">
        <v>9112</v>
      </c>
      <c r="Q1177">
        <v>0.46005267778753289</v>
      </c>
      <c r="R1177">
        <v>0</v>
      </c>
      <c r="T1177">
        <v>0</v>
      </c>
      <c r="U1177" t="b">
        <v>0</v>
      </c>
      <c r="V1177">
        <v>2.446836268754077</v>
      </c>
      <c r="Y1177">
        <v>0</v>
      </c>
      <c r="Z1177">
        <v>956</v>
      </c>
      <c r="AA1177">
        <v>1.25331353891134E-2</v>
      </c>
      <c r="AB1177">
        <v>1.5268729207798239</v>
      </c>
      <c r="AC1177">
        <v>-8.4449392845879993E-3</v>
      </c>
      <c r="AD1177">
        <v>1.60329312594E-3</v>
      </c>
      <c r="AE1177">
        <v>0</v>
      </c>
      <c r="AF1177" t="b">
        <v>0</v>
      </c>
    </row>
    <row r="1178" spans="1:35" x14ac:dyDescent="0.3">
      <c r="A1178" t="s">
        <v>2497</v>
      </c>
      <c r="B1178" t="s">
        <v>2498</v>
      </c>
      <c r="C1178" t="s">
        <v>831</v>
      </c>
      <c r="D1178">
        <v>1440</v>
      </c>
      <c r="E1178">
        <v>28631</v>
      </c>
      <c r="F1178">
        <v>3</v>
      </c>
      <c r="G1178">
        <v>60</v>
      </c>
      <c r="H1178">
        <v>60</v>
      </c>
      <c r="I1178">
        <v>1</v>
      </c>
      <c r="J1178">
        <v>1</v>
      </c>
      <c r="K1178" t="s">
        <v>86</v>
      </c>
      <c r="P1178">
        <v>0</v>
      </c>
      <c r="R1178">
        <v>0</v>
      </c>
      <c r="T1178">
        <v>1</v>
      </c>
      <c r="U1178" t="b">
        <v>1</v>
      </c>
      <c r="V1178">
        <v>0.16115702479338839</v>
      </c>
      <c r="W1178">
        <v>0.65175909361955875</v>
      </c>
      <c r="X1178" t="b">
        <v>0</v>
      </c>
      <c r="Y1178">
        <v>0</v>
      </c>
      <c r="Z1178">
        <v>800</v>
      </c>
      <c r="AA1178">
        <v>3.1539844242181002E-3</v>
      </c>
      <c r="AB1178">
        <v>0.25472132034632028</v>
      </c>
      <c r="AC1178">
        <v>1.9572607377105998E-3</v>
      </c>
      <c r="AD1178">
        <v>4.7854018637880002E-3</v>
      </c>
      <c r="AE1178">
        <v>1</v>
      </c>
      <c r="AF1178" t="b">
        <v>1</v>
      </c>
      <c r="AG1178">
        <v>2.18788974876396E-2</v>
      </c>
      <c r="AH1178">
        <v>1.5974430641821951</v>
      </c>
      <c r="AI1178" t="b">
        <v>0</v>
      </c>
    </row>
    <row r="1179" spans="1:35" x14ac:dyDescent="0.3">
      <c r="A1179" t="s">
        <v>2499</v>
      </c>
      <c r="B1179" t="s">
        <v>2500</v>
      </c>
      <c r="C1179" t="s">
        <v>479</v>
      </c>
      <c r="D1179">
        <v>2232</v>
      </c>
      <c r="E1179">
        <v>48618</v>
      </c>
      <c r="F1179">
        <v>14</v>
      </c>
      <c r="G1179">
        <v>60</v>
      </c>
      <c r="H1179">
        <v>60</v>
      </c>
      <c r="I1179">
        <v>1</v>
      </c>
      <c r="J1179">
        <v>1</v>
      </c>
      <c r="K1179" t="s">
        <v>86</v>
      </c>
      <c r="P1179">
        <v>0</v>
      </c>
      <c r="R1179">
        <v>0</v>
      </c>
      <c r="T1179">
        <v>0</v>
      </c>
      <c r="U1179" t="b">
        <v>0</v>
      </c>
      <c r="V1179">
        <v>8.1731230670604251</v>
      </c>
      <c r="Y1179">
        <v>0</v>
      </c>
      <c r="Z1179">
        <v>1104</v>
      </c>
      <c r="AA1179">
        <v>5.1126823710208803E-2</v>
      </c>
      <c r="AB1179">
        <v>4.2360871821723496</v>
      </c>
      <c r="AC1179">
        <v>2.7005419492912699E-2</v>
      </c>
      <c r="AD1179">
        <v>7.3796317051939495E-2</v>
      </c>
      <c r="AE1179">
        <v>0</v>
      </c>
      <c r="AF1179" t="b">
        <v>0</v>
      </c>
    </row>
    <row r="1180" spans="1:35" x14ac:dyDescent="0.3">
      <c r="A1180" t="s">
        <v>2501</v>
      </c>
      <c r="B1180" t="s">
        <v>2502</v>
      </c>
      <c r="C1180" t="s">
        <v>573</v>
      </c>
      <c r="D1180">
        <v>7032</v>
      </c>
      <c r="E1180">
        <v>228798</v>
      </c>
      <c r="F1180">
        <v>333</v>
      </c>
      <c r="G1180">
        <v>72</v>
      </c>
      <c r="H1180">
        <v>1</v>
      </c>
      <c r="I1180">
        <v>2.0223078873066999E-2</v>
      </c>
      <c r="J1180">
        <v>0.1308357715303396</v>
      </c>
      <c r="K1180" t="s">
        <v>86</v>
      </c>
      <c r="P1180">
        <v>0</v>
      </c>
      <c r="R1180">
        <v>0</v>
      </c>
      <c r="T1180">
        <v>0</v>
      </c>
      <c r="U1180" t="b">
        <v>0</v>
      </c>
      <c r="V1180">
        <v>0.65803578824291453</v>
      </c>
      <c r="Y1180">
        <v>0</v>
      </c>
      <c r="Z1180">
        <v>3993</v>
      </c>
      <c r="AA1180">
        <v>-1.7999999501357999E-3</v>
      </c>
      <c r="AB1180">
        <v>-0.1559671087820429</v>
      </c>
      <c r="AC1180">
        <v>-4.9017131695665E-3</v>
      </c>
      <c r="AD1180">
        <v>4.8333472227249998E-4</v>
      </c>
      <c r="AE1180">
        <v>0</v>
      </c>
      <c r="AF1180" t="b">
        <v>0</v>
      </c>
    </row>
    <row r="1181" spans="1:35" x14ac:dyDescent="0.3">
      <c r="A1181" t="s">
        <v>2503</v>
      </c>
      <c r="B1181" t="s">
        <v>2504</v>
      </c>
      <c r="C1181" t="s">
        <v>474</v>
      </c>
      <c r="D1181">
        <v>9794</v>
      </c>
      <c r="E1181">
        <v>136542</v>
      </c>
      <c r="F1181">
        <v>732</v>
      </c>
      <c r="G1181">
        <v>64</v>
      </c>
      <c r="H1181">
        <v>1</v>
      </c>
      <c r="I1181">
        <v>0.1033528145186096</v>
      </c>
      <c r="J1181">
        <v>0.3839656680516072</v>
      </c>
      <c r="K1181" t="s">
        <v>86</v>
      </c>
      <c r="P1181">
        <v>0</v>
      </c>
      <c r="R1181">
        <v>0</v>
      </c>
      <c r="T1181">
        <v>2</v>
      </c>
      <c r="U1181" t="b">
        <v>1</v>
      </c>
      <c r="V1181">
        <v>15.81732245719696</v>
      </c>
      <c r="W1181">
        <v>14.77325870646766</v>
      </c>
      <c r="X1181" t="b">
        <v>1</v>
      </c>
      <c r="Y1181">
        <v>0</v>
      </c>
      <c r="Z1181">
        <v>3537</v>
      </c>
      <c r="AA1181">
        <v>-1.9737631113176099E-2</v>
      </c>
      <c r="AB1181">
        <v>-1.988658206378344</v>
      </c>
      <c r="AC1181">
        <v>-4.2506365170101798E-2</v>
      </c>
      <c r="AD1181">
        <v>1.0472117473485001E-2</v>
      </c>
      <c r="AE1181">
        <v>2</v>
      </c>
      <c r="AF1181" t="b">
        <v>1</v>
      </c>
      <c r="AG1181">
        <v>0</v>
      </c>
      <c r="AH1181">
        <v>0</v>
      </c>
      <c r="AI1181" t="b">
        <v>0</v>
      </c>
    </row>
    <row r="1182" spans="1:35" x14ac:dyDescent="0.3">
      <c r="A1182" t="s">
        <v>2505</v>
      </c>
      <c r="B1182" t="s">
        <v>2506</v>
      </c>
      <c r="C1182" t="s">
        <v>474</v>
      </c>
      <c r="D1182">
        <v>4510</v>
      </c>
      <c r="E1182">
        <v>68486</v>
      </c>
      <c r="F1182">
        <v>56</v>
      </c>
      <c r="G1182">
        <v>120</v>
      </c>
      <c r="H1182">
        <v>60</v>
      </c>
      <c r="I1182">
        <v>0.99817480945010661</v>
      </c>
      <c r="J1182">
        <v>0.99700684683785845</v>
      </c>
      <c r="K1182" t="s">
        <v>86</v>
      </c>
      <c r="P1182">
        <v>0</v>
      </c>
      <c r="R1182">
        <v>0</v>
      </c>
      <c r="T1182">
        <v>1</v>
      </c>
      <c r="U1182" t="b">
        <v>1</v>
      </c>
      <c r="V1182">
        <v>0</v>
      </c>
      <c r="W1182">
        <v>0</v>
      </c>
      <c r="X1182" t="b">
        <v>0</v>
      </c>
      <c r="Y1182">
        <v>0</v>
      </c>
      <c r="Z1182">
        <v>1101</v>
      </c>
      <c r="AA1182">
        <v>-1.4809122978588999E-3</v>
      </c>
      <c r="AB1182">
        <v>-0.19255222524977289</v>
      </c>
      <c r="AC1182">
        <v>-8.0321285140559997E-4</v>
      </c>
      <c r="AD1182">
        <v>0</v>
      </c>
      <c r="AE1182">
        <v>1</v>
      </c>
      <c r="AF1182" t="b">
        <v>1</v>
      </c>
      <c r="AG1182">
        <v>0</v>
      </c>
      <c r="AH1182">
        <v>0</v>
      </c>
      <c r="AI1182" t="b">
        <v>0</v>
      </c>
    </row>
    <row r="1183" spans="1:35" x14ac:dyDescent="0.3">
      <c r="A1183" t="s">
        <v>2507</v>
      </c>
      <c r="B1183" t="s">
        <v>2508</v>
      </c>
      <c r="C1183" t="s">
        <v>474</v>
      </c>
      <c r="D1183">
        <v>969</v>
      </c>
      <c r="E1183">
        <v>49</v>
      </c>
      <c r="F1183">
        <v>4</v>
      </c>
      <c r="G1183">
        <v>300</v>
      </c>
      <c r="H1183">
        <v>180</v>
      </c>
      <c r="I1183">
        <v>1</v>
      </c>
      <c r="J1183">
        <v>1</v>
      </c>
      <c r="K1183" t="s">
        <v>432</v>
      </c>
      <c r="L1183">
        <v>0.8923884514435696</v>
      </c>
      <c r="M1183">
        <v>1</v>
      </c>
      <c r="N1183">
        <v>1</v>
      </c>
      <c r="O1183" t="s">
        <v>518</v>
      </c>
      <c r="P1183">
        <v>0</v>
      </c>
      <c r="R1183">
        <v>0</v>
      </c>
      <c r="T1183">
        <v>1</v>
      </c>
      <c r="U1183" t="b">
        <v>0</v>
      </c>
      <c r="W1183">
        <v>0.33689839572192509</v>
      </c>
      <c r="Y1183">
        <v>0.89393237610004628</v>
      </c>
      <c r="Z1183">
        <v>3</v>
      </c>
      <c r="AA1183">
        <v>0</v>
      </c>
      <c r="AB1183">
        <v>0</v>
      </c>
      <c r="AE1183">
        <v>1</v>
      </c>
      <c r="AF1183" t="b">
        <v>0</v>
      </c>
      <c r="AG1183">
        <v>-7.7396219194691751E-5</v>
      </c>
      <c r="AH1183">
        <v>-1.0926971407758E-2</v>
      </c>
    </row>
    <row r="1184" spans="1:35" x14ac:dyDescent="0.3">
      <c r="A1184" t="s">
        <v>2509</v>
      </c>
      <c r="B1184" t="s">
        <v>2510</v>
      </c>
      <c r="C1184" t="s">
        <v>431</v>
      </c>
      <c r="D1184">
        <v>86</v>
      </c>
      <c r="E1184">
        <v>851</v>
      </c>
      <c r="F1184">
        <v>130</v>
      </c>
      <c r="G1184">
        <v>229</v>
      </c>
      <c r="H1184">
        <v>2</v>
      </c>
      <c r="I1184">
        <v>9.9882491186839006E-2</v>
      </c>
      <c r="J1184">
        <v>0.2643312101910828</v>
      </c>
      <c r="K1184" t="s">
        <v>432</v>
      </c>
      <c r="L1184">
        <v>0.98301486199575361</v>
      </c>
      <c r="M1184">
        <v>1</v>
      </c>
      <c r="N1184">
        <v>0.2516198704103671</v>
      </c>
      <c r="O1184" t="s">
        <v>433</v>
      </c>
      <c r="P1184">
        <v>0</v>
      </c>
      <c r="R1184">
        <v>0</v>
      </c>
      <c r="T1184">
        <v>0</v>
      </c>
      <c r="U1184" t="b">
        <v>0</v>
      </c>
      <c r="V1184">
        <v>0</v>
      </c>
      <c r="Y1184">
        <v>0</v>
      </c>
      <c r="Z1184">
        <v>43</v>
      </c>
      <c r="AA1184">
        <v>0</v>
      </c>
      <c r="AB1184">
        <v>0</v>
      </c>
      <c r="AC1184">
        <v>0</v>
      </c>
      <c r="AD1184">
        <v>0</v>
      </c>
      <c r="AE1184">
        <v>0</v>
      </c>
      <c r="AF1184" t="b">
        <v>0</v>
      </c>
    </row>
    <row r="1185" spans="1:35" x14ac:dyDescent="0.3">
      <c r="A1185" t="s">
        <v>2511</v>
      </c>
      <c r="B1185" t="s">
        <v>2512</v>
      </c>
      <c r="C1185" t="s">
        <v>754</v>
      </c>
      <c r="D1185">
        <v>24369</v>
      </c>
      <c r="E1185">
        <v>1333907</v>
      </c>
      <c r="F1185">
        <v>471</v>
      </c>
      <c r="G1185">
        <v>46</v>
      </c>
      <c r="H1185">
        <v>1</v>
      </c>
      <c r="I1185">
        <v>1.0062920428485601E-2</v>
      </c>
      <c r="J1185">
        <v>3.1547587498454002E-2</v>
      </c>
      <c r="K1185" t="s">
        <v>432</v>
      </c>
      <c r="L1185">
        <v>0.98206082931396976</v>
      </c>
      <c r="M1185">
        <v>1</v>
      </c>
      <c r="N1185">
        <v>1.3856999898804701E-2</v>
      </c>
      <c r="O1185" t="s">
        <v>433</v>
      </c>
      <c r="P1185">
        <v>0</v>
      </c>
      <c r="R1185">
        <v>0</v>
      </c>
      <c r="T1185">
        <v>0</v>
      </c>
      <c r="U1185" t="b">
        <v>0</v>
      </c>
      <c r="V1185">
        <v>0.19471908695260851</v>
      </c>
      <c r="Y1185">
        <v>0</v>
      </c>
      <c r="Z1185">
        <v>20202</v>
      </c>
      <c r="AA1185">
        <v>6.6943076967779995E-4</v>
      </c>
      <c r="AB1185">
        <v>3.9604228710681803E-2</v>
      </c>
      <c r="AC1185">
        <v>6.3148361477270004E-4</v>
      </c>
      <c r="AD1185">
        <v>7.7265073921380003E-4</v>
      </c>
      <c r="AE1185">
        <v>0</v>
      </c>
      <c r="AF1185" t="b">
        <v>0</v>
      </c>
    </row>
    <row r="1186" spans="1:35" x14ac:dyDescent="0.3">
      <c r="A1186" t="s">
        <v>2513</v>
      </c>
      <c r="B1186" t="s">
        <v>2514</v>
      </c>
      <c r="C1186" t="s">
        <v>431</v>
      </c>
      <c r="D1186">
        <v>1432</v>
      </c>
      <c r="E1186">
        <v>64466</v>
      </c>
      <c r="F1186">
        <v>251</v>
      </c>
      <c r="G1186">
        <v>63</v>
      </c>
      <c r="H1186">
        <v>1</v>
      </c>
      <c r="I1186">
        <v>2.18719945397573E-2</v>
      </c>
      <c r="J1186">
        <v>0.17109775713982209</v>
      </c>
      <c r="K1186" t="s">
        <v>432</v>
      </c>
      <c r="L1186">
        <v>0.84594373122097788</v>
      </c>
      <c r="M1186">
        <v>0.99970449172576836</v>
      </c>
      <c r="N1186">
        <v>2.01987586553295E-2</v>
      </c>
      <c r="O1186" t="s">
        <v>433</v>
      </c>
      <c r="P1186">
        <v>44788</v>
      </c>
      <c r="Q1186">
        <v>0.37755648834509242</v>
      </c>
      <c r="R1186">
        <v>0</v>
      </c>
      <c r="T1186">
        <v>0</v>
      </c>
      <c r="U1186" t="b">
        <v>0</v>
      </c>
      <c r="V1186">
        <v>6.0340861735443783</v>
      </c>
      <c r="Y1186">
        <v>0</v>
      </c>
      <c r="Z1186">
        <v>1649</v>
      </c>
      <c r="AA1186">
        <v>-7.4513315015780996E-3</v>
      </c>
      <c r="AB1186">
        <v>-0.55737090513805532</v>
      </c>
      <c r="AC1186">
        <v>-3.5069659942768998E-2</v>
      </c>
      <c r="AD1186">
        <v>1.9877326831723E-2</v>
      </c>
      <c r="AE1186">
        <v>0</v>
      </c>
      <c r="AF1186" t="b">
        <v>0</v>
      </c>
    </row>
    <row r="1187" spans="1:35" x14ac:dyDescent="0.3">
      <c r="A1187" t="s">
        <v>2515</v>
      </c>
      <c r="B1187" t="s">
        <v>2516</v>
      </c>
      <c r="C1187" t="s">
        <v>2267</v>
      </c>
      <c r="D1187">
        <v>3076</v>
      </c>
      <c r="E1187">
        <v>46013</v>
      </c>
      <c r="F1187">
        <v>35</v>
      </c>
      <c r="G1187">
        <v>60</v>
      </c>
      <c r="H1187">
        <v>60</v>
      </c>
      <c r="I1187">
        <v>0.99997826701149684</v>
      </c>
      <c r="J1187">
        <v>0.9995990859158882</v>
      </c>
      <c r="K1187" t="s">
        <v>86</v>
      </c>
      <c r="P1187">
        <v>0</v>
      </c>
      <c r="R1187">
        <v>0</v>
      </c>
      <c r="T1187">
        <v>2</v>
      </c>
      <c r="U1187" t="b">
        <v>1</v>
      </c>
      <c r="V1187">
        <v>2.1382950990615219</v>
      </c>
      <c r="W1187">
        <v>9.5833333333333339</v>
      </c>
      <c r="X1187" t="b">
        <v>0</v>
      </c>
      <c r="Y1187">
        <v>0</v>
      </c>
      <c r="Z1187">
        <v>1772</v>
      </c>
      <c r="AA1187">
        <v>4.4194936304827997E-3</v>
      </c>
      <c r="AB1187">
        <v>0.44826571096322781</v>
      </c>
      <c r="AC1187">
        <v>4.4641695129957002E-3</v>
      </c>
      <c r="AD1187">
        <v>6.8387751175117998E-3</v>
      </c>
      <c r="AE1187">
        <v>2</v>
      </c>
      <c r="AF1187" t="b">
        <v>1</v>
      </c>
      <c r="AG1187">
        <v>6.5318035426731001E-3</v>
      </c>
      <c r="AH1187">
        <v>0.84836601307189541</v>
      </c>
      <c r="AI1187" t="b">
        <v>0</v>
      </c>
    </row>
    <row r="1188" spans="1:35" x14ac:dyDescent="0.3">
      <c r="A1188" t="s">
        <v>2517</v>
      </c>
      <c r="B1188" t="s">
        <v>2518</v>
      </c>
      <c r="C1188" t="s">
        <v>431</v>
      </c>
      <c r="D1188">
        <v>1900</v>
      </c>
      <c r="E1188">
        <v>70023</v>
      </c>
      <c r="F1188">
        <v>258</v>
      </c>
      <c r="G1188">
        <v>53</v>
      </c>
      <c r="H1188">
        <v>1</v>
      </c>
      <c r="I1188">
        <v>2.4906102280679202E-2</v>
      </c>
      <c r="J1188">
        <v>0.17001515509642251</v>
      </c>
      <c r="K1188" t="s">
        <v>432</v>
      </c>
      <c r="L1188">
        <v>0.84422229328587517</v>
      </c>
      <c r="M1188">
        <v>1</v>
      </c>
      <c r="N1188">
        <v>1.6864572868459601E-2</v>
      </c>
      <c r="O1188" t="s">
        <v>433</v>
      </c>
      <c r="P1188">
        <v>59695</v>
      </c>
      <c r="Q1188">
        <v>0.1196415110143228</v>
      </c>
      <c r="R1188">
        <v>0</v>
      </c>
      <c r="T1188">
        <v>0</v>
      </c>
      <c r="U1188" t="b">
        <v>0</v>
      </c>
      <c r="V1188">
        <v>1.663877596041726</v>
      </c>
      <c r="Y1188">
        <v>0</v>
      </c>
      <c r="Z1188">
        <v>2267</v>
      </c>
      <c r="AA1188">
        <v>-1.5575488722496999E-3</v>
      </c>
      <c r="AB1188">
        <v>-9.9387695086856895E-2</v>
      </c>
      <c r="AC1188">
        <v>-7.3949303644057001E-3</v>
      </c>
      <c r="AD1188">
        <v>1.2694005650453401E-2</v>
      </c>
      <c r="AE1188">
        <v>0</v>
      </c>
      <c r="AF1188" t="b">
        <v>0</v>
      </c>
    </row>
    <row r="1189" spans="1:35" x14ac:dyDescent="0.3">
      <c r="A1189" t="s">
        <v>2519</v>
      </c>
      <c r="B1189" t="s">
        <v>2520</v>
      </c>
      <c r="C1189" t="s">
        <v>431</v>
      </c>
      <c r="D1189">
        <v>708</v>
      </c>
      <c r="E1189">
        <v>16157</v>
      </c>
      <c r="F1189">
        <v>149</v>
      </c>
      <c r="G1189">
        <v>44</v>
      </c>
      <c r="H1189">
        <v>1</v>
      </c>
      <c r="I1189">
        <v>2.30240762517794E-2</v>
      </c>
      <c r="J1189">
        <v>0.16857396975985769</v>
      </c>
      <c r="K1189" t="s">
        <v>432</v>
      </c>
      <c r="L1189">
        <v>0.8542543729617551</v>
      </c>
      <c r="M1189">
        <v>1</v>
      </c>
      <c r="N1189">
        <v>2.67231207052127E-2</v>
      </c>
      <c r="O1189" t="s">
        <v>433</v>
      </c>
      <c r="P1189">
        <v>14022</v>
      </c>
      <c r="Q1189">
        <v>0.96605334474397375</v>
      </c>
      <c r="R1189">
        <v>0</v>
      </c>
      <c r="T1189">
        <v>0</v>
      </c>
      <c r="U1189" t="b">
        <v>0</v>
      </c>
      <c r="V1189">
        <v>0</v>
      </c>
      <c r="Y1189">
        <v>0</v>
      </c>
      <c r="Z1189">
        <v>816</v>
      </c>
      <c r="AA1189">
        <v>-3.3095845568760002E-4</v>
      </c>
      <c r="AB1189">
        <v>-1.6850490196078399E-2</v>
      </c>
      <c r="AC1189">
        <v>0</v>
      </c>
      <c r="AD1189">
        <v>0</v>
      </c>
      <c r="AE1189">
        <v>0</v>
      </c>
      <c r="AF1189" t="b">
        <v>0</v>
      </c>
    </row>
    <row r="1190" spans="1:35" x14ac:dyDescent="0.3">
      <c r="A1190" t="s">
        <v>2521</v>
      </c>
      <c r="B1190" t="s">
        <v>2522</v>
      </c>
      <c r="C1190" t="s">
        <v>431</v>
      </c>
      <c r="D1190">
        <v>110</v>
      </c>
      <c r="E1190">
        <v>1113</v>
      </c>
      <c r="F1190">
        <v>9</v>
      </c>
      <c r="G1190">
        <v>240</v>
      </c>
      <c r="H1190">
        <v>60</v>
      </c>
      <c r="I1190">
        <v>1</v>
      </c>
      <c r="J1190">
        <v>1</v>
      </c>
      <c r="K1190" t="s">
        <v>86</v>
      </c>
      <c r="P1190">
        <v>0</v>
      </c>
      <c r="R1190">
        <v>0</v>
      </c>
      <c r="T1190">
        <v>0</v>
      </c>
      <c r="U1190" t="b">
        <v>0</v>
      </c>
      <c r="V1190">
        <v>2.2222222222222219</v>
      </c>
      <c r="Y1190">
        <v>0</v>
      </c>
      <c r="Z1190">
        <v>23</v>
      </c>
      <c r="AA1190">
        <v>0</v>
      </c>
      <c r="AB1190">
        <v>0</v>
      </c>
      <c r="AC1190">
        <v>0</v>
      </c>
      <c r="AD1190">
        <v>0</v>
      </c>
      <c r="AE1190">
        <v>0</v>
      </c>
      <c r="AF1190" t="b">
        <v>0</v>
      </c>
    </row>
    <row r="1191" spans="1:35" x14ac:dyDescent="0.3">
      <c r="A1191" t="s">
        <v>2523</v>
      </c>
      <c r="B1191" t="s">
        <v>2524</v>
      </c>
      <c r="C1191" t="s">
        <v>512</v>
      </c>
      <c r="D1191">
        <v>2754</v>
      </c>
      <c r="E1191">
        <v>42968</v>
      </c>
      <c r="F1191">
        <v>22</v>
      </c>
      <c r="G1191">
        <v>120</v>
      </c>
      <c r="H1191">
        <v>60</v>
      </c>
      <c r="I1191">
        <v>1</v>
      </c>
      <c r="J1191">
        <v>1</v>
      </c>
      <c r="K1191" t="s">
        <v>86</v>
      </c>
      <c r="P1191">
        <v>0</v>
      </c>
      <c r="R1191">
        <v>0</v>
      </c>
      <c r="T1191">
        <v>2</v>
      </c>
      <c r="U1191" t="b">
        <v>1</v>
      </c>
      <c r="V1191">
        <v>3.3567381626871722</v>
      </c>
      <c r="W1191">
        <v>6.0769230769230766</v>
      </c>
      <c r="X1191" t="b">
        <v>0</v>
      </c>
      <c r="Y1191">
        <v>0</v>
      </c>
      <c r="Z1191">
        <v>1561</v>
      </c>
      <c r="AA1191">
        <v>2.380510450795E-3</v>
      </c>
      <c r="AB1191">
        <v>0.2829743393484585</v>
      </c>
      <c r="AC1191">
        <v>6.2330910681090996E-3</v>
      </c>
      <c r="AD1191">
        <v>3.8928035778475001E-3</v>
      </c>
      <c r="AE1191">
        <v>2</v>
      </c>
      <c r="AF1191" t="b">
        <v>1</v>
      </c>
      <c r="AG1191">
        <v>-1.6032601691751999E-3</v>
      </c>
      <c r="AH1191">
        <v>-0.16275171037075811</v>
      </c>
      <c r="AI1191" t="b">
        <v>1</v>
      </c>
    </row>
    <row r="1192" spans="1:35" x14ac:dyDescent="0.3">
      <c r="A1192" t="s">
        <v>2525</v>
      </c>
      <c r="B1192" t="s">
        <v>2526</v>
      </c>
      <c r="C1192" t="s">
        <v>517</v>
      </c>
      <c r="D1192">
        <v>182</v>
      </c>
      <c r="E1192">
        <v>3573</v>
      </c>
      <c r="F1192">
        <v>7</v>
      </c>
      <c r="G1192">
        <v>60</v>
      </c>
      <c r="H1192">
        <v>60</v>
      </c>
      <c r="I1192">
        <v>1</v>
      </c>
      <c r="J1192">
        <v>1</v>
      </c>
      <c r="K1192" t="s">
        <v>86</v>
      </c>
      <c r="P1192">
        <v>0</v>
      </c>
      <c r="R1192">
        <v>0</v>
      </c>
      <c r="T1192">
        <v>0</v>
      </c>
      <c r="U1192" t="b">
        <v>0</v>
      </c>
      <c r="V1192">
        <v>13.043478260869559</v>
      </c>
      <c r="Y1192">
        <v>0</v>
      </c>
      <c r="Z1192">
        <v>209</v>
      </c>
      <c r="AA1192">
        <v>5.0704225352112602E-2</v>
      </c>
      <c r="AB1192">
        <v>4.6507177033492821</v>
      </c>
      <c r="AC1192">
        <v>0.1032863849765258</v>
      </c>
      <c r="AD1192">
        <v>-3.5997120230381002E-3</v>
      </c>
      <c r="AE1192">
        <v>0</v>
      </c>
      <c r="AF1192" t="b">
        <v>0</v>
      </c>
    </row>
    <row r="1193" spans="1:35" x14ac:dyDescent="0.3">
      <c r="A1193" t="s">
        <v>2527</v>
      </c>
      <c r="B1193" t="s">
        <v>2528</v>
      </c>
      <c r="C1193" t="s">
        <v>431</v>
      </c>
      <c r="D1193">
        <v>104</v>
      </c>
      <c r="E1193">
        <v>1692</v>
      </c>
      <c r="F1193">
        <v>98</v>
      </c>
      <c r="G1193">
        <v>91</v>
      </c>
      <c r="H1193">
        <v>1</v>
      </c>
      <c r="I1193">
        <v>3.9007092198581499E-2</v>
      </c>
      <c r="J1193">
        <v>0.27171492204899778</v>
      </c>
      <c r="K1193" t="s">
        <v>432</v>
      </c>
      <c r="L1193">
        <v>0.75890868596881955</v>
      </c>
      <c r="M1193">
        <v>1</v>
      </c>
      <c r="N1193">
        <v>4.0352164343360197E-2</v>
      </c>
      <c r="O1193" t="s">
        <v>433</v>
      </c>
      <c r="P1193">
        <v>1308</v>
      </c>
      <c r="Q1193">
        <v>0.98318042813455642</v>
      </c>
      <c r="R1193">
        <v>0</v>
      </c>
      <c r="T1193">
        <v>0</v>
      </c>
      <c r="U1193" t="b">
        <v>0</v>
      </c>
      <c r="V1193">
        <v>0</v>
      </c>
      <c r="Y1193">
        <v>0</v>
      </c>
      <c r="Z1193">
        <v>105</v>
      </c>
      <c r="AA1193">
        <v>0</v>
      </c>
      <c r="AB1193">
        <v>0</v>
      </c>
      <c r="AC1193">
        <v>0</v>
      </c>
      <c r="AD1193">
        <v>0</v>
      </c>
      <c r="AE1193">
        <v>0</v>
      </c>
      <c r="AF1193" t="b">
        <v>0</v>
      </c>
    </row>
    <row r="1194" spans="1:35" x14ac:dyDescent="0.3">
      <c r="A1194" t="s">
        <v>2529</v>
      </c>
      <c r="B1194" t="s">
        <v>2530</v>
      </c>
      <c r="C1194" t="s">
        <v>431</v>
      </c>
      <c r="D1194">
        <v>66</v>
      </c>
      <c r="E1194">
        <v>423</v>
      </c>
      <c r="F1194">
        <v>10</v>
      </c>
      <c r="G1194">
        <v>300</v>
      </c>
      <c r="H1194">
        <v>60</v>
      </c>
      <c r="I1194">
        <v>1</v>
      </c>
      <c r="J1194">
        <v>1</v>
      </c>
      <c r="K1194" t="s">
        <v>432</v>
      </c>
      <c r="L1194">
        <v>0.4697336561743341</v>
      </c>
      <c r="M1194">
        <v>1</v>
      </c>
      <c r="N1194">
        <v>1</v>
      </c>
      <c r="O1194" t="s">
        <v>433</v>
      </c>
      <c r="P1194">
        <v>0</v>
      </c>
      <c r="R1194">
        <v>0</v>
      </c>
      <c r="T1194">
        <v>0</v>
      </c>
      <c r="U1194" t="b">
        <v>0</v>
      </c>
      <c r="Y1194">
        <v>0</v>
      </c>
      <c r="Z1194">
        <v>10</v>
      </c>
      <c r="AA1194">
        <v>0</v>
      </c>
      <c r="AB1194">
        <v>0</v>
      </c>
      <c r="AE1194">
        <v>0</v>
      </c>
      <c r="AF1194" t="b">
        <v>0</v>
      </c>
    </row>
    <row r="1195" spans="1:35" x14ac:dyDescent="0.3">
      <c r="A1195" t="s">
        <v>2531</v>
      </c>
      <c r="B1195" t="s">
        <v>2532</v>
      </c>
      <c r="C1195" t="s">
        <v>474</v>
      </c>
      <c r="D1195">
        <v>440</v>
      </c>
      <c r="E1195">
        <v>8372</v>
      </c>
      <c r="F1195">
        <v>111</v>
      </c>
      <c r="G1195">
        <v>60</v>
      </c>
      <c r="H1195">
        <v>1</v>
      </c>
      <c r="I1195">
        <v>0.90766841853798363</v>
      </c>
      <c r="J1195">
        <v>0.92982741777922517</v>
      </c>
      <c r="K1195" t="s">
        <v>432</v>
      </c>
      <c r="L1195">
        <v>0.1456062670299727</v>
      </c>
      <c r="M1195">
        <v>0.97159657165636837</v>
      </c>
      <c r="N1195">
        <v>0.67777777777777781</v>
      </c>
      <c r="O1195" t="s">
        <v>433</v>
      </c>
      <c r="P1195">
        <v>0</v>
      </c>
      <c r="R1195">
        <v>270</v>
      </c>
      <c r="S1195">
        <v>5.5555555555555497E-2</v>
      </c>
      <c r="T1195">
        <v>0</v>
      </c>
      <c r="U1195" t="b">
        <v>0</v>
      </c>
      <c r="Y1195">
        <v>0</v>
      </c>
      <c r="Z1195">
        <v>452</v>
      </c>
      <c r="AA1195">
        <v>2.0128178711917E-3</v>
      </c>
      <c r="AB1195">
        <v>0.14744346116027529</v>
      </c>
      <c r="AD1195">
        <v>-1.80597014925373E-2</v>
      </c>
      <c r="AE1195">
        <v>0</v>
      </c>
      <c r="AF1195" t="b">
        <v>0</v>
      </c>
    </row>
    <row r="1196" spans="1:35" x14ac:dyDescent="0.3">
      <c r="A1196" t="s">
        <v>2533</v>
      </c>
      <c r="B1196" t="s">
        <v>2534</v>
      </c>
      <c r="C1196" t="s">
        <v>2267</v>
      </c>
      <c r="D1196">
        <v>4053</v>
      </c>
      <c r="E1196">
        <v>60502</v>
      </c>
      <c r="F1196">
        <v>37</v>
      </c>
      <c r="G1196">
        <v>60</v>
      </c>
      <c r="H1196">
        <v>60</v>
      </c>
      <c r="I1196">
        <v>0.99623152953621363</v>
      </c>
      <c r="J1196">
        <v>0.99688006239875204</v>
      </c>
      <c r="K1196" t="s">
        <v>86</v>
      </c>
      <c r="P1196">
        <v>0</v>
      </c>
      <c r="R1196">
        <v>0</v>
      </c>
      <c r="T1196">
        <v>1</v>
      </c>
      <c r="U1196" t="b">
        <v>1</v>
      </c>
      <c r="V1196">
        <v>1.791026183424999</v>
      </c>
      <c r="W1196">
        <v>6.8734177215189884</v>
      </c>
      <c r="X1196" t="b">
        <v>0</v>
      </c>
      <c r="Y1196">
        <v>0</v>
      </c>
      <c r="Z1196">
        <v>1682</v>
      </c>
      <c r="AA1196">
        <v>1.7041222139683001E-3</v>
      </c>
      <c r="AB1196">
        <v>0.1944562076845073</v>
      </c>
      <c r="AC1196">
        <v>8.4144477114646999E-3</v>
      </c>
      <c r="AD1196">
        <v>7.6289743678381478E-5</v>
      </c>
      <c r="AE1196">
        <v>2</v>
      </c>
      <c r="AF1196" t="b">
        <v>1</v>
      </c>
      <c r="AG1196">
        <v>4.2931469245746003E-3</v>
      </c>
      <c r="AH1196">
        <v>1.868055555555556</v>
      </c>
      <c r="AI1196" t="b">
        <v>0</v>
      </c>
    </row>
    <row r="1197" spans="1:35" x14ac:dyDescent="0.3">
      <c r="A1197" t="s">
        <v>2535</v>
      </c>
      <c r="B1197" t="s">
        <v>2536</v>
      </c>
      <c r="C1197" t="s">
        <v>431</v>
      </c>
      <c r="D1197">
        <v>302</v>
      </c>
      <c r="E1197">
        <v>2276</v>
      </c>
      <c r="F1197">
        <v>54</v>
      </c>
      <c r="G1197">
        <v>180</v>
      </c>
      <c r="H1197">
        <v>60</v>
      </c>
      <c r="I1197">
        <v>0.95957820738137078</v>
      </c>
      <c r="J1197">
        <v>0.98215671062839416</v>
      </c>
      <c r="K1197" t="s">
        <v>432</v>
      </c>
      <c r="L1197">
        <v>2.1722265321954998E-2</v>
      </c>
      <c r="M1197">
        <v>1</v>
      </c>
      <c r="N1197">
        <v>0.17857142857142849</v>
      </c>
      <c r="O1197" t="s">
        <v>433</v>
      </c>
      <c r="P1197">
        <v>46</v>
      </c>
      <c r="Q1197">
        <v>0</v>
      </c>
      <c r="R1197">
        <v>0</v>
      </c>
      <c r="T1197">
        <v>0</v>
      </c>
      <c r="U1197" t="b">
        <v>0</v>
      </c>
      <c r="V1197">
        <v>79.324929971988794</v>
      </c>
      <c r="Y1197">
        <v>0</v>
      </c>
      <c r="Z1197">
        <v>50</v>
      </c>
      <c r="AA1197">
        <v>0.1549040941328175</v>
      </c>
      <c r="AB1197">
        <v>46.595151515151521</v>
      </c>
      <c r="AC1197">
        <v>8.00531914893617E-2</v>
      </c>
      <c r="AD1197">
        <v>0.22217895136778121</v>
      </c>
      <c r="AE1197">
        <v>0</v>
      </c>
      <c r="AF1197" t="b">
        <v>0</v>
      </c>
    </row>
    <row r="1198" spans="1:35" x14ac:dyDescent="0.3">
      <c r="A1198" t="s">
        <v>2537</v>
      </c>
      <c r="B1198" t="s">
        <v>2538</v>
      </c>
      <c r="C1198" t="s">
        <v>431</v>
      </c>
      <c r="D1198">
        <v>102</v>
      </c>
      <c r="E1198">
        <v>1940</v>
      </c>
      <c r="F1198">
        <v>10</v>
      </c>
      <c r="G1198">
        <v>60</v>
      </c>
      <c r="H1198">
        <v>60</v>
      </c>
      <c r="I1198">
        <v>1</v>
      </c>
      <c r="J1198">
        <v>1</v>
      </c>
      <c r="K1198" t="s">
        <v>86</v>
      </c>
      <c r="P1198">
        <v>0</v>
      </c>
      <c r="R1198">
        <v>0</v>
      </c>
      <c r="T1198">
        <v>0</v>
      </c>
      <c r="U1198" t="b">
        <v>0</v>
      </c>
      <c r="Y1198">
        <v>0</v>
      </c>
      <c r="Z1198">
        <v>39</v>
      </c>
      <c r="AA1198">
        <v>-0.1117498745345758</v>
      </c>
      <c r="AB1198">
        <v>-9.5253464484233721</v>
      </c>
      <c r="AC1198">
        <v>-0.1133433605500644</v>
      </c>
      <c r="AD1198">
        <v>-0.1065749892565535</v>
      </c>
      <c r="AE1198">
        <v>0</v>
      </c>
      <c r="AF1198" t="b">
        <v>0</v>
      </c>
    </row>
    <row r="1199" spans="1:35" x14ac:dyDescent="0.3">
      <c r="A1199" t="s">
        <v>2539</v>
      </c>
      <c r="B1199" t="s">
        <v>2540</v>
      </c>
      <c r="C1199" t="s">
        <v>431</v>
      </c>
      <c r="D1199">
        <v>412</v>
      </c>
      <c r="E1199">
        <v>7520</v>
      </c>
      <c r="F1199">
        <v>7</v>
      </c>
      <c r="G1199">
        <v>60</v>
      </c>
      <c r="H1199">
        <v>60</v>
      </c>
      <c r="I1199">
        <v>1</v>
      </c>
      <c r="J1199">
        <v>1</v>
      </c>
      <c r="K1199" t="s">
        <v>432</v>
      </c>
      <c r="L1199">
        <v>2.4881611686331001E-3</v>
      </c>
      <c r="M1199">
        <v>1</v>
      </c>
      <c r="O1199" t="s">
        <v>518</v>
      </c>
      <c r="P1199">
        <v>0</v>
      </c>
      <c r="R1199">
        <v>0</v>
      </c>
      <c r="T1199">
        <v>0</v>
      </c>
      <c r="U1199" t="b">
        <v>0</v>
      </c>
      <c r="V1199">
        <v>0.15625</v>
      </c>
      <c r="Y1199">
        <v>2.4881611686331001E-3</v>
      </c>
      <c r="Z1199">
        <v>384</v>
      </c>
      <c r="AA1199">
        <v>-2.2930520522809999E-4</v>
      </c>
      <c r="AB1199">
        <v>-1.67410714285714E-2</v>
      </c>
      <c r="AC1199">
        <v>5.5096418732780001E-4</v>
      </c>
      <c r="AD1199">
        <v>-1.6528925619833999E-3</v>
      </c>
      <c r="AE1199">
        <v>0</v>
      </c>
      <c r="AF1199" t="b">
        <v>0</v>
      </c>
    </row>
    <row r="1200" spans="1:35" x14ac:dyDescent="0.3">
      <c r="A1200" t="s">
        <v>2541</v>
      </c>
      <c r="B1200" t="s">
        <v>2542</v>
      </c>
      <c r="C1200" t="s">
        <v>431</v>
      </c>
      <c r="D1200">
        <v>486</v>
      </c>
      <c r="E1200">
        <v>16218</v>
      </c>
      <c r="F1200">
        <v>57</v>
      </c>
      <c r="G1200">
        <v>20</v>
      </c>
      <c r="H1200">
        <v>5</v>
      </c>
      <c r="I1200">
        <v>4.8341349118263599E-2</v>
      </c>
      <c r="J1200">
        <v>0.29849137931034481</v>
      </c>
      <c r="K1200" t="s">
        <v>432</v>
      </c>
      <c r="L1200">
        <v>0.81561302681992343</v>
      </c>
      <c r="M1200">
        <v>1</v>
      </c>
      <c r="N1200">
        <v>0.13990017615971809</v>
      </c>
      <c r="O1200" t="s">
        <v>518</v>
      </c>
      <c r="P1200">
        <v>11718</v>
      </c>
      <c r="Q1200">
        <v>0</v>
      </c>
      <c r="R1200">
        <v>0</v>
      </c>
      <c r="T1200">
        <v>0</v>
      </c>
      <c r="U1200" t="b">
        <v>0</v>
      </c>
      <c r="V1200">
        <v>0.13698630136986301</v>
      </c>
      <c r="Y1200">
        <v>0</v>
      </c>
      <c r="Z1200">
        <v>461</v>
      </c>
      <c r="AA1200">
        <v>-6.1919504643960001E-4</v>
      </c>
      <c r="AB1200">
        <v>-3.2537960954446797E-2</v>
      </c>
      <c r="AC1200">
        <v>-2.0905923344946998E-3</v>
      </c>
      <c r="AD1200">
        <v>6.2695924764890004E-4</v>
      </c>
      <c r="AE1200">
        <v>0</v>
      </c>
      <c r="AF1200" t="b">
        <v>0</v>
      </c>
    </row>
    <row r="1201" spans="1:35" x14ac:dyDescent="0.3">
      <c r="A1201" t="s">
        <v>2543</v>
      </c>
      <c r="B1201" t="s">
        <v>2544</v>
      </c>
      <c r="C1201" t="s">
        <v>431</v>
      </c>
      <c r="D1201">
        <v>89</v>
      </c>
      <c r="E1201">
        <v>1229</v>
      </c>
      <c r="F1201">
        <v>13</v>
      </c>
      <c r="G1201">
        <v>120</v>
      </c>
      <c r="H1201">
        <v>60</v>
      </c>
      <c r="I1201">
        <v>1</v>
      </c>
      <c r="J1201">
        <v>1</v>
      </c>
      <c r="K1201" t="s">
        <v>432</v>
      </c>
      <c r="L1201">
        <v>0.29201680672268909</v>
      </c>
      <c r="M1201">
        <v>1</v>
      </c>
      <c r="N1201">
        <v>1</v>
      </c>
      <c r="O1201" t="s">
        <v>433</v>
      </c>
      <c r="P1201">
        <v>0</v>
      </c>
      <c r="R1201">
        <v>0</v>
      </c>
      <c r="T1201">
        <v>0</v>
      </c>
      <c r="U1201" t="b">
        <v>0</v>
      </c>
      <c r="Y1201">
        <v>6.9547938400397E-3</v>
      </c>
      <c r="Z1201">
        <v>58</v>
      </c>
      <c r="AA1201">
        <v>2.3054755043227598E-2</v>
      </c>
      <c r="AB1201">
        <v>4.1379310344827589</v>
      </c>
      <c r="AE1201">
        <v>0</v>
      </c>
      <c r="AF1201" t="b">
        <v>0</v>
      </c>
    </row>
    <row r="1202" spans="1:35" x14ac:dyDescent="0.3">
      <c r="A1202" t="s">
        <v>2545</v>
      </c>
      <c r="B1202" t="s">
        <v>2546</v>
      </c>
      <c r="C1202" t="s">
        <v>532</v>
      </c>
      <c r="D1202">
        <v>619</v>
      </c>
      <c r="E1202">
        <v>19319</v>
      </c>
      <c r="F1202">
        <v>22</v>
      </c>
      <c r="G1202">
        <v>60</v>
      </c>
      <c r="H1202">
        <v>60</v>
      </c>
      <c r="I1202">
        <v>0.9967907241575652</v>
      </c>
      <c r="J1202">
        <v>0.99811935232328797</v>
      </c>
      <c r="K1202" t="s">
        <v>432</v>
      </c>
      <c r="L1202">
        <v>0.91284803449383056</v>
      </c>
      <c r="M1202">
        <v>1</v>
      </c>
      <c r="N1202">
        <v>0.99793980201999899</v>
      </c>
      <c r="O1202" t="s">
        <v>433</v>
      </c>
      <c r="P1202">
        <v>35</v>
      </c>
      <c r="Q1202">
        <v>0.1142857142857142</v>
      </c>
      <c r="R1202">
        <v>0</v>
      </c>
      <c r="T1202">
        <v>0</v>
      </c>
      <c r="U1202" t="b">
        <v>0</v>
      </c>
      <c r="V1202">
        <v>3.8593073593073601</v>
      </c>
      <c r="Y1202">
        <v>0</v>
      </c>
      <c r="Z1202">
        <v>605</v>
      </c>
      <c r="AA1202">
        <v>3.4336518932439998E-3</v>
      </c>
      <c r="AB1202">
        <v>0.26965761511216058</v>
      </c>
      <c r="AC1202">
        <v>8.7029538807487997E-3</v>
      </c>
      <c r="AD1202">
        <v>3.4264737171363999E-3</v>
      </c>
      <c r="AE1202">
        <v>0</v>
      </c>
      <c r="AF1202" t="b">
        <v>0</v>
      </c>
    </row>
    <row r="1203" spans="1:35" x14ac:dyDescent="0.3">
      <c r="A1203" t="s">
        <v>2547</v>
      </c>
      <c r="B1203" t="s">
        <v>2548</v>
      </c>
      <c r="C1203" t="s">
        <v>754</v>
      </c>
      <c r="D1203">
        <v>1004</v>
      </c>
      <c r="E1203">
        <v>34407</v>
      </c>
      <c r="F1203">
        <v>113</v>
      </c>
      <c r="G1203">
        <v>37</v>
      </c>
      <c r="H1203">
        <v>1</v>
      </c>
      <c r="I1203">
        <v>1.02014125032696E-2</v>
      </c>
      <c r="J1203">
        <v>4.4242543946276899E-2</v>
      </c>
      <c r="K1203" t="s">
        <v>432</v>
      </c>
      <c r="L1203">
        <v>0.99908980582524276</v>
      </c>
      <c r="M1203">
        <v>0</v>
      </c>
      <c r="N1203">
        <v>5.9823868812632797E-2</v>
      </c>
      <c r="O1203" t="s">
        <v>433</v>
      </c>
      <c r="P1203">
        <v>0</v>
      </c>
      <c r="R1203">
        <v>0</v>
      </c>
      <c r="T1203">
        <v>0</v>
      </c>
      <c r="U1203" t="b">
        <v>0</v>
      </c>
      <c r="V1203">
        <v>2.0049857549857501E-2</v>
      </c>
      <c r="Y1203">
        <v>0</v>
      </c>
      <c r="Z1203">
        <v>1048</v>
      </c>
      <c r="AA1203">
        <v>-3.4931814133181113E-5</v>
      </c>
      <c r="AB1203">
        <v>-1.4553539124149001E-3</v>
      </c>
      <c r="AC1203">
        <v>-6.4536152725596499E-5</v>
      </c>
      <c r="AD1203">
        <v>-6.3262162085099525E-5</v>
      </c>
      <c r="AE1203">
        <v>0</v>
      </c>
      <c r="AF1203" t="b">
        <v>0</v>
      </c>
    </row>
    <row r="1204" spans="1:35" x14ac:dyDescent="0.3">
      <c r="A1204" t="s">
        <v>2549</v>
      </c>
      <c r="B1204" t="s">
        <v>2550</v>
      </c>
      <c r="C1204" t="s">
        <v>431</v>
      </c>
      <c r="D1204">
        <v>121</v>
      </c>
      <c r="E1204">
        <v>3305</v>
      </c>
      <c r="F1204">
        <v>128</v>
      </c>
      <c r="G1204">
        <v>60</v>
      </c>
      <c r="H1204">
        <v>1</v>
      </c>
      <c r="I1204">
        <v>0.30650529500756429</v>
      </c>
      <c r="J1204">
        <v>0.5100145137880987</v>
      </c>
      <c r="K1204" t="s">
        <v>432</v>
      </c>
      <c r="L1204">
        <v>0.50711175616835991</v>
      </c>
      <c r="M1204">
        <v>1</v>
      </c>
      <c r="N1204">
        <v>3.3772180881511099E-2</v>
      </c>
      <c r="O1204" t="s">
        <v>433</v>
      </c>
      <c r="P1204">
        <v>1688</v>
      </c>
      <c r="Q1204">
        <v>0.93898104265402837</v>
      </c>
      <c r="R1204">
        <v>0</v>
      </c>
      <c r="T1204">
        <v>0</v>
      </c>
      <c r="U1204" t="b">
        <v>0</v>
      </c>
      <c r="Y1204">
        <v>0</v>
      </c>
      <c r="Z1204">
        <v>243</v>
      </c>
      <c r="AA1204">
        <v>2.7287993282954998E-3</v>
      </c>
      <c r="AB1204">
        <v>0.26748971193415638</v>
      </c>
      <c r="AD1204">
        <v>0</v>
      </c>
      <c r="AE1204">
        <v>0</v>
      </c>
      <c r="AF1204" t="b">
        <v>0</v>
      </c>
    </row>
    <row r="1205" spans="1:35" x14ac:dyDescent="0.3">
      <c r="A1205" t="s">
        <v>2551</v>
      </c>
      <c r="B1205" t="s">
        <v>2552</v>
      </c>
      <c r="C1205" t="s">
        <v>431</v>
      </c>
      <c r="D1205">
        <v>1690</v>
      </c>
      <c r="E1205">
        <v>77267</v>
      </c>
      <c r="F1205">
        <v>398</v>
      </c>
      <c r="G1205">
        <v>65</v>
      </c>
      <c r="H1205">
        <v>1</v>
      </c>
      <c r="I1205">
        <v>5.1444989452159397E-2</v>
      </c>
      <c r="J1205">
        <v>0.144260390889349</v>
      </c>
      <c r="K1205" t="s">
        <v>432</v>
      </c>
      <c r="L1205">
        <v>0.92413261956466841</v>
      </c>
      <c r="M1205">
        <v>0.61457813280079876</v>
      </c>
      <c r="N1205">
        <v>0.1056492929844934</v>
      </c>
      <c r="O1205" t="s">
        <v>518</v>
      </c>
      <c r="P1205">
        <v>24570</v>
      </c>
      <c r="Q1205">
        <v>2.1286121286121201E-2</v>
      </c>
      <c r="R1205">
        <v>2003</v>
      </c>
      <c r="S1205">
        <v>9.9850224662999991E-4</v>
      </c>
      <c r="T1205">
        <v>0</v>
      </c>
      <c r="U1205" t="b">
        <v>0</v>
      </c>
      <c r="V1205">
        <v>8.5181879046120859</v>
      </c>
      <c r="Y1205">
        <v>0</v>
      </c>
      <c r="Z1205">
        <v>2398</v>
      </c>
      <c r="AA1205">
        <v>1.5818586733024099E-2</v>
      </c>
      <c r="AB1205">
        <v>1.2475270382375321</v>
      </c>
      <c r="AC1205">
        <v>-3.1592716610862402E-2</v>
      </c>
      <c r="AD1205">
        <v>5.6016346715159898E-2</v>
      </c>
      <c r="AE1205">
        <v>0</v>
      </c>
      <c r="AF1205" t="b">
        <v>0</v>
      </c>
    </row>
    <row r="1206" spans="1:35" x14ac:dyDescent="0.3">
      <c r="A1206" t="s">
        <v>2553</v>
      </c>
      <c r="B1206" t="s">
        <v>2554</v>
      </c>
      <c r="C1206" t="s">
        <v>474</v>
      </c>
      <c r="D1206">
        <v>1822</v>
      </c>
      <c r="E1206">
        <v>36181</v>
      </c>
      <c r="F1206">
        <v>9</v>
      </c>
      <c r="G1206">
        <v>60</v>
      </c>
      <c r="H1206">
        <v>60</v>
      </c>
      <c r="I1206">
        <v>1</v>
      </c>
      <c r="J1206">
        <v>1</v>
      </c>
      <c r="K1206" t="s">
        <v>86</v>
      </c>
      <c r="P1206">
        <v>0</v>
      </c>
      <c r="R1206">
        <v>0</v>
      </c>
      <c r="T1206">
        <v>0</v>
      </c>
      <c r="U1206" t="b">
        <v>0</v>
      </c>
      <c r="V1206">
        <v>0</v>
      </c>
      <c r="Y1206">
        <v>0</v>
      </c>
      <c r="Z1206">
        <v>1092</v>
      </c>
      <c r="AA1206">
        <v>0</v>
      </c>
      <c r="AB1206">
        <v>0</v>
      </c>
      <c r="AC1206">
        <v>0</v>
      </c>
      <c r="AD1206">
        <v>0</v>
      </c>
      <c r="AE1206">
        <v>0</v>
      </c>
      <c r="AF1206" t="b">
        <v>0</v>
      </c>
    </row>
    <row r="1207" spans="1:35" x14ac:dyDescent="0.3">
      <c r="A1207" t="s">
        <v>2555</v>
      </c>
      <c r="B1207" t="s">
        <v>2556</v>
      </c>
      <c r="C1207" t="s">
        <v>431</v>
      </c>
      <c r="D1207">
        <v>1228</v>
      </c>
      <c r="E1207">
        <v>54882</v>
      </c>
      <c r="F1207">
        <v>581</v>
      </c>
      <c r="G1207">
        <v>68</v>
      </c>
      <c r="H1207">
        <v>1</v>
      </c>
      <c r="I1207">
        <v>2.4160927079916902E-2</v>
      </c>
      <c r="J1207">
        <v>0.153321095685338</v>
      </c>
      <c r="K1207" t="s">
        <v>432</v>
      </c>
      <c r="L1207">
        <v>0.86396606725953917</v>
      </c>
      <c r="M1207">
        <v>1</v>
      </c>
      <c r="N1207">
        <v>2.00090762820248E-2</v>
      </c>
      <c r="O1207" t="s">
        <v>433</v>
      </c>
      <c r="P1207">
        <v>47508</v>
      </c>
      <c r="Q1207">
        <v>0.1445230277005978</v>
      </c>
      <c r="R1207">
        <v>0</v>
      </c>
      <c r="T1207">
        <v>0</v>
      </c>
      <c r="U1207" t="b">
        <v>0</v>
      </c>
      <c r="V1207">
        <v>11.97273714168354</v>
      </c>
      <c r="Y1207">
        <v>0</v>
      </c>
      <c r="Z1207">
        <v>2176</v>
      </c>
      <c r="AA1207">
        <v>1.8178400635361198E-2</v>
      </c>
      <c r="AB1207">
        <v>1.7321282143372061</v>
      </c>
      <c r="AC1207">
        <v>-3.0505733481953901E-2</v>
      </c>
      <c r="AD1207">
        <v>5.6069786489962303E-2</v>
      </c>
      <c r="AE1207">
        <v>0</v>
      </c>
      <c r="AF1207" t="b">
        <v>0</v>
      </c>
    </row>
    <row r="1208" spans="1:35" x14ac:dyDescent="0.3">
      <c r="A1208" t="s">
        <v>2557</v>
      </c>
      <c r="B1208" t="s">
        <v>2558</v>
      </c>
      <c r="C1208" t="s">
        <v>428</v>
      </c>
      <c r="D1208">
        <v>8518</v>
      </c>
      <c r="E1208">
        <v>213276</v>
      </c>
      <c r="F1208">
        <v>14</v>
      </c>
      <c r="G1208">
        <v>60</v>
      </c>
      <c r="H1208">
        <v>60</v>
      </c>
      <c r="I1208">
        <v>1</v>
      </c>
      <c r="J1208">
        <v>1</v>
      </c>
      <c r="K1208" t="s">
        <v>86</v>
      </c>
      <c r="P1208">
        <v>0</v>
      </c>
      <c r="R1208">
        <v>0</v>
      </c>
      <c r="T1208">
        <v>1</v>
      </c>
      <c r="U1208" t="b">
        <v>1</v>
      </c>
      <c r="V1208">
        <v>8.3482158106898545</v>
      </c>
      <c r="W1208">
        <v>1.0672853828306259</v>
      </c>
      <c r="X1208" t="b">
        <v>1</v>
      </c>
      <c r="Y1208">
        <v>0</v>
      </c>
      <c r="Z1208">
        <v>3920</v>
      </c>
      <c r="AA1208">
        <v>6.18273483548442E-2</v>
      </c>
      <c r="AB1208">
        <v>5.8530941261435441</v>
      </c>
      <c r="AC1208">
        <v>4.7675898010719399E-2</v>
      </c>
      <c r="AD1208">
        <v>7.92831627857008E-2</v>
      </c>
      <c r="AE1208">
        <v>1</v>
      </c>
      <c r="AF1208" t="b">
        <v>1</v>
      </c>
      <c r="AG1208">
        <v>2.1571956456606398E-2</v>
      </c>
      <c r="AH1208">
        <v>2.110147759189156</v>
      </c>
      <c r="AI1208" t="b">
        <v>1</v>
      </c>
    </row>
    <row r="1209" spans="1:35" x14ac:dyDescent="0.3">
      <c r="A1209" t="s">
        <v>2559</v>
      </c>
      <c r="B1209" t="s">
        <v>2560</v>
      </c>
      <c r="C1209" t="s">
        <v>428</v>
      </c>
      <c r="D1209">
        <v>5602</v>
      </c>
      <c r="E1209">
        <v>102548</v>
      </c>
      <c r="F1209">
        <v>10</v>
      </c>
      <c r="G1209">
        <v>60</v>
      </c>
      <c r="H1209">
        <v>60</v>
      </c>
      <c r="I1209">
        <v>1</v>
      </c>
      <c r="J1209">
        <v>1</v>
      </c>
      <c r="K1209" t="s">
        <v>86</v>
      </c>
      <c r="P1209">
        <v>0</v>
      </c>
      <c r="R1209">
        <v>0</v>
      </c>
      <c r="T1209">
        <v>1</v>
      </c>
      <c r="U1209" t="b">
        <v>1</v>
      </c>
      <c r="V1209">
        <v>2.8115173883674842</v>
      </c>
      <c r="W1209">
        <v>0.268041237113402</v>
      </c>
      <c r="X1209" t="b">
        <v>1</v>
      </c>
      <c r="Y1209">
        <v>0</v>
      </c>
      <c r="Z1209">
        <v>2138</v>
      </c>
      <c r="AA1209">
        <v>8.7504070847198006E-3</v>
      </c>
      <c r="AB1209">
        <v>0.78123745812528289</v>
      </c>
      <c r="AC1209">
        <v>2.0035914574187E-3</v>
      </c>
      <c r="AD1209">
        <v>1.50370194464861E-2</v>
      </c>
      <c r="AE1209">
        <v>1</v>
      </c>
      <c r="AF1209" t="b">
        <v>1</v>
      </c>
      <c r="AG1209">
        <v>-2.0850247250719001E-3</v>
      </c>
      <c r="AH1209">
        <v>-0.20600388915896939</v>
      </c>
      <c r="AI1209" t="b">
        <v>1</v>
      </c>
    </row>
    <row r="1210" spans="1:35" x14ac:dyDescent="0.3">
      <c r="A1210" t="s">
        <v>2561</v>
      </c>
      <c r="B1210" t="s">
        <v>2562</v>
      </c>
      <c r="C1210" t="s">
        <v>428</v>
      </c>
      <c r="D1210">
        <v>8295</v>
      </c>
      <c r="E1210">
        <v>172374</v>
      </c>
      <c r="F1210">
        <v>10</v>
      </c>
      <c r="G1210">
        <v>60</v>
      </c>
      <c r="H1210">
        <v>60</v>
      </c>
      <c r="I1210">
        <v>1</v>
      </c>
      <c r="J1210">
        <v>1</v>
      </c>
      <c r="K1210" t="s">
        <v>86</v>
      </c>
      <c r="P1210">
        <v>0</v>
      </c>
      <c r="R1210">
        <v>0</v>
      </c>
      <c r="T1210">
        <v>1</v>
      </c>
      <c r="U1210" t="b">
        <v>1</v>
      </c>
      <c r="V1210">
        <v>5.1768033946251766</v>
      </c>
      <c r="W1210">
        <v>0</v>
      </c>
      <c r="X1210" t="b">
        <v>1</v>
      </c>
      <c r="Y1210">
        <v>0</v>
      </c>
      <c r="Z1210">
        <v>4075</v>
      </c>
      <c r="AA1210">
        <v>4.5974155529890599E-2</v>
      </c>
      <c r="AB1210">
        <v>4.1863341974998418</v>
      </c>
      <c r="AC1210">
        <v>2.5911608726870799E-2</v>
      </c>
      <c r="AD1210">
        <v>7.3550235210897805E-2</v>
      </c>
      <c r="AE1210">
        <v>1</v>
      </c>
      <c r="AF1210" t="b">
        <v>1</v>
      </c>
      <c r="AG1210">
        <v>0</v>
      </c>
      <c r="AH1210">
        <v>0</v>
      </c>
      <c r="AI1210" t="b">
        <v>1</v>
      </c>
    </row>
    <row r="1211" spans="1:35" x14ac:dyDescent="0.3">
      <c r="A1211" t="s">
        <v>2563</v>
      </c>
      <c r="B1211" t="s">
        <v>2564</v>
      </c>
      <c r="C1211" t="s">
        <v>457</v>
      </c>
      <c r="D1211">
        <v>1439</v>
      </c>
      <c r="E1211">
        <v>33015</v>
      </c>
      <c r="F1211">
        <v>17</v>
      </c>
      <c r="G1211">
        <v>60</v>
      </c>
      <c r="H1211">
        <v>60</v>
      </c>
      <c r="I1211">
        <v>1</v>
      </c>
      <c r="J1211">
        <v>1</v>
      </c>
      <c r="K1211" t="s">
        <v>432</v>
      </c>
      <c r="L1211">
        <v>0.87226927252985886</v>
      </c>
      <c r="M1211">
        <v>1</v>
      </c>
      <c r="N1211">
        <v>1</v>
      </c>
      <c r="O1211" t="s">
        <v>433</v>
      </c>
      <c r="P1211">
        <v>0</v>
      </c>
      <c r="R1211">
        <v>0</v>
      </c>
      <c r="T1211">
        <v>0</v>
      </c>
      <c r="U1211" t="b">
        <v>0</v>
      </c>
      <c r="V1211">
        <v>5.5243107769423556</v>
      </c>
      <c r="Y1211">
        <v>0</v>
      </c>
      <c r="Z1211">
        <v>999</v>
      </c>
      <c r="AA1211">
        <v>2.2254416758650999E-2</v>
      </c>
      <c r="AB1211">
        <v>1.8939644772978099</v>
      </c>
      <c r="AC1211">
        <v>7.2013432948456E-3</v>
      </c>
      <c r="AD1211">
        <v>3.3383158943696999E-2</v>
      </c>
      <c r="AE1211">
        <v>0</v>
      </c>
      <c r="AF1211" t="b">
        <v>0</v>
      </c>
    </row>
    <row r="1212" spans="1:35" x14ac:dyDescent="0.3">
      <c r="A1212" t="s">
        <v>2565</v>
      </c>
      <c r="B1212" t="s">
        <v>2566</v>
      </c>
      <c r="C1212" t="s">
        <v>479</v>
      </c>
      <c r="D1212">
        <v>2177</v>
      </c>
      <c r="E1212">
        <v>26026</v>
      </c>
      <c r="F1212">
        <v>39</v>
      </c>
      <c r="G1212">
        <v>120</v>
      </c>
      <c r="H1212">
        <v>60</v>
      </c>
      <c r="I1212">
        <v>1</v>
      </c>
      <c r="J1212">
        <v>1</v>
      </c>
      <c r="K1212" t="s">
        <v>86</v>
      </c>
      <c r="P1212">
        <v>0</v>
      </c>
      <c r="R1212">
        <v>0</v>
      </c>
      <c r="T1212">
        <v>0</v>
      </c>
      <c r="U1212" t="b">
        <v>0</v>
      </c>
      <c r="V1212">
        <v>21.683908045977009</v>
      </c>
      <c r="Y1212">
        <v>0</v>
      </c>
      <c r="Z1212">
        <v>143</v>
      </c>
      <c r="AA1212">
        <v>9.0960215749915294E-2</v>
      </c>
      <c r="AB1212">
        <v>18.525987998015971</v>
      </c>
      <c r="AC1212">
        <v>9.4499178981937604E-2</v>
      </c>
      <c r="AD1212">
        <v>0.11653404067197171</v>
      </c>
      <c r="AE1212">
        <v>0</v>
      </c>
      <c r="AF1212" t="b">
        <v>0</v>
      </c>
    </row>
    <row r="1213" spans="1:35" x14ac:dyDescent="0.3">
      <c r="A1213" t="s">
        <v>2567</v>
      </c>
      <c r="B1213" t="s">
        <v>2568</v>
      </c>
      <c r="C1213" t="s">
        <v>431</v>
      </c>
      <c r="D1213">
        <v>866</v>
      </c>
      <c r="E1213">
        <v>16203</v>
      </c>
      <c r="F1213">
        <v>34</v>
      </c>
      <c r="G1213">
        <v>60</v>
      </c>
      <c r="H1213">
        <v>60</v>
      </c>
      <c r="I1213">
        <v>1</v>
      </c>
      <c r="J1213">
        <v>1</v>
      </c>
      <c r="K1213" t="s">
        <v>432</v>
      </c>
      <c r="L1213">
        <v>0.83052201287412486</v>
      </c>
      <c r="M1213">
        <v>1</v>
      </c>
      <c r="N1213">
        <v>1</v>
      </c>
      <c r="O1213" t="s">
        <v>518</v>
      </c>
      <c r="P1213">
        <v>0</v>
      </c>
      <c r="R1213">
        <v>0</v>
      </c>
      <c r="T1213">
        <v>0</v>
      </c>
      <c r="U1213" t="b">
        <v>0</v>
      </c>
      <c r="V1213">
        <v>10.90909090909091</v>
      </c>
      <c r="Y1213">
        <v>0</v>
      </c>
      <c r="Z1213">
        <v>735</v>
      </c>
      <c r="AA1213">
        <v>-1.6271886761577401E-2</v>
      </c>
      <c r="AB1213">
        <v>-1.546161321671526</v>
      </c>
      <c r="AC1213">
        <v>-3.3112582781456901E-2</v>
      </c>
      <c r="AD1213">
        <v>1.5015015015014999E-2</v>
      </c>
      <c r="AE1213">
        <v>0</v>
      </c>
      <c r="AF1213" t="b">
        <v>0</v>
      </c>
    </row>
    <row r="1214" spans="1:35" x14ac:dyDescent="0.3">
      <c r="A1214" t="s">
        <v>2569</v>
      </c>
      <c r="B1214" t="s">
        <v>2570</v>
      </c>
      <c r="C1214" t="s">
        <v>831</v>
      </c>
      <c r="D1214">
        <v>28136</v>
      </c>
      <c r="E1214">
        <v>507338</v>
      </c>
      <c r="F1214">
        <v>28</v>
      </c>
      <c r="G1214">
        <v>60</v>
      </c>
      <c r="H1214">
        <v>60</v>
      </c>
      <c r="I1214">
        <v>1</v>
      </c>
      <c r="J1214">
        <v>0.99997080176632136</v>
      </c>
      <c r="K1214" t="s">
        <v>86</v>
      </c>
      <c r="P1214">
        <v>0</v>
      </c>
      <c r="R1214">
        <v>0</v>
      </c>
      <c r="T1214">
        <v>2</v>
      </c>
      <c r="U1214" t="b">
        <v>1</v>
      </c>
      <c r="V1214">
        <v>8.7431782290339406</v>
      </c>
      <c r="W1214">
        <v>1.41558283941596</v>
      </c>
      <c r="X1214" t="b">
        <v>1</v>
      </c>
      <c r="Y1214">
        <v>0</v>
      </c>
      <c r="Z1214">
        <v>7491</v>
      </c>
      <c r="AA1214">
        <v>3.1314665574342898E-2</v>
      </c>
      <c r="AB1214">
        <v>2.6102827534686859</v>
      </c>
      <c r="AC1214">
        <v>2.6475134204624301E-2</v>
      </c>
      <c r="AD1214">
        <v>3.71276592252298E-2</v>
      </c>
      <c r="AE1214">
        <v>2</v>
      </c>
      <c r="AF1214" t="b">
        <v>1</v>
      </c>
      <c r="AG1214">
        <v>1.3804980027868801E-2</v>
      </c>
      <c r="AH1214">
        <v>1.3061574930710891</v>
      </c>
      <c r="AI1214" t="b">
        <v>1</v>
      </c>
    </row>
    <row r="1215" spans="1:35" x14ac:dyDescent="0.3">
      <c r="A1215" t="s">
        <v>2571</v>
      </c>
      <c r="B1215" t="s">
        <v>2572</v>
      </c>
      <c r="C1215" t="s">
        <v>474</v>
      </c>
      <c r="D1215">
        <v>259</v>
      </c>
      <c r="E1215">
        <v>12238</v>
      </c>
      <c r="F1215">
        <v>35</v>
      </c>
      <c r="G1215">
        <v>32</v>
      </c>
      <c r="H1215">
        <v>4</v>
      </c>
      <c r="I1215">
        <v>1.5443699950972299E-2</v>
      </c>
      <c r="J1215">
        <v>7.93524837327408E-2</v>
      </c>
      <c r="K1215" t="s">
        <v>86</v>
      </c>
      <c r="P1215">
        <v>0</v>
      </c>
      <c r="R1215">
        <v>0</v>
      </c>
      <c r="T1215">
        <v>0</v>
      </c>
      <c r="U1215" t="b">
        <v>0</v>
      </c>
      <c r="V1215">
        <v>0.160379596678529</v>
      </c>
      <c r="Y1215">
        <v>0</v>
      </c>
      <c r="Z1215">
        <v>441</v>
      </c>
      <c r="AA1215">
        <v>-1.9041355202741E-3</v>
      </c>
      <c r="AB1215">
        <v>-6.5430299103768394E-2</v>
      </c>
      <c r="AC1215">
        <v>-4.5908722657303997E-3</v>
      </c>
      <c r="AD1215">
        <v>-5.0232245318312004E-3</v>
      </c>
      <c r="AE1215">
        <v>0</v>
      </c>
      <c r="AF1215" t="b">
        <v>0</v>
      </c>
    </row>
    <row r="1216" spans="1:35" x14ac:dyDescent="0.3">
      <c r="A1216" t="s">
        <v>2573</v>
      </c>
      <c r="B1216" t="s">
        <v>2574</v>
      </c>
      <c r="C1216" t="s">
        <v>431</v>
      </c>
      <c r="D1216">
        <v>120</v>
      </c>
      <c r="E1216">
        <v>3712</v>
      </c>
      <c r="F1216">
        <v>24</v>
      </c>
      <c r="G1216">
        <v>60</v>
      </c>
      <c r="H1216">
        <v>60</v>
      </c>
      <c r="I1216">
        <v>1</v>
      </c>
      <c r="J1216">
        <v>1</v>
      </c>
      <c r="K1216" t="s">
        <v>432</v>
      </c>
      <c r="L1216">
        <v>0.6955503512880562</v>
      </c>
      <c r="M1216">
        <v>1</v>
      </c>
      <c r="N1216">
        <v>1</v>
      </c>
      <c r="O1216" t="s">
        <v>433</v>
      </c>
      <c r="P1216">
        <v>0</v>
      </c>
      <c r="R1216">
        <v>0</v>
      </c>
      <c r="T1216">
        <v>0</v>
      </c>
      <c r="U1216" t="b">
        <v>0</v>
      </c>
      <c r="V1216">
        <v>25.24285714285714</v>
      </c>
      <c r="Y1216">
        <v>0</v>
      </c>
      <c r="Z1216">
        <v>138</v>
      </c>
      <c r="AA1216">
        <v>3.1390665719023901E-2</v>
      </c>
      <c r="AB1216">
        <v>3.9320220841959972</v>
      </c>
      <c r="AC1216">
        <v>2.2508038585209E-2</v>
      </c>
      <c r="AD1216">
        <v>3.1732776617953998E-2</v>
      </c>
      <c r="AE1216">
        <v>0</v>
      </c>
      <c r="AF1216" t="b">
        <v>0</v>
      </c>
    </row>
    <row r="1217" spans="1:32" x14ac:dyDescent="0.3">
      <c r="A1217" t="s">
        <v>2575</v>
      </c>
      <c r="B1217" t="s">
        <v>2576</v>
      </c>
      <c r="C1217" t="s">
        <v>431</v>
      </c>
      <c r="D1217">
        <v>386</v>
      </c>
      <c r="E1217">
        <v>4859</v>
      </c>
      <c r="F1217">
        <v>180</v>
      </c>
      <c r="G1217">
        <v>33</v>
      </c>
      <c r="H1217">
        <v>1</v>
      </c>
      <c r="I1217">
        <v>8.6849145914797199E-2</v>
      </c>
      <c r="J1217">
        <v>0.26234509056244038</v>
      </c>
      <c r="K1217" t="s">
        <v>432</v>
      </c>
      <c r="L1217">
        <v>0.70657769304099138</v>
      </c>
      <c r="M1217">
        <v>0.82521117608836903</v>
      </c>
      <c r="N1217">
        <v>2.8602266594711202E-2</v>
      </c>
      <c r="O1217" t="s">
        <v>518</v>
      </c>
      <c r="P1217">
        <v>3600</v>
      </c>
      <c r="Q1217">
        <v>3.8888888888887999E-3</v>
      </c>
      <c r="R1217">
        <v>29</v>
      </c>
      <c r="S1217">
        <v>0</v>
      </c>
      <c r="T1217">
        <v>0</v>
      </c>
      <c r="U1217" t="b">
        <v>0</v>
      </c>
      <c r="V1217">
        <v>0</v>
      </c>
      <c r="Y1217">
        <v>0</v>
      </c>
      <c r="Z1217">
        <v>328</v>
      </c>
      <c r="AA1217">
        <v>4.6654820144937E-3</v>
      </c>
      <c r="AB1217">
        <v>0.48628048780487781</v>
      </c>
      <c r="AC1217">
        <v>0</v>
      </c>
      <c r="AD1217">
        <v>0</v>
      </c>
      <c r="AE1217">
        <v>0</v>
      </c>
      <c r="AF1217" t="b">
        <v>0</v>
      </c>
    </row>
    <row r="1218" spans="1:32" x14ac:dyDescent="0.3">
      <c r="A1218" t="s">
        <v>2577</v>
      </c>
      <c r="B1218" t="s">
        <v>2578</v>
      </c>
      <c r="C1218" t="s">
        <v>431</v>
      </c>
      <c r="D1218">
        <v>156</v>
      </c>
      <c r="E1218">
        <v>140</v>
      </c>
      <c r="F1218">
        <v>4</v>
      </c>
      <c r="G1218">
        <v>120</v>
      </c>
      <c r="H1218">
        <v>60</v>
      </c>
      <c r="I1218">
        <v>1</v>
      </c>
      <c r="J1218">
        <v>1</v>
      </c>
      <c r="K1218" t="s">
        <v>86</v>
      </c>
      <c r="P1218">
        <v>0</v>
      </c>
      <c r="R1218">
        <v>0</v>
      </c>
      <c r="T1218">
        <v>0</v>
      </c>
      <c r="U1218" t="b">
        <v>0</v>
      </c>
      <c r="V1218">
        <v>0</v>
      </c>
      <c r="Y1218">
        <v>0.72356170923848173</v>
      </c>
      <c r="Z1218">
        <v>9</v>
      </c>
      <c r="AA1218">
        <v>0</v>
      </c>
      <c r="AB1218">
        <v>0</v>
      </c>
      <c r="AC1218">
        <v>0</v>
      </c>
      <c r="AD1218">
        <v>0</v>
      </c>
      <c r="AE1218">
        <v>0</v>
      </c>
      <c r="AF1218" t="b">
        <v>0</v>
      </c>
    </row>
    <row r="1219" spans="1:32" x14ac:dyDescent="0.3">
      <c r="A1219" t="s">
        <v>2579</v>
      </c>
      <c r="B1219" t="s">
        <v>2580</v>
      </c>
      <c r="C1219" t="s">
        <v>431</v>
      </c>
      <c r="D1219">
        <v>133</v>
      </c>
      <c r="E1219">
        <v>7053</v>
      </c>
      <c r="F1219">
        <v>126</v>
      </c>
      <c r="G1219">
        <v>33</v>
      </c>
      <c r="H1219">
        <v>1</v>
      </c>
      <c r="I1219">
        <v>3.4028073160357001E-3</v>
      </c>
      <c r="J1219">
        <v>0.15919844141386019</v>
      </c>
      <c r="K1219" t="s">
        <v>432</v>
      </c>
      <c r="L1219">
        <v>0.85193431672696907</v>
      </c>
      <c r="M1219">
        <v>1</v>
      </c>
      <c r="N1219">
        <v>1.3067624959163599E-2</v>
      </c>
      <c r="O1219" t="s">
        <v>433</v>
      </c>
      <c r="P1219">
        <v>6042</v>
      </c>
      <c r="Q1219">
        <v>1</v>
      </c>
      <c r="R1219">
        <v>0</v>
      </c>
      <c r="T1219">
        <v>0</v>
      </c>
      <c r="U1219" t="b">
        <v>0</v>
      </c>
      <c r="V1219">
        <v>0</v>
      </c>
      <c r="Y1219">
        <v>0</v>
      </c>
      <c r="Z1219">
        <v>517</v>
      </c>
      <c r="AA1219">
        <v>0</v>
      </c>
      <c r="AB1219">
        <v>0</v>
      </c>
      <c r="AC1219">
        <v>0</v>
      </c>
      <c r="AD1219">
        <v>0</v>
      </c>
      <c r="AE1219">
        <v>0</v>
      </c>
      <c r="AF1219" t="b">
        <v>0</v>
      </c>
    </row>
    <row r="1220" spans="1:32" x14ac:dyDescent="0.3">
      <c r="A1220" t="s">
        <v>2581</v>
      </c>
      <c r="B1220" t="s">
        <v>2582</v>
      </c>
      <c r="C1220" t="s">
        <v>431</v>
      </c>
      <c r="D1220">
        <v>163</v>
      </c>
      <c r="E1220">
        <v>1225</v>
      </c>
      <c r="F1220">
        <v>21</v>
      </c>
      <c r="G1220">
        <v>300</v>
      </c>
      <c r="H1220">
        <v>60</v>
      </c>
      <c r="I1220">
        <v>1</v>
      </c>
      <c r="J1220">
        <v>1</v>
      </c>
      <c r="K1220" t="s">
        <v>432</v>
      </c>
      <c r="L1220">
        <v>3.2688458972648403E-2</v>
      </c>
      <c r="M1220">
        <v>1</v>
      </c>
      <c r="O1220" t="s">
        <v>433</v>
      </c>
      <c r="P1220">
        <v>0</v>
      </c>
      <c r="R1220">
        <v>0</v>
      </c>
      <c r="T1220">
        <v>0</v>
      </c>
      <c r="U1220" t="b">
        <v>0</v>
      </c>
      <c r="V1220">
        <v>0</v>
      </c>
      <c r="Y1220">
        <v>3.2688458972648403E-2</v>
      </c>
      <c r="Z1220">
        <v>58</v>
      </c>
      <c r="AA1220">
        <v>0</v>
      </c>
      <c r="AB1220">
        <v>0</v>
      </c>
      <c r="AC1220">
        <v>0</v>
      </c>
      <c r="AD1220">
        <v>0</v>
      </c>
      <c r="AE1220">
        <v>0</v>
      </c>
      <c r="AF1220" t="b">
        <v>0</v>
      </c>
    </row>
    <row r="1221" spans="1:32" x14ac:dyDescent="0.3">
      <c r="A1221" t="s">
        <v>2583</v>
      </c>
      <c r="B1221" t="s">
        <v>2584</v>
      </c>
      <c r="C1221" t="s">
        <v>431</v>
      </c>
      <c r="D1221">
        <v>187</v>
      </c>
      <c r="E1221">
        <v>3821</v>
      </c>
      <c r="F1221">
        <v>179</v>
      </c>
      <c r="G1221">
        <v>60</v>
      </c>
      <c r="H1221">
        <v>1</v>
      </c>
      <c r="I1221">
        <v>0.39649306464276368</v>
      </c>
      <c r="J1221">
        <v>0.4370975730559683</v>
      </c>
      <c r="K1221" t="s">
        <v>86</v>
      </c>
      <c r="P1221">
        <v>0</v>
      </c>
      <c r="R1221">
        <v>0</v>
      </c>
      <c r="T1221">
        <v>0</v>
      </c>
      <c r="U1221" t="b">
        <v>0</v>
      </c>
      <c r="Y1221">
        <v>0</v>
      </c>
      <c r="Z1221">
        <v>0</v>
      </c>
      <c r="AE1221">
        <v>0</v>
      </c>
      <c r="AF1221" t="b">
        <v>0</v>
      </c>
    </row>
    <row r="1222" spans="1:32" x14ac:dyDescent="0.3">
      <c r="A1222" t="s">
        <v>2585</v>
      </c>
      <c r="B1222" t="s">
        <v>2586</v>
      </c>
      <c r="C1222" t="s">
        <v>431</v>
      </c>
      <c r="D1222">
        <v>50</v>
      </c>
      <c r="E1222">
        <v>177</v>
      </c>
      <c r="F1222">
        <v>12</v>
      </c>
      <c r="G1222">
        <v>900</v>
      </c>
      <c r="H1222">
        <v>300</v>
      </c>
      <c r="I1222">
        <v>1</v>
      </c>
      <c r="J1222">
        <v>1</v>
      </c>
      <c r="K1222" t="s">
        <v>432</v>
      </c>
      <c r="L1222">
        <v>3.6231884057971002E-2</v>
      </c>
      <c r="M1222">
        <v>1</v>
      </c>
      <c r="O1222" t="s">
        <v>433</v>
      </c>
      <c r="P1222">
        <v>0</v>
      </c>
      <c r="R1222">
        <v>0</v>
      </c>
      <c r="T1222">
        <v>0</v>
      </c>
      <c r="U1222" t="b">
        <v>0</v>
      </c>
      <c r="Y1222">
        <v>3.6231884057971002E-2</v>
      </c>
      <c r="Z1222">
        <v>0</v>
      </c>
      <c r="AE1222">
        <v>0</v>
      </c>
      <c r="AF1222" t="b">
        <v>0</v>
      </c>
    </row>
    <row r="1223" spans="1:32" x14ac:dyDescent="0.3">
      <c r="A1223" t="s">
        <v>2587</v>
      </c>
      <c r="B1223" t="s">
        <v>2588</v>
      </c>
      <c r="C1223" t="s">
        <v>431</v>
      </c>
      <c r="D1223">
        <v>53</v>
      </c>
      <c r="E1223">
        <v>765</v>
      </c>
      <c r="F1223">
        <v>17</v>
      </c>
      <c r="G1223">
        <v>180</v>
      </c>
      <c r="H1223">
        <v>60</v>
      </c>
      <c r="I1223">
        <v>1</v>
      </c>
      <c r="J1223">
        <v>1</v>
      </c>
      <c r="K1223" t="s">
        <v>86</v>
      </c>
      <c r="P1223">
        <v>0</v>
      </c>
      <c r="R1223">
        <v>0</v>
      </c>
      <c r="T1223">
        <v>0</v>
      </c>
      <c r="U1223" t="b">
        <v>0</v>
      </c>
      <c r="Y1223">
        <v>0</v>
      </c>
      <c r="Z1223">
        <v>0</v>
      </c>
      <c r="AE1223">
        <v>0</v>
      </c>
      <c r="AF1223" t="b">
        <v>0</v>
      </c>
    </row>
    <row r="1224" spans="1:32" x14ac:dyDescent="0.3">
      <c r="A1224" t="s">
        <v>2589</v>
      </c>
      <c r="B1224" t="s">
        <v>2590</v>
      </c>
      <c r="C1224" t="s">
        <v>431</v>
      </c>
      <c r="D1224">
        <v>111</v>
      </c>
      <c r="E1224">
        <v>2130</v>
      </c>
      <c r="F1224">
        <v>10</v>
      </c>
      <c r="G1224">
        <v>60</v>
      </c>
      <c r="H1224">
        <v>60</v>
      </c>
      <c r="I1224">
        <v>1</v>
      </c>
      <c r="J1224">
        <v>1</v>
      </c>
      <c r="K1224" t="s">
        <v>432</v>
      </c>
      <c r="L1224">
        <v>0.9446689462231892</v>
      </c>
      <c r="M1224">
        <v>1</v>
      </c>
      <c r="N1224">
        <v>1</v>
      </c>
      <c r="O1224" t="s">
        <v>433</v>
      </c>
      <c r="P1224">
        <v>0</v>
      </c>
      <c r="R1224">
        <v>0</v>
      </c>
      <c r="T1224">
        <v>0</v>
      </c>
      <c r="U1224" t="b">
        <v>0</v>
      </c>
      <c r="V1224">
        <v>4.8484848484848486</v>
      </c>
      <c r="Y1224">
        <v>0</v>
      </c>
      <c r="Z1224">
        <v>99</v>
      </c>
      <c r="AA1224">
        <v>1.36778115501519E-2</v>
      </c>
      <c r="AB1224">
        <v>1.168831168831169</v>
      </c>
      <c r="AC1224">
        <v>0</v>
      </c>
      <c r="AD1224">
        <v>2.8368794326241099E-2</v>
      </c>
      <c r="AE1224">
        <v>0</v>
      </c>
      <c r="AF1224" t="b">
        <v>0</v>
      </c>
    </row>
    <row r="1225" spans="1:32" x14ac:dyDescent="0.3">
      <c r="A1225" t="s">
        <v>2591</v>
      </c>
      <c r="B1225" t="s">
        <v>2592</v>
      </c>
      <c r="C1225" t="s">
        <v>431</v>
      </c>
      <c r="D1225">
        <v>289</v>
      </c>
      <c r="E1225">
        <v>604</v>
      </c>
      <c r="F1225">
        <v>10</v>
      </c>
      <c r="G1225">
        <v>300</v>
      </c>
      <c r="H1225">
        <v>120</v>
      </c>
      <c r="I1225">
        <v>1</v>
      </c>
      <c r="J1225">
        <v>1</v>
      </c>
      <c r="K1225" t="s">
        <v>432</v>
      </c>
      <c r="L1225">
        <v>0.57918898240244832</v>
      </c>
      <c r="M1225">
        <v>1</v>
      </c>
      <c r="O1225" t="s">
        <v>518</v>
      </c>
      <c r="P1225">
        <v>0</v>
      </c>
      <c r="R1225">
        <v>0</v>
      </c>
      <c r="T1225">
        <v>0</v>
      </c>
      <c r="U1225" t="b">
        <v>0</v>
      </c>
      <c r="Y1225">
        <v>0.57918898240244832</v>
      </c>
      <c r="Z1225">
        <v>33</v>
      </c>
      <c r="AA1225">
        <v>-3.4650034650033999E-3</v>
      </c>
      <c r="AB1225">
        <v>-1.5151515151515149</v>
      </c>
      <c r="AD1225">
        <v>0</v>
      </c>
      <c r="AE1225">
        <v>0</v>
      </c>
      <c r="AF1225" t="b">
        <v>0</v>
      </c>
    </row>
    <row r="1226" spans="1:32" x14ac:dyDescent="0.3">
      <c r="A1226" t="s">
        <v>2593</v>
      </c>
      <c r="B1226" t="s">
        <v>2594</v>
      </c>
      <c r="C1226" t="s">
        <v>431</v>
      </c>
      <c r="D1226">
        <v>800</v>
      </c>
      <c r="E1226">
        <v>36573</v>
      </c>
      <c r="F1226">
        <v>26</v>
      </c>
      <c r="G1226">
        <v>59</v>
      </c>
      <c r="H1226">
        <v>1</v>
      </c>
      <c r="I1226">
        <v>0.46411287015011071</v>
      </c>
      <c r="J1226">
        <v>0.70569662590640303</v>
      </c>
      <c r="K1226" t="s">
        <v>432</v>
      </c>
      <c r="L1226">
        <v>0.78479115939314481</v>
      </c>
      <c r="M1226">
        <v>1</v>
      </c>
      <c r="N1226">
        <v>0.62499147630412544</v>
      </c>
      <c r="O1226" t="s">
        <v>433</v>
      </c>
      <c r="P1226">
        <v>10999</v>
      </c>
      <c r="Q1226">
        <v>5.36412401127375E-2</v>
      </c>
      <c r="R1226">
        <v>0</v>
      </c>
      <c r="T1226">
        <v>0</v>
      </c>
      <c r="U1226" t="b">
        <v>0</v>
      </c>
      <c r="V1226">
        <v>5.1036414565826336</v>
      </c>
      <c r="Y1226">
        <v>0</v>
      </c>
      <c r="Z1226">
        <v>1772</v>
      </c>
      <c r="AA1226">
        <v>4.2598403369880897E-2</v>
      </c>
      <c r="AB1226">
        <v>2.1940825540148339</v>
      </c>
      <c r="AC1226">
        <v>5.92320136228182E-2</v>
      </c>
      <c r="AD1226">
        <v>7.5442186097651701E-2</v>
      </c>
      <c r="AE1226">
        <v>0</v>
      </c>
      <c r="AF1226" t="b">
        <v>0</v>
      </c>
    </row>
    <row r="1227" spans="1:32" x14ac:dyDescent="0.3">
      <c r="A1227" t="s">
        <v>2595</v>
      </c>
      <c r="B1227" t="s">
        <v>2596</v>
      </c>
      <c r="C1227" t="s">
        <v>431</v>
      </c>
      <c r="D1227">
        <v>248</v>
      </c>
      <c r="E1227">
        <v>477</v>
      </c>
      <c r="F1227">
        <v>14</v>
      </c>
      <c r="G1227">
        <v>300</v>
      </c>
      <c r="H1227">
        <v>60</v>
      </c>
      <c r="I1227">
        <v>1</v>
      </c>
      <c r="J1227">
        <v>0.99943788645306364</v>
      </c>
      <c r="K1227" t="s">
        <v>86</v>
      </c>
      <c r="P1227">
        <v>0</v>
      </c>
      <c r="R1227">
        <v>0</v>
      </c>
      <c r="T1227">
        <v>0</v>
      </c>
      <c r="U1227" t="b">
        <v>0</v>
      </c>
      <c r="V1227">
        <v>60</v>
      </c>
      <c r="Y1227">
        <v>0.70629024269440321</v>
      </c>
      <c r="Z1227">
        <v>24</v>
      </c>
      <c r="AA1227">
        <v>6.3316993464052002E-3</v>
      </c>
      <c r="AB1227">
        <v>2.1527777777777759</v>
      </c>
      <c r="AC1227">
        <v>-3.6363636363636299E-2</v>
      </c>
      <c r="AD1227">
        <v>1.6666666666666601E-2</v>
      </c>
      <c r="AE1227">
        <v>0</v>
      </c>
      <c r="AF1227" t="b">
        <v>0</v>
      </c>
    </row>
    <row r="1228" spans="1:32" x14ac:dyDescent="0.3">
      <c r="A1228" t="s">
        <v>2597</v>
      </c>
      <c r="B1228" t="s">
        <v>2598</v>
      </c>
      <c r="C1228" t="s">
        <v>431</v>
      </c>
      <c r="D1228">
        <v>278</v>
      </c>
      <c r="E1228">
        <v>11115</v>
      </c>
      <c r="F1228">
        <v>6</v>
      </c>
      <c r="G1228">
        <v>60</v>
      </c>
      <c r="H1228">
        <v>60</v>
      </c>
      <c r="I1228">
        <v>1</v>
      </c>
      <c r="J1228">
        <v>1</v>
      </c>
      <c r="K1228" t="s">
        <v>432</v>
      </c>
      <c r="L1228">
        <v>0.91420282698598843</v>
      </c>
      <c r="M1228">
        <v>1</v>
      </c>
      <c r="N1228">
        <v>1</v>
      </c>
      <c r="O1228" t="s">
        <v>433</v>
      </c>
      <c r="P1228">
        <v>0</v>
      </c>
      <c r="R1228">
        <v>0</v>
      </c>
      <c r="T1228">
        <v>0</v>
      </c>
      <c r="U1228" t="b">
        <v>0</v>
      </c>
      <c r="Y1228">
        <v>0</v>
      </c>
      <c r="Z1228">
        <v>740</v>
      </c>
      <c r="AA1228">
        <v>-1.8714909544603E-3</v>
      </c>
      <c r="AB1228">
        <v>-0.1216216216216216</v>
      </c>
      <c r="AD1228">
        <v>-0.119047619047619</v>
      </c>
      <c r="AE1228">
        <v>0</v>
      </c>
      <c r="AF1228" t="b">
        <v>0</v>
      </c>
    </row>
    <row r="1229" spans="1:32" x14ac:dyDescent="0.3">
      <c r="A1229" t="s">
        <v>2599</v>
      </c>
      <c r="B1229" t="s">
        <v>2600</v>
      </c>
      <c r="C1229" t="s">
        <v>431</v>
      </c>
      <c r="D1229">
        <v>252</v>
      </c>
      <c r="E1229">
        <v>6134</v>
      </c>
      <c r="F1229">
        <v>98</v>
      </c>
      <c r="G1229">
        <v>38</v>
      </c>
      <c r="H1229">
        <v>1</v>
      </c>
      <c r="I1229">
        <v>0.25057059015324418</v>
      </c>
      <c r="J1229">
        <v>0.57789259433223739</v>
      </c>
      <c r="K1229" t="s">
        <v>432</v>
      </c>
      <c r="L1229">
        <v>0.42242054172537968</v>
      </c>
      <c r="M1229">
        <v>0.99728923827595561</v>
      </c>
      <c r="N1229">
        <v>4.4477390659746997E-3</v>
      </c>
      <c r="O1229" t="s">
        <v>433</v>
      </c>
      <c r="P1229">
        <v>2686</v>
      </c>
      <c r="Q1229">
        <v>1</v>
      </c>
      <c r="R1229">
        <v>10</v>
      </c>
      <c r="S1229">
        <v>0</v>
      </c>
      <c r="T1229">
        <v>0</v>
      </c>
      <c r="U1229" t="b">
        <v>0</v>
      </c>
      <c r="V1229">
        <v>0</v>
      </c>
      <c r="Y1229">
        <v>0</v>
      </c>
      <c r="Z1229">
        <v>424</v>
      </c>
      <c r="AA1229">
        <v>-1.1793916821849001E-3</v>
      </c>
      <c r="AB1229">
        <v>-5.9748427672955899E-2</v>
      </c>
      <c r="AC1229">
        <v>0</v>
      </c>
      <c r="AD1229">
        <v>0</v>
      </c>
      <c r="AE1229">
        <v>0</v>
      </c>
      <c r="AF1229" t="b">
        <v>0</v>
      </c>
    </row>
    <row r="1230" spans="1:32" x14ac:dyDescent="0.3">
      <c r="A1230" t="s">
        <v>2601</v>
      </c>
      <c r="B1230" t="s">
        <v>2602</v>
      </c>
      <c r="C1230" t="s">
        <v>431</v>
      </c>
      <c r="D1230">
        <v>219</v>
      </c>
      <c r="E1230">
        <v>5261</v>
      </c>
      <c r="F1230">
        <v>23</v>
      </c>
      <c r="G1230">
        <v>60</v>
      </c>
      <c r="H1230">
        <v>60</v>
      </c>
      <c r="I1230">
        <v>1</v>
      </c>
      <c r="J1230">
        <v>0.99908270906589203</v>
      </c>
      <c r="K1230" t="s">
        <v>432</v>
      </c>
      <c r="L1230">
        <v>0.78205909229363391</v>
      </c>
      <c r="M1230">
        <v>1</v>
      </c>
      <c r="N1230">
        <v>0.99882583170254402</v>
      </c>
      <c r="O1230" t="s">
        <v>433</v>
      </c>
      <c r="P1230">
        <v>0</v>
      </c>
      <c r="R1230">
        <v>0</v>
      </c>
      <c r="T1230">
        <v>0</v>
      </c>
      <c r="U1230" t="b">
        <v>0</v>
      </c>
      <c r="Y1230">
        <v>3.8074931465123E-3</v>
      </c>
      <c r="Z1230">
        <v>297</v>
      </c>
      <c r="AA1230">
        <v>0</v>
      </c>
      <c r="AB1230">
        <v>0</v>
      </c>
      <c r="AE1230">
        <v>0</v>
      </c>
      <c r="AF1230" t="b">
        <v>0</v>
      </c>
    </row>
    <row r="1231" spans="1:32" x14ac:dyDescent="0.3">
      <c r="A1231" t="s">
        <v>2603</v>
      </c>
      <c r="B1231" t="s">
        <v>2604</v>
      </c>
      <c r="C1231" t="s">
        <v>431</v>
      </c>
      <c r="D1231">
        <v>131</v>
      </c>
      <c r="E1231">
        <v>3747</v>
      </c>
      <c r="F1231">
        <v>4</v>
      </c>
      <c r="G1231">
        <v>60</v>
      </c>
      <c r="H1231">
        <v>60</v>
      </c>
      <c r="I1231">
        <v>1</v>
      </c>
      <c r="J1231">
        <v>1</v>
      </c>
      <c r="K1231" t="s">
        <v>86</v>
      </c>
      <c r="P1231">
        <v>0</v>
      </c>
      <c r="R1231">
        <v>0</v>
      </c>
      <c r="T1231">
        <v>0</v>
      </c>
      <c r="U1231" t="b">
        <v>0</v>
      </c>
      <c r="V1231">
        <v>0</v>
      </c>
      <c r="Y1231">
        <v>0</v>
      </c>
      <c r="Z1231">
        <v>191</v>
      </c>
      <c r="AA1231">
        <v>0</v>
      </c>
      <c r="AB1231">
        <v>0</v>
      </c>
      <c r="AC1231">
        <v>0</v>
      </c>
      <c r="AD1231">
        <v>0</v>
      </c>
      <c r="AE1231">
        <v>0</v>
      </c>
      <c r="AF1231" t="b">
        <v>0</v>
      </c>
    </row>
    <row r="1232" spans="1:32" x14ac:dyDescent="0.3">
      <c r="A1232" t="s">
        <v>2605</v>
      </c>
      <c r="B1232" t="s">
        <v>2606</v>
      </c>
      <c r="C1232" t="s">
        <v>431</v>
      </c>
      <c r="D1232">
        <v>232</v>
      </c>
      <c r="E1232">
        <v>392</v>
      </c>
      <c r="F1232">
        <v>11</v>
      </c>
      <c r="G1232">
        <v>300</v>
      </c>
      <c r="H1232">
        <v>60</v>
      </c>
      <c r="I1232">
        <v>1</v>
      </c>
      <c r="J1232">
        <v>1</v>
      </c>
      <c r="K1232" t="s">
        <v>432</v>
      </c>
      <c r="L1232">
        <v>0.21164510166358591</v>
      </c>
      <c r="M1232">
        <v>1</v>
      </c>
      <c r="O1232" t="s">
        <v>518</v>
      </c>
      <c r="P1232">
        <v>0</v>
      </c>
      <c r="R1232">
        <v>0</v>
      </c>
      <c r="T1232">
        <v>0</v>
      </c>
      <c r="U1232" t="b">
        <v>0</v>
      </c>
      <c r="V1232">
        <v>0</v>
      </c>
      <c r="Y1232">
        <v>0.21164510166358591</v>
      </c>
      <c r="Z1232">
        <v>31</v>
      </c>
      <c r="AA1232">
        <v>0</v>
      </c>
      <c r="AB1232">
        <v>0</v>
      </c>
      <c r="AC1232">
        <v>0</v>
      </c>
      <c r="AD1232">
        <v>0</v>
      </c>
      <c r="AE1232">
        <v>0</v>
      </c>
      <c r="AF1232" t="b">
        <v>0</v>
      </c>
    </row>
    <row r="1233" spans="1:32" x14ac:dyDescent="0.3">
      <c r="A1233" t="s">
        <v>2607</v>
      </c>
      <c r="B1233" t="s">
        <v>2608</v>
      </c>
      <c r="C1233" t="s">
        <v>431</v>
      </c>
      <c r="D1233">
        <v>355</v>
      </c>
      <c r="E1233">
        <v>6654</v>
      </c>
      <c r="F1233">
        <v>144</v>
      </c>
      <c r="G1233">
        <v>56</v>
      </c>
      <c r="H1233">
        <v>1</v>
      </c>
      <c r="I1233">
        <v>3.6819957920048003E-2</v>
      </c>
      <c r="J1233">
        <v>0.15151947496076471</v>
      </c>
      <c r="K1233" t="s">
        <v>432</v>
      </c>
      <c r="L1233">
        <v>0.84848052503923532</v>
      </c>
      <c r="M1233">
        <v>1</v>
      </c>
      <c r="N1233">
        <v>0</v>
      </c>
      <c r="O1233" t="s">
        <v>518</v>
      </c>
      <c r="P1233">
        <v>5947</v>
      </c>
      <c r="Q1233">
        <v>1.2611400706238399E-2</v>
      </c>
      <c r="R1233">
        <v>0</v>
      </c>
      <c r="T1233">
        <v>0</v>
      </c>
      <c r="U1233" t="b">
        <v>0</v>
      </c>
      <c r="V1233">
        <v>1.008771929824561</v>
      </c>
      <c r="Y1233">
        <v>0</v>
      </c>
      <c r="Z1233">
        <v>178</v>
      </c>
      <c r="AA1233">
        <v>3.9630721565032997E-3</v>
      </c>
      <c r="AB1233">
        <v>0.39215489566613138</v>
      </c>
      <c r="AC1233">
        <v>-3.5992360805052999E-3</v>
      </c>
      <c r="AD1233">
        <v>0</v>
      </c>
      <c r="AE1233">
        <v>0</v>
      </c>
      <c r="AF1233" t="b">
        <v>0</v>
      </c>
    </row>
    <row r="1234" spans="1:32" x14ac:dyDescent="0.3">
      <c r="A1234" t="s">
        <v>2609</v>
      </c>
      <c r="B1234" t="s">
        <v>2610</v>
      </c>
      <c r="C1234" t="s">
        <v>431</v>
      </c>
      <c r="D1234">
        <v>62</v>
      </c>
      <c r="E1234">
        <v>775</v>
      </c>
      <c r="F1234">
        <v>15</v>
      </c>
      <c r="G1234">
        <v>120</v>
      </c>
      <c r="H1234">
        <v>60</v>
      </c>
      <c r="I1234">
        <v>1</v>
      </c>
      <c r="J1234">
        <v>1</v>
      </c>
      <c r="K1234" t="s">
        <v>86</v>
      </c>
      <c r="P1234">
        <v>0</v>
      </c>
      <c r="R1234">
        <v>0</v>
      </c>
      <c r="T1234">
        <v>0</v>
      </c>
      <c r="U1234" t="b">
        <v>0</v>
      </c>
      <c r="Y1234">
        <v>0</v>
      </c>
      <c r="Z1234">
        <v>26</v>
      </c>
      <c r="AA1234">
        <v>0</v>
      </c>
      <c r="AB1234">
        <v>0</v>
      </c>
      <c r="AE1234">
        <v>0</v>
      </c>
      <c r="AF1234" t="b">
        <v>0</v>
      </c>
    </row>
    <row r="1235" spans="1:32" x14ac:dyDescent="0.3">
      <c r="A1235" t="s">
        <v>2611</v>
      </c>
      <c r="B1235" t="s">
        <v>2612</v>
      </c>
      <c r="C1235" t="s">
        <v>431</v>
      </c>
      <c r="D1235">
        <v>246</v>
      </c>
      <c r="E1235">
        <v>13721</v>
      </c>
      <c r="F1235">
        <v>43</v>
      </c>
      <c r="G1235">
        <v>20</v>
      </c>
      <c r="H1235">
        <v>10</v>
      </c>
      <c r="I1235">
        <v>0.15253990233947959</v>
      </c>
      <c r="J1235">
        <v>0.4216367151141977</v>
      </c>
      <c r="K1235" t="s">
        <v>86</v>
      </c>
      <c r="P1235">
        <v>0</v>
      </c>
      <c r="R1235">
        <v>0</v>
      </c>
      <c r="T1235">
        <v>0</v>
      </c>
      <c r="U1235" t="b">
        <v>0</v>
      </c>
      <c r="Y1235">
        <v>0</v>
      </c>
      <c r="Z1235">
        <v>479</v>
      </c>
      <c r="AA1235">
        <v>5.0352467270889996E-4</v>
      </c>
      <c r="AB1235">
        <v>2.60960334029227E-2</v>
      </c>
      <c r="AC1235">
        <v>1.3440860215052999E-3</v>
      </c>
      <c r="AD1235">
        <v>1.3170498084291E-3</v>
      </c>
      <c r="AE1235">
        <v>0</v>
      </c>
      <c r="AF1235" t="b">
        <v>0</v>
      </c>
    </row>
    <row r="1236" spans="1:32" x14ac:dyDescent="0.3">
      <c r="A1236" t="s">
        <v>2613</v>
      </c>
      <c r="B1236" t="s">
        <v>2614</v>
      </c>
      <c r="C1236" t="s">
        <v>431</v>
      </c>
      <c r="D1236">
        <v>91</v>
      </c>
      <c r="E1236">
        <v>1401</v>
      </c>
      <c r="F1236">
        <v>10</v>
      </c>
      <c r="G1236">
        <v>120</v>
      </c>
      <c r="H1236">
        <v>60</v>
      </c>
      <c r="I1236">
        <v>1</v>
      </c>
      <c r="J1236">
        <v>1</v>
      </c>
      <c r="K1236" t="s">
        <v>86</v>
      </c>
      <c r="P1236">
        <v>0</v>
      </c>
      <c r="R1236">
        <v>0</v>
      </c>
      <c r="T1236">
        <v>0</v>
      </c>
      <c r="U1236" t="b">
        <v>0</v>
      </c>
      <c r="V1236">
        <v>0</v>
      </c>
      <c r="Y1236">
        <v>0</v>
      </c>
      <c r="Z1236">
        <v>110</v>
      </c>
      <c r="AA1236">
        <v>0</v>
      </c>
      <c r="AB1236">
        <v>0</v>
      </c>
      <c r="AC1236">
        <v>0</v>
      </c>
      <c r="AD1236">
        <v>0</v>
      </c>
      <c r="AE1236">
        <v>0</v>
      </c>
      <c r="AF1236" t="b">
        <v>0</v>
      </c>
    </row>
    <row r="1237" spans="1:32" x14ac:dyDescent="0.3">
      <c r="A1237" t="s">
        <v>2615</v>
      </c>
      <c r="B1237" t="s">
        <v>2616</v>
      </c>
      <c r="C1237" t="s">
        <v>431</v>
      </c>
      <c r="D1237">
        <v>347</v>
      </c>
      <c r="E1237">
        <v>14070</v>
      </c>
      <c r="F1237">
        <v>174</v>
      </c>
      <c r="G1237">
        <v>38</v>
      </c>
      <c r="H1237">
        <v>1</v>
      </c>
      <c r="I1237">
        <v>1.6204690831556502E-2</v>
      </c>
      <c r="J1237">
        <v>0.20011098009294581</v>
      </c>
      <c r="K1237" t="s">
        <v>432</v>
      </c>
      <c r="L1237">
        <v>0.81313726850246237</v>
      </c>
      <c r="M1237">
        <v>1</v>
      </c>
      <c r="N1237">
        <v>1.6292757826494898E-2</v>
      </c>
      <c r="O1237" t="s">
        <v>433</v>
      </c>
      <c r="P1237">
        <v>11532</v>
      </c>
      <c r="Q1237">
        <v>0.9879465834200486</v>
      </c>
      <c r="R1237">
        <v>0</v>
      </c>
      <c r="T1237">
        <v>0</v>
      </c>
      <c r="U1237" t="b">
        <v>0</v>
      </c>
      <c r="V1237">
        <v>0.16111111111111109</v>
      </c>
      <c r="Y1237">
        <v>0</v>
      </c>
      <c r="Z1237">
        <v>827</v>
      </c>
      <c r="AA1237">
        <v>-2.0280055145190001E-4</v>
      </c>
      <c r="AB1237">
        <v>-1.0580411124546499E-2</v>
      </c>
      <c r="AC1237">
        <v>-1.421446588939E-3</v>
      </c>
      <c r="AD1237">
        <v>1.4273848213348999E-3</v>
      </c>
      <c r="AE1237">
        <v>0</v>
      </c>
      <c r="AF1237" t="b">
        <v>0</v>
      </c>
    </row>
    <row r="1238" spans="1:32" x14ac:dyDescent="0.3">
      <c r="A1238" t="s">
        <v>2617</v>
      </c>
      <c r="B1238" t="s">
        <v>2618</v>
      </c>
      <c r="C1238" t="s">
        <v>431</v>
      </c>
      <c r="D1238">
        <v>155</v>
      </c>
      <c r="E1238">
        <v>1263</v>
      </c>
      <c r="F1238">
        <v>15</v>
      </c>
      <c r="G1238">
        <v>300</v>
      </c>
      <c r="H1238">
        <v>60</v>
      </c>
      <c r="I1238">
        <v>1</v>
      </c>
      <c r="J1238">
        <v>1</v>
      </c>
      <c r="K1238" t="s">
        <v>432</v>
      </c>
      <c r="L1238">
        <v>9.0027700831024002E-3</v>
      </c>
      <c r="M1238">
        <v>1</v>
      </c>
      <c r="O1238" t="s">
        <v>518</v>
      </c>
      <c r="P1238">
        <v>0</v>
      </c>
      <c r="R1238">
        <v>0</v>
      </c>
      <c r="T1238">
        <v>0</v>
      </c>
      <c r="U1238" t="b">
        <v>0</v>
      </c>
      <c r="Y1238">
        <v>9.0027700831024002E-3</v>
      </c>
      <c r="Z1238">
        <v>106</v>
      </c>
      <c r="AA1238">
        <v>0</v>
      </c>
      <c r="AB1238">
        <v>0</v>
      </c>
      <c r="AE1238">
        <v>0</v>
      </c>
      <c r="AF1238" t="b">
        <v>0</v>
      </c>
    </row>
    <row r="1239" spans="1:32" x14ac:dyDescent="0.3">
      <c r="A1239" t="s">
        <v>2619</v>
      </c>
      <c r="B1239" t="s">
        <v>2620</v>
      </c>
      <c r="C1239" t="s">
        <v>431</v>
      </c>
      <c r="D1239">
        <v>502</v>
      </c>
      <c r="E1239">
        <v>9205</v>
      </c>
      <c r="F1239">
        <v>12</v>
      </c>
      <c r="G1239">
        <v>60</v>
      </c>
      <c r="H1239">
        <v>30</v>
      </c>
      <c r="I1239">
        <v>0.99869636067354695</v>
      </c>
      <c r="J1239">
        <v>0.99927402323125658</v>
      </c>
      <c r="K1239" t="s">
        <v>432</v>
      </c>
      <c r="L1239">
        <v>0.92991024287222801</v>
      </c>
      <c r="M1239">
        <v>1</v>
      </c>
      <c r="N1239">
        <v>0.99921930447125618</v>
      </c>
      <c r="O1239" t="s">
        <v>518</v>
      </c>
      <c r="P1239">
        <v>11</v>
      </c>
      <c r="Q1239">
        <v>0</v>
      </c>
      <c r="R1239">
        <v>0</v>
      </c>
      <c r="T1239">
        <v>0</v>
      </c>
      <c r="U1239" t="b">
        <v>0</v>
      </c>
      <c r="V1239">
        <v>0</v>
      </c>
      <c r="Y1239">
        <v>0</v>
      </c>
      <c r="Z1239">
        <v>524</v>
      </c>
      <c r="AA1239">
        <v>0</v>
      </c>
      <c r="AB1239">
        <v>0</v>
      </c>
      <c r="AC1239">
        <v>0</v>
      </c>
      <c r="AD1239">
        <v>0</v>
      </c>
      <c r="AE1239">
        <v>0</v>
      </c>
      <c r="AF1239" t="b">
        <v>0</v>
      </c>
    </row>
    <row r="1240" spans="1:32" x14ac:dyDescent="0.3">
      <c r="A1240" t="s">
        <v>2621</v>
      </c>
      <c r="B1240" t="s">
        <v>2622</v>
      </c>
      <c r="C1240" t="s">
        <v>431</v>
      </c>
      <c r="D1240">
        <v>1937</v>
      </c>
      <c r="E1240">
        <v>73617</v>
      </c>
      <c r="F1240">
        <v>193</v>
      </c>
      <c r="G1240">
        <v>39</v>
      </c>
      <c r="H1240">
        <v>1</v>
      </c>
      <c r="I1240">
        <v>0.1169702650203078</v>
      </c>
      <c r="J1240">
        <v>0.25238328198754478</v>
      </c>
      <c r="K1240" t="s">
        <v>86</v>
      </c>
      <c r="P1240">
        <v>0</v>
      </c>
      <c r="R1240">
        <v>0</v>
      </c>
      <c r="T1240">
        <v>0</v>
      </c>
      <c r="U1240" t="b">
        <v>0</v>
      </c>
      <c r="V1240">
        <v>3.1969933380740301</v>
      </c>
      <c r="Y1240">
        <v>0</v>
      </c>
      <c r="Z1240">
        <v>2178</v>
      </c>
      <c r="AA1240">
        <v>3.8092456641807002E-3</v>
      </c>
      <c r="AB1240">
        <v>0.16428103785327461</v>
      </c>
      <c r="AC1240">
        <v>-1.33065742578794E-2</v>
      </c>
      <c r="AD1240">
        <v>1.42126605907987E-2</v>
      </c>
      <c r="AE1240">
        <v>0</v>
      </c>
      <c r="AF1240" t="b">
        <v>0</v>
      </c>
    </row>
    <row r="1241" spans="1:32" x14ac:dyDescent="0.3">
      <c r="A1241" t="s">
        <v>2623</v>
      </c>
      <c r="B1241" t="s">
        <v>2624</v>
      </c>
      <c r="C1241" t="s">
        <v>431</v>
      </c>
      <c r="D1241">
        <v>93</v>
      </c>
      <c r="E1241">
        <v>1375</v>
      </c>
      <c r="F1241">
        <v>10</v>
      </c>
      <c r="G1241">
        <v>120</v>
      </c>
      <c r="H1241">
        <v>60</v>
      </c>
      <c r="I1241">
        <v>0.98399999999999999</v>
      </c>
      <c r="J1241">
        <v>0.99251700680272104</v>
      </c>
      <c r="K1241" t="s">
        <v>432</v>
      </c>
      <c r="L1241">
        <v>0.41632653061224489</v>
      </c>
      <c r="M1241">
        <v>1</v>
      </c>
      <c r="N1241">
        <v>0.98202614379084963</v>
      </c>
      <c r="O1241" t="s">
        <v>433</v>
      </c>
      <c r="P1241">
        <v>11</v>
      </c>
      <c r="Q1241">
        <v>0</v>
      </c>
      <c r="R1241">
        <v>0</v>
      </c>
      <c r="T1241">
        <v>0</v>
      </c>
      <c r="U1241" t="b">
        <v>0</v>
      </c>
      <c r="Y1241">
        <v>0</v>
      </c>
      <c r="Z1241">
        <v>120</v>
      </c>
      <c r="AA1241">
        <v>0</v>
      </c>
      <c r="AB1241">
        <v>0</v>
      </c>
      <c r="AC1241">
        <v>0</v>
      </c>
      <c r="AE1241">
        <v>0</v>
      </c>
      <c r="AF1241" t="b">
        <v>0</v>
      </c>
    </row>
    <row r="1242" spans="1:32" x14ac:dyDescent="0.3">
      <c r="A1242" t="s">
        <v>2625</v>
      </c>
      <c r="B1242" t="s">
        <v>2626</v>
      </c>
      <c r="C1242" t="s">
        <v>431</v>
      </c>
      <c r="D1242">
        <v>126</v>
      </c>
      <c r="E1242">
        <v>2010</v>
      </c>
      <c r="F1242">
        <v>17</v>
      </c>
      <c r="G1242">
        <v>120</v>
      </c>
      <c r="H1242">
        <v>60</v>
      </c>
      <c r="I1242">
        <v>1</v>
      </c>
      <c r="J1242">
        <v>1</v>
      </c>
      <c r="K1242" t="s">
        <v>432</v>
      </c>
      <c r="L1242">
        <v>3.6774479397430199E-2</v>
      </c>
      <c r="M1242">
        <v>1</v>
      </c>
      <c r="O1242" t="s">
        <v>518</v>
      </c>
      <c r="P1242">
        <v>0</v>
      </c>
      <c r="R1242">
        <v>0</v>
      </c>
      <c r="T1242">
        <v>0</v>
      </c>
      <c r="U1242" t="b">
        <v>0</v>
      </c>
      <c r="Y1242">
        <v>3.6774479397430199E-2</v>
      </c>
      <c r="Z1242">
        <v>21</v>
      </c>
      <c r="AA1242">
        <v>0</v>
      </c>
      <c r="AB1242">
        <v>0</v>
      </c>
      <c r="AE1242">
        <v>0</v>
      </c>
      <c r="AF1242" t="b">
        <v>0</v>
      </c>
    </row>
    <row r="1243" spans="1:32" x14ac:dyDescent="0.3">
      <c r="A1243" t="s">
        <v>2627</v>
      </c>
      <c r="B1243" t="s">
        <v>2628</v>
      </c>
      <c r="C1243" t="s">
        <v>431</v>
      </c>
      <c r="D1243">
        <v>70</v>
      </c>
      <c r="E1243">
        <v>3003</v>
      </c>
      <c r="F1243">
        <v>87</v>
      </c>
      <c r="G1243">
        <v>44</v>
      </c>
      <c r="H1243">
        <v>1</v>
      </c>
      <c r="I1243">
        <v>1.9314019314019298E-2</v>
      </c>
      <c r="J1243">
        <v>0.10315652456882519</v>
      </c>
      <c r="K1243" t="s">
        <v>432</v>
      </c>
      <c r="L1243">
        <v>0.9118125610152944</v>
      </c>
      <c r="M1243">
        <v>1</v>
      </c>
      <c r="N1243">
        <v>1.6416845110635198E-2</v>
      </c>
      <c r="O1243" t="s">
        <v>433</v>
      </c>
      <c r="P1243">
        <v>2756</v>
      </c>
      <c r="Q1243">
        <v>0.59143686502177073</v>
      </c>
      <c r="R1243">
        <v>0</v>
      </c>
      <c r="T1243">
        <v>0</v>
      </c>
      <c r="U1243" t="b">
        <v>0</v>
      </c>
      <c r="Y1243">
        <v>0</v>
      </c>
      <c r="Z1243">
        <v>255</v>
      </c>
      <c r="AA1243">
        <v>0</v>
      </c>
      <c r="AB1243">
        <v>0</v>
      </c>
      <c r="AE1243">
        <v>0</v>
      </c>
      <c r="AF1243" t="b">
        <v>0</v>
      </c>
    </row>
    <row r="1244" spans="1:32" x14ac:dyDescent="0.3">
      <c r="A1244" t="s">
        <v>2629</v>
      </c>
      <c r="B1244" t="s">
        <v>2630</v>
      </c>
      <c r="C1244" t="s">
        <v>431</v>
      </c>
      <c r="D1244">
        <v>55</v>
      </c>
      <c r="E1244">
        <v>1292</v>
      </c>
      <c r="F1244">
        <v>4</v>
      </c>
      <c r="G1244">
        <v>120</v>
      </c>
      <c r="H1244">
        <v>60</v>
      </c>
      <c r="I1244">
        <v>1</v>
      </c>
      <c r="J1244">
        <v>1</v>
      </c>
      <c r="K1244" t="s">
        <v>432</v>
      </c>
      <c r="L1244">
        <v>0.86763636363636365</v>
      </c>
      <c r="M1244">
        <v>1</v>
      </c>
      <c r="N1244">
        <v>1</v>
      </c>
      <c r="O1244" t="s">
        <v>433</v>
      </c>
      <c r="P1244">
        <v>0</v>
      </c>
      <c r="R1244">
        <v>0</v>
      </c>
      <c r="T1244">
        <v>0</v>
      </c>
      <c r="U1244" t="b">
        <v>0</v>
      </c>
      <c r="Y1244">
        <v>0</v>
      </c>
      <c r="Z1244">
        <v>94</v>
      </c>
      <c r="AA1244">
        <v>0</v>
      </c>
      <c r="AB1244">
        <v>0</v>
      </c>
      <c r="AE1244">
        <v>0</v>
      </c>
      <c r="AF1244" t="b">
        <v>0</v>
      </c>
    </row>
    <row r="1245" spans="1:32" x14ac:dyDescent="0.3">
      <c r="A1245" t="s">
        <v>2631</v>
      </c>
      <c r="B1245" t="s">
        <v>2632</v>
      </c>
      <c r="C1245" t="s">
        <v>431</v>
      </c>
      <c r="D1245">
        <v>77</v>
      </c>
      <c r="E1245">
        <v>820</v>
      </c>
      <c r="F1245">
        <v>17</v>
      </c>
      <c r="G1245">
        <v>240</v>
      </c>
      <c r="H1245">
        <v>60</v>
      </c>
      <c r="I1245">
        <v>1</v>
      </c>
      <c r="J1245">
        <v>1</v>
      </c>
      <c r="K1245" t="s">
        <v>86</v>
      </c>
      <c r="P1245">
        <v>0</v>
      </c>
      <c r="R1245">
        <v>0</v>
      </c>
      <c r="T1245">
        <v>0</v>
      </c>
      <c r="U1245" t="b">
        <v>0</v>
      </c>
      <c r="Y1245">
        <v>0</v>
      </c>
      <c r="Z1245">
        <v>11</v>
      </c>
      <c r="AA1245">
        <v>0</v>
      </c>
      <c r="AB1245">
        <v>0</v>
      </c>
      <c r="AC1245">
        <v>0</v>
      </c>
      <c r="AE1245">
        <v>0</v>
      </c>
      <c r="AF1245" t="b">
        <v>0</v>
      </c>
    </row>
    <row r="1246" spans="1:32" x14ac:dyDescent="0.3">
      <c r="A1246" t="s">
        <v>2633</v>
      </c>
      <c r="B1246" t="s">
        <v>2634</v>
      </c>
      <c r="C1246" t="s">
        <v>431</v>
      </c>
      <c r="D1246">
        <v>210</v>
      </c>
      <c r="E1246">
        <v>128</v>
      </c>
      <c r="F1246">
        <v>4</v>
      </c>
      <c r="G1246">
        <v>120</v>
      </c>
      <c r="H1246">
        <v>60</v>
      </c>
      <c r="I1246">
        <v>1</v>
      </c>
      <c r="J1246">
        <v>1</v>
      </c>
      <c r="K1246" t="s">
        <v>432</v>
      </c>
      <c r="L1246">
        <v>0.71656976744186052</v>
      </c>
      <c r="M1246">
        <v>1</v>
      </c>
      <c r="N1246">
        <v>1</v>
      </c>
      <c r="O1246" t="s">
        <v>518</v>
      </c>
      <c r="P1246">
        <v>0</v>
      </c>
      <c r="R1246">
        <v>0</v>
      </c>
      <c r="T1246">
        <v>0</v>
      </c>
      <c r="U1246" t="b">
        <v>0</v>
      </c>
      <c r="V1246">
        <v>0</v>
      </c>
      <c r="Y1246">
        <v>0.71283222591362128</v>
      </c>
      <c r="Z1246">
        <v>6</v>
      </c>
      <c r="AA1246">
        <v>0</v>
      </c>
      <c r="AB1246">
        <v>0</v>
      </c>
      <c r="AC1246">
        <v>4.7619047619047603E-2</v>
      </c>
      <c r="AD1246">
        <v>0</v>
      </c>
      <c r="AE1246">
        <v>0</v>
      </c>
      <c r="AF1246" t="b">
        <v>0</v>
      </c>
    </row>
    <row r="1247" spans="1:32" x14ac:dyDescent="0.3">
      <c r="A1247" t="s">
        <v>2635</v>
      </c>
      <c r="B1247" t="s">
        <v>2636</v>
      </c>
      <c r="C1247" t="s">
        <v>431</v>
      </c>
      <c r="D1247">
        <v>96</v>
      </c>
      <c r="E1247">
        <v>624</v>
      </c>
      <c r="F1247">
        <v>8</v>
      </c>
      <c r="G1247">
        <v>120</v>
      </c>
      <c r="H1247">
        <v>60</v>
      </c>
      <c r="I1247">
        <v>0.88782051282051277</v>
      </c>
      <c r="J1247">
        <v>0.9211711711711712</v>
      </c>
      <c r="K1247" t="s">
        <v>432</v>
      </c>
      <c r="L1247">
        <v>0.26</v>
      </c>
      <c r="M1247">
        <v>0.9211711711711712</v>
      </c>
      <c r="O1247" t="s">
        <v>518</v>
      </c>
      <c r="P1247">
        <v>0</v>
      </c>
      <c r="R1247">
        <v>0</v>
      </c>
      <c r="T1247">
        <v>0</v>
      </c>
      <c r="U1247" t="b">
        <v>0</v>
      </c>
      <c r="V1247">
        <v>0.22727272727272721</v>
      </c>
      <c r="Y1247">
        <v>0.26</v>
      </c>
      <c r="Z1247">
        <v>26</v>
      </c>
      <c r="AA1247">
        <v>7.0126227208969997E-4</v>
      </c>
      <c r="AB1247">
        <v>9.6153846153846104E-2</v>
      </c>
      <c r="AC1247">
        <v>1.531393568147E-3</v>
      </c>
      <c r="AD1247">
        <v>0</v>
      </c>
      <c r="AE1247">
        <v>0</v>
      </c>
      <c r="AF1247" t="b">
        <v>0</v>
      </c>
    </row>
    <row r="1248" spans="1:32" x14ac:dyDescent="0.3">
      <c r="A1248" t="s">
        <v>2637</v>
      </c>
      <c r="B1248" t="s">
        <v>2638</v>
      </c>
      <c r="C1248" t="s">
        <v>431</v>
      </c>
      <c r="D1248">
        <v>291</v>
      </c>
      <c r="E1248">
        <v>2161</v>
      </c>
      <c r="F1248">
        <v>27</v>
      </c>
      <c r="G1248">
        <v>240</v>
      </c>
      <c r="H1248">
        <v>60</v>
      </c>
      <c r="I1248">
        <v>1</v>
      </c>
      <c r="J1248">
        <v>1</v>
      </c>
      <c r="K1248" t="s">
        <v>86</v>
      </c>
      <c r="P1248">
        <v>0</v>
      </c>
      <c r="R1248">
        <v>0</v>
      </c>
      <c r="T1248">
        <v>0</v>
      </c>
      <c r="U1248" t="b">
        <v>0</v>
      </c>
      <c r="Y1248">
        <v>0</v>
      </c>
      <c r="Z1248">
        <v>74</v>
      </c>
      <c r="AA1248">
        <v>0</v>
      </c>
      <c r="AB1248">
        <v>0</v>
      </c>
      <c r="AE1248">
        <v>0</v>
      </c>
      <c r="AF1248" t="b">
        <v>0</v>
      </c>
    </row>
    <row r="1249" spans="1:35" x14ac:dyDescent="0.3">
      <c r="A1249" t="s">
        <v>2639</v>
      </c>
      <c r="B1249" t="s">
        <v>2640</v>
      </c>
      <c r="C1249" t="s">
        <v>431</v>
      </c>
      <c r="D1249">
        <v>100</v>
      </c>
      <c r="E1249">
        <v>410</v>
      </c>
      <c r="F1249">
        <v>33</v>
      </c>
      <c r="G1249">
        <v>420</v>
      </c>
      <c r="H1249">
        <v>5</v>
      </c>
      <c r="I1249">
        <v>0.43902439024390238</v>
      </c>
      <c r="J1249">
        <v>0.74509803921568629</v>
      </c>
      <c r="K1249" t="s">
        <v>432</v>
      </c>
      <c r="L1249">
        <v>0.2745098039215686</v>
      </c>
      <c r="M1249">
        <v>1</v>
      </c>
      <c r="N1249">
        <v>7.1428571428571397E-2</v>
      </c>
      <c r="O1249" t="s">
        <v>433</v>
      </c>
      <c r="P1249">
        <v>130</v>
      </c>
      <c r="Q1249">
        <v>1</v>
      </c>
      <c r="R1249">
        <v>0</v>
      </c>
      <c r="T1249">
        <v>0</v>
      </c>
      <c r="U1249" t="b">
        <v>0</v>
      </c>
      <c r="Y1249">
        <v>0</v>
      </c>
      <c r="Z1249">
        <v>41</v>
      </c>
      <c r="AA1249">
        <v>0</v>
      </c>
      <c r="AB1249">
        <v>0</v>
      </c>
      <c r="AE1249">
        <v>0</v>
      </c>
      <c r="AF1249" t="b">
        <v>0</v>
      </c>
    </row>
    <row r="1250" spans="1:35" x14ac:dyDescent="0.3">
      <c r="A1250" t="s">
        <v>2641</v>
      </c>
      <c r="B1250" t="s">
        <v>2642</v>
      </c>
      <c r="C1250" t="s">
        <v>431</v>
      </c>
      <c r="D1250">
        <v>55</v>
      </c>
      <c r="E1250">
        <v>1452</v>
      </c>
      <c r="F1250">
        <v>11</v>
      </c>
      <c r="G1250">
        <v>60</v>
      </c>
      <c r="H1250">
        <v>30</v>
      </c>
      <c r="I1250">
        <v>0.74242424242424243</v>
      </c>
      <c r="J1250">
        <v>0.82876712328767121</v>
      </c>
      <c r="K1250" t="s">
        <v>432</v>
      </c>
      <c r="L1250">
        <v>8.1761006289308102E-2</v>
      </c>
      <c r="M1250">
        <v>0.82876712328767121</v>
      </c>
      <c r="O1250" t="s">
        <v>518</v>
      </c>
      <c r="P1250">
        <v>0</v>
      </c>
      <c r="R1250">
        <v>220</v>
      </c>
      <c r="S1250">
        <v>0.6</v>
      </c>
      <c r="T1250">
        <v>0</v>
      </c>
      <c r="U1250" t="b">
        <v>0</v>
      </c>
      <c r="V1250">
        <v>0</v>
      </c>
      <c r="Y1250">
        <v>8.1761006289308102E-2</v>
      </c>
      <c r="Z1250">
        <v>110</v>
      </c>
      <c r="AA1250">
        <v>0</v>
      </c>
      <c r="AB1250">
        <v>0</v>
      </c>
      <c r="AC1250">
        <v>0</v>
      </c>
      <c r="AD1250">
        <v>0</v>
      </c>
      <c r="AE1250">
        <v>0</v>
      </c>
      <c r="AF1250" t="b">
        <v>0</v>
      </c>
    </row>
    <row r="1251" spans="1:35" x14ac:dyDescent="0.3">
      <c r="A1251" t="s">
        <v>2643</v>
      </c>
      <c r="B1251" t="s">
        <v>2644</v>
      </c>
      <c r="C1251" t="s">
        <v>431</v>
      </c>
      <c r="D1251">
        <v>60</v>
      </c>
      <c r="E1251">
        <v>2160</v>
      </c>
      <c r="F1251">
        <v>96</v>
      </c>
      <c r="G1251">
        <v>64.5</v>
      </c>
      <c r="H1251">
        <v>1</v>
      </c>
      <c r="I1251">
        <v>0.05</v>
      </c>
      <c r="J1251">
        <v>0.10215053763440859</v>
      </c>
      <c r="K1251" t="s">
        <v>86</v>
      </c>
      <c r="P1251">
        <v>0</v>
      </c>
      <c r="R1251">
        <v>0</v>
      </c>
      <c r="T1251">
        <v>0</v>
      </c>
      <c r="U1251" t="b">
        <v>0</v>
      </c>
      <c r="Y1251">
        <v>0</v>
      </c>
      <c r="Z1251">
        <v>180</v>
      </c>
      <c r="AA1251">
        <v>0</v>
      </c>
      <c r="AB1251">
        <v>0</v>
      </c>
      <c r="AE1251">
        <v>0</v>
      </c>
      <c r="AF1251" t="b">
        <v>0</v>
      </c>
    </row>
    <row r="1252" spans="1:35" x14ac:dyDescent="0.3">
      <c r="A1252" t="s">
        <v>2645</v>
      </c>
      <c r="B1252" t="s">
        <v>2646</v>
      </c>
      <c r="C1252" t="s">
        <v>431</v>
      </c>
      <c r="D1252">
        <v>1636</v>
      </c>
      <c r="E1252">
        <v>80956</v>
      </c>
      <c r="F1252">
        <v>290</v>
      </c>
      <c r="G1252">
        <v>41</v>
      </c>
      <c r="H1252">
        <v>1</v>
      </c>
      <c r="I1252">
        <v>1.2970008399624399E-2</v>
      </c>
      <c r="J1252">
        <v>0.11683940333204181</v>
      </c>
      <c r="K1252" t="s">
        <v>432</v>
      </c>
      <c r="L1252">
        <v>0.89938492832235573</v>
      </c>
      <c r="M1252">
        <v>0.98640192539109517</v>
      </c>
      <c r="N1252">
        <v>1.95605934142861E-2</v>
      </c>
      <c r="O1252" t="s">
        <v>433</v>
      </c>
      <c r="P1252">
        <v>72829</v>
      </c>
      <c r="Q1252">
        <v>0.1464663801507641</v>
      </c>
      <c r="R1252">
        <v>74</v>
      </c>
      <c r="S1252">
        <v>0.28378378378378372</v>
      </c>
      <c r="T1252">
        <v>1</v>
      </c>
      <c r="U1252" t="b">
        <v>1</v>
      </c>
      <c r="V1252">
        <v>5.5711135816194188</v>
      </c>
      <c r="W1252">
        <v>2.25</v>
      </c>
      <c r="X1252" t="b">
        <v>1</v>
      </c>
      <c r="Y1252">
        <v>0</v>
      </c>
      <c r="Z1252">
        <v>2384</v>
      </c>
      <c r="AA1252">
        <v>2.10841769610659E-2</v>
      </c>
      <c r="AB1252">
        <v>1.1665997581370899</v>
      </c>
      <c r="AC1252">
        <v>-1.2502188965062101E-2</v>
      </c>
      <c r="AD1252">
        <v>6.5643227654914593E-2</v>
      </c>
      <c r="AE1252">
        <v>1</v>
      </c>
      <c r="AF1252" t="b">
        <v>1</v>
      </c>
      <c r="AG1252">
        <v>-5.8293612646532003E-3</v>
      </c>
      <c r="AH1252">
        <v>-0.43092999728575992</v>
      </c>
      <c r="AI1252" t="b">
        <v>1</v>
      </c>
    </row>
    <row r="1253" spans="1:35" x14ac:dyDescent="0.3">
      <c r="A1253" t="s">
        <v>2647</v>
      </c>
      <c r="B1253" t="s">
        <v>2648</v>
      </c>
      <c r="C1253" t="s">
        <v>431</v>
      </c>
      <c r="D1253">
        <v>84</v>
      </c>
      <c r="E1253">
        <v>2237</v>
      </c>
      <c r="F1253">
        <v>8</v>
      </c>
      <c r="G1253">
        <v>60</v>
      </c>
      <c r="H1253">
        <v>60</v>
      </c>
      <c r="I1253">
        <v>1</v>
      </c>
      <c r="J1253">
        <v>1</v>
      </c>
      <c r="K1253" t="s">
        <v>432</v>
      </c>
      <c r="L1253">
        <v>0.80722891566265065</v>
      </c>
      <c r="M1253">
        <v>1</v>
      </c>
      <c r="N1253">
        <v>1</v>
      </c>
      <c r="O1253" t="s">
        <v>518</v>
      </c>
      <c r="P1253">
        <v>0</v>
      </c>
      <c r="R1253">
        <v>0</v>
      </c>
      <c r="T1253">
        <v>0</v>
      </c>
      <c r="U1253" t="b">
        <v>0</v>
      </c>
      <c r="Y1253">
        <v>0</v>
      </c>
      <c r="Z1253">
        <v>186</v>
      </c>
      <c r="AA1253">
        <v>-1.6528925619833999E-3</v>
      </c>
      <c r="AB1253">
        <v>-0.1612903225806451</v>
      </c>
      <c r="AE1253">
        <v>0</v>
      </c>
      <c r="AF1253" t="b">
        <v>0</v>
      </c>
    </row>
    <row r="1254" spans="1:35" x14ac:dyDescent="0.3">
      <c r="A1254" t="s">
        <v>2649</v>
      </c>
      <c r="B1254" t="s">
        <v>2650</v>
      </c>
      <c r="C1254" t="s">
        <v>431</v>
      </c>
      <c r="D1254">
        <v>78</v>
      </c>
      <c r="E1254">
        <v>3859</v>
      </c>
      <c r="F1254">
        <v>110</v>
      </c>
      <c r="G1254">
        <v>32</v>
      </c>
      <c r="H1254">
        <v>1</v>
      </c>
      <c r="I1254">
        <v>2.2544700699663099E-2</v>
      </c>
      <c r="J1254">
        <v>9.1694183388366698E-2</v>
      </c>
      <c r="K1254" t="s">
        <v>86</v>
      </c>
      <c r="P1254">
        <v>0</v>
      </c>
      <c r="R1254">
        <v>0</v>
      </c>
      <c r="T1254">
        <v>0</v>
      </c>
      <c r="U1254" t="b">
        <v>0</v>
      </c>
      <c r="Y1254">
        <v>0</v>
      </c>
      <c r="Z1254">
        <v>233</v>
      </c>
      <c r="AA1254">
        <v>-1.0162601626016199E-2</v>
      </c>
      <c r="AB1254">
        <v>-0.42739628040057231</v>
      </c>
      <c r="AD1254">
        <v>-1.3954963526799801E-2</v>
      </c>
      <c r="AE1254">
        <v>0</v>
      </c>
      <c r="AF1254" t="b">
        <v>0</v>
      </c>
    </row>
    <row r="1255" spans="1:35" x14ac:dyDescent="0.3">
      <c r="A1255" t="s">
        <v>2651</v>
      </c>
      <c r="B1255" t="s">
        <v>2652</v>
      </c>
      <c r="C1255" t="s">
        <v>431</v>
      </c>
      <c r="D1255">
        <v>84</v>
      </c>
      <c r="E1255">
        <v>1764</v>
      </c>
      <c r="F1255">
        <v>9</v>
      </c>
      <c r="G1255">
        <v>60</v>
      </c>
      <c r="H1255">
        <v>60</v>
      </c>
      <c r="I1255">
        <v>1</v>
      </c>
      <c r="J1255">
        <v>1</v>
      </c>
      <c r="K1255" t="s">
        <v>86</v>
      </c>
      <c r="P1255">
        <v>0</v>
      </c>
      <c r="R1255">
        <v>0</v>
      </c>
      <c r="T1255">
        <v>0</v>
      </c>
      <c r="U1255" t="b">
        <v>0</v>
      </c>
      <c r="Y1255">
        <v>0</v>
      </c>
      <c r="Z1255">
        <v>126</v>
      </c>
      <c r="AA1255">
        <v>0</v>
      </c>
      <c r="AB1255">
        <v>0</v>
      </c>
      <c r="AE1255">
        <v>0</v>
      </c>
      <c r="AF1255" t="b">
        <v>0</v>
      </c>
    </row>
    <row r="1256" spans="1:35" x14ac:dyDescent="0.3">
      <c r="A1256" t="s">
        <v>2653</v>
      </c>
      <c r="B1256" t="s">
        <v>2654</v>
      </c>
      <c r="C1256" t="s">
        <v>431</v>
      </c>
      <c r="D1256">
        <v>147</v>
      </c>
      <c r="E1256">
        <v>4948</v>
      </c>
      <c r="F1256">
        <v>111</v>
      </c>
      <c r="G1256">
        <v>21</v>
      </c>
      <c r="H1256">
        <v>1</v>
      </c>
      <c r="I1256">
        <v>2.66774454324979E-2</v>
      </c>
      <c r="J1256">
        <v>0.1341678075493839</v>
      </c>
      <c r="K1256" t="s">
        <v>432</v>
      </c>
      <c r="L1256">
        <v>0.94106280193236724</v>
      </c>
      <c r="M1256">
        <v>0.52786885245901638</v>
      </c>
      <c r="N1256">
        <v>0.10919301164725451</v>
      </c>
      <c r="O1256" t="s">
        <v>433</v>
      </c>
      <c r="P1256">
        <v>4283</v>
      </c>
      <c r="Q1256">
        <v>7.9383609619424998E-3</v>
      </c>
      <c r="R1256">
        <v>0</v>
      </c>
      <c r="T1256">
        <v>0</v>
      </c>
      <c r="U1256" t="b">
        <v>0</v>
      </c>
      <c r="V1256">
        <v>0</v>
      </c>
      <c r="Y1256">
        <v>1.19806763285024E-2</v>
      </c>
      <c r="Z1256">
        <v>423</v>
      </c>
      <c r="AA1256">
        <v>0</v>
      </c>
      <c r="AB1256">
        <v>0</v>
      </c>
      <c r="AC1256">
        <v>0</v>
      </c>
      <c r="AD1256">
        <v>0</v>
      </c>
      <c r="AE1256">
        <v>0</v>
      </c>
      <c r="AF1256" t="b">
        <v>0</v>
      </c>
    </row>
    <row r="1257" spans="1:35" x14ac:dyDescent="0.3">
      <c r="A1257" t="s">
        <v>2655</v>
      </c>
      <c r="B1257" t="s">
        <v>2656</v>
      </c>
      <c r="C1257" t="s">
        <v>431</v>
      </c>
      <c r="D1257">
        <v>55</v>
      </c>
      <c r="E1257">
        <v>405</v>
      </c>
      <c r="F1257">
        <v>12</v>
      </c>
      <c r="G1257">
        <v>600</v>
      </c>
      <c r="H1257">
        <v>60</v>
      </c>
      <c r="I1257">
        <v>1</v>
      </c>
      <c r="J1257">
        <v>1</v>
      </c>
      <c r="K1257" t="s">
        <v>86</v>
      </c>
      <c r="P1257">
        <v>0</v>
      </c>
      <c r="R1257">
        <v>0</v>
      </c>
      <c r="T1257">
        <v>0</v>
      </c>
      <c r="U1257" t="b">
        <v>0</v>
      </c>
      <c r="V1257">
        <v>12</v>
      </c>
      <c r="Y1257">
        <v>0</v>
      </c>
      <c r="Z1257">
        <v>18</v>
      </c>
      <c r="AA1257">
        <v>-2.27272727272727E-2</v>
      </c>
      <c r="AB1257">
        <v>-13.630952380952371</v>
      </c>
      <c r="AC1257">
        <v>-2.4057165541881601E-2</v>
      </c>
      <c r="AD1257">
        <v>-6.9901315789472999E-3</v>
      </c>
      <c r="AE1257">
        <v>0</v>
      </c>
      <c r="AF1257" t="b">
        <v>0</v>
      </c>
    </row>
    <row r="1258" spans="1:35" x14ac:dyDescent="0.3">
      <c r="A1258" t="s">
        <v>2657</v>
      </c>
      <c r="B1258" t="s">
        <v>2658</v>
      </c>
      <c r="C1258" t="s">
        <v>431</v>
      </c>
      <c r="D1258">
        <v>152</v>
      </c>
      <c r="E1258">
        <v>449</v>
      </c>
      <c r="F1258">
        <v>10</v>
      </c>
      <c r="G1258">
        <v>360</v>
      </c>
      <c r="H1258">
        <v>60</v>
      </c>
      <c r="I1258">
        <v>1</v>
      </c>
      <c r="J1258">
        <v>1</v>
      </c>
      <c r="K1258" t="s">
        <v>86</v>
      </c>
      <c r="P1258">
        <v>0</v>
      </c>
      <c r="R1258">
        <v>0</v>
      </c>
      <c r="T1258">
        <v>0</v>
      </c>
      <c r="U1258" t="b">
        <v>0</v>
      </c>
      <c r="Y1258">
        <v>0</v>
      </c>
      <c r="Z1258">
        <v>10</v>
      </c>
      <c r="AA1258">
        <v>-6.0109289617486301E-2</v>
      </c>
      <c r="AB1258">
        <v>-22</v>
      </c>
      <c r="AE1258">
        <v>0</v>
      </c>
      <c r="AF1258" t="b">
        <v>0</v>
      </c>
    </row>
    <row r="1259" spans="1:35" x14ac:dyDescent="0.3">
      <c r="A1259" t="s">
        <v>2659</v>
      </c>
      <c r="B1259" t="s">
        <v>2660</v>
      </c>
      <c r="C1259" t="s">
        <v>431</v>
      </c>
      <c r="D1259">
        <v>270</v>
      </c>
      <c r="E1259">
        <v>8353</v>
      </c>
      <c r="F1259">
        <v>10</v>
      </c>
      <c r="G1259">
        <v>60</v>
      </c>
      <c r="H1259">
        <v>60</v>
      </c>
      <c r="I1259">
        <v>0.99904226026577281</v>
      </c>
      <c r="J1259">
        <v>0.99953714417958806</v>
      </c>
      <c r="K1259" t="s">
        <v>432</v>
      </c>
      <c r="L1259">
        <v>0.93376789663601445</v>
      </c>
      <c r="M1259">
        <v>1</v>
      </c>
      <c r="N1259">
        <v>0.9995001874297138</v>
      </c>
      <c r="O1259" t="s">
        <v>433</v>
      </c>
      <c r="P1259">
        <v>3</v>
      </c>
      <c r="Q1259">
        <v>0</v>
      </c>
      <c r="R1259">
        <v>0</v>
      </c>
      <c r="T1259">
        <v>0</v>
      </c>
      <c r="U1259" t="b">
        <v>0</v>
      </c>
      <c r="V1259">
        <v>0</v>
      </c>
      <c r="Y1259">
        <v>2.1937420621175002E-3</v>
      </c>
      <c r="Z1259">
        <v>442</v>
      </c>
      <c r="AA1259">
        <v>-4.4903457566231996E-3</v>
      </c>
      <c r="AB1259">
        <v>-0.33936651583710409</v>
      </c>
      <c r="AC1259">
        <v>-8.1632653061223994E-3</v>
      </c>
      <c r="AD1259">
        <v>-8.3822296730929995E-3</v>
      </c>
      <c r="AE1259">
        <v>0</v>
      </c>
      <c r="AF1259" t="b">
        <v>0</v>
      </c>
    </row>
    <row r="1260" spans="1:35" x14ac:dyDescent="0.3">
      <c r="A1260" t="s">
        <v>2661</v>
      </c>
      <c r="B1260" t="s">
        <v>2662</v>
      </c>
      <c r="C1260" t="s">
        <v>431</v>
      </c>
      <c r="D1260">
        <v>76</v>
      </c>
      <c r="E1260">
        <v>2206</v>
      </c>
      <c r="F1260">
        <v>7</v>
      </c>
      <c r="G1260">
        <v>30</v>
      </c>
      <c r="H1260">
        <v>15</v>
      </c>
      <c r="I1260">
        <v>0.44197642792384401</v>
      </c>
      <c r="J1260">
        <v>0.65837749694251935</v>
      </c>
      <c r="K1260" t="s">
        <v>86</v>
      </c>
      <c r="P1260">
        <v>0</v>
      </c>
      <c r="R1260">
        <v>0</v>
      </c>
      <c r="T1260">
        <v>0</v>
      </c>
      <c r="U1260" t="b">
        <v>0</v>
      </c>
      <c r="Y1260">
        <v>0.1073508005822416</v>
      </c>
      <c r="Z1260">
        <v>118</v>
      </c>
      <c r="AA1260">
        <v>0</v>
      </c>
      <c r="AB1260">
        <v>0</v>
      </c>
      <c r="AD1260">
        <v>0</v>
      </c>
      <c r="AE1260">
        <v>0</v>
      </c>
      <c r="AF1260" t="b">
        <v>0</v>
      </c>
    </row>
    <row r="1261" spans="1:35" x14ac:dyDescent="0.3">
      <c r="A1261" t="s">
        <v>2663</v>
      </c>
      <c r="B1261" t="s">
        <v>2664</v>
      </c>
      <c r="C1261" t="s">
        <v>431</v>
      </c>
      <c r="D1261">
        <v>95</v>
      </c>
      <c r="E1261">
        <v>259</v>
      </c>
      <c r="F1261">
        <v>6</v>
      </c>
      <c r="G1261">
        <v>180</v>
      </c>
      <c r="H1261">
        <v>60</v>
      </c>
      <c r="I1261">
        <v>1</v>
      </c>
      <c r="J1261">
        <v>1</v>
      </c>
      <c r="K1261" t="s">
        <v>432</v>
      </c>
      <c r="L1261">
        <v>0.63094245204336952</v>
      </c>
      <c r="M1261">
        <v>1</v>
      </c>
      <c r="O1261" t="s">
        <v>518</v>
      </c>
      <c r="P1261">
        <v>0</v>
      </c>
      <c r="R1261">
        <v>0</v>
      </c>
      <c r="T1261">
        <v>0</v>
      </c>
      <c r="U1261" t="b">
        <v>0</v>
      </c>
      <c r="V1261">
        <v>0</v>
      </c>
      <c r="Y1261">
        <v>0.63094245204336952</v>
      </c>
      <c r="Z1261">
        <v>14</v>
      </c>
      <c r="AA1261">
        <v>0</v>
      </c>
      <c r="AB1261">
        <v>0</v>
      </c>
      <c r="AC1261">
        <v>0</v>
      </c>
      <c r="AD1261">
        <v>0</v>
      </c>
      <c r="AE1261">
        <v>0</v>
      </c>
      <c r="AF1261" t="b">
        <v>0</v>
      </c>
    </row>
    <row r="1262" spans="1:35" x14ac:dyDescent="0.3">
      <c r="A1262" t="s">
        <v>2665</v>
      </c>
      <c r="B1262" t="s">
        <v>2666</v>
      </c>
      <c r="C1262" t="s">
        <v>431</v>
      </c>
      <c r="D1262">
        <v>70</v>
      </c>
      <c r="E1262">
        <v>1690</v>
      </c>
      <c r="F1262">
        <v>34</v>
      </c>
      <c r="G1262">
        <v>29</v>
      </c>
      <c r="H1262">
        <v>1</v>
      </c>
      <c r="I1262">
        <v>2.2485207100591698E-2</v>
      </c>
      <c r="J1262">
        <v>0.55909090909090908</v>
      </c>
      <c r="K1262" t="s">
        <v>86</v>
      </c>
      <c r="P1262">
        <v>0</v>
      </c>
      <c r="R1262">
        <v>0</v>
      </c>
      <c r="T1262">
        <v>0</v>
      </c>
      <c r="U1262" t="b">
        <v>0</v>
      </c>
      <c r="Y1262">
        <v>0</v>
      </c>
      <c r="Z1262">
        <v>99</v>
      </c>
      <c r="AA1262">
        <v>-2.1020768519297E-3</v>
      </c>
      <c r="AB1262">
        <v>-8.4175084175084E-2</v>
      </c>
      <c r="AC1262">
        <v>-2.1020768519297E-3</v>
      </c>
      <c r="AD1262">
        <v>-5.0575920298868266E-18</v>
      </c>
      <c r="AE1262">
        <v>0</v>
      </c>
      <c r="AF1262" t="b">
        <v>0</v>
      </c>
    </row>
    <row r="1263" spans="1:35" x14ac:dyDescent="0.3">
      <c r="A1263" t="s">
        <v>2667</v>
      </c>
      <c r="B1263" t="s">
        <v>2668</v>
      </c>
      <c r="C1263" t="s">
        <v>431</v>
      </c>
      <c r="D1263">
        <v>123</v>
      </c>
      <c r="E1263">
        <v>36</v>
      </c>
      <c r="F1263">
        <v>4</v>
      </c>
      <c r="G1263">
        <v>210</v>
      </c>
      <c r="H1263">
        <v>60</v>
      </c>
      <c r="I1263">
        <v>1</v>
      </c>
      <c r="J1263">
        <v>1</v>
      </c>
      <c r="K1263" t="s">
        <v>432</v>
      </c>
      <c r="L1263">
        <v>0.76113505747126442</v>
      </c>
      <c r="M1263">
        <v>1</v>
      </c>
      <c r="O1263" t="s">
        <v>518</v>
      </c>
      <c r="P1263">
        <v>0</v>
      </c>
      <c r="R1263">
        <v>0</v>
      </c>
      <c r="T1263">
        <v>0</v>
      </c>
      <c r="U1263" t="b">
        <v>0</v>
      </c>
      <c r="Y1263">
        <v>0.76113505747126442</v>
      </c>
      <c r="Z1263">
        <v>2</v>
      </c>
      <c r="AA1263">
        <v>0</v>
      </c>
      <c r="AB1263">
        <v>0</v>
      </c>
      <c r="AE1263">
        <v>0</v>
      </c>
      <c r="AF1263" t="b">
        <v>0</v>
      </c>
    </row>
    <row r="1264" spans="1:35" x14ac:dyDescent="0.3">
      <c r="A1264" t="s">
        <v>2669</v>
      </c>
      <c r="B1264" t="s">
        <v>2670</v>
      </c>
      <c r="C1264" t="s">
        <v>431</v>
      </c>
      <c r="D1264">
        <v>650</v>
      </c>
      <c r="E1264">
        <v>11723</v>
      </c>
      <c r="F1264">
        <v>8</v>
      </c>
      <c r="G1264">
        <v>60</v>
      </c>
      <c r="H1264">
        <v>60</v>
      </c>
      <c r="I1264">
        <v>1</v>
      </c>
      <c r="J1264">
        <v>1</v>
      </c>
      <c r="K1264" t="s">
        <v>432</v>
      </c>
      <c r="L1264">
        <v>0.86963885701797516</v>
      </c>
      <c r="M1264">
        <v>1</v>
      </c>
      <c r="N1264">
        <v>1</v>
      </c>
      <c r="O1264" t="s">
        <v>433</v>
      </c>
      <c r="P1264">
        <v>0</v>
      </c>
      <c r="R1264">
        <v>0</v>
      </c>
      <c r="T1264">
        <v>0</v>
      </c>
      <c r="U1264" t="b">
        <v>0</v>
      </c>
      <c r="V1264">
        <v>1.1454545454545459</v>
      </c>
      <c r="Y1264">
        <v>0</v>
      </c>
      <c r="Z1264">
        <v>477</v>
      </c>
      <c r="AA1264">
        <v>-2.4546827794561001E-3</v>
      </c>
      <c r="AB1264">
        <v>-0.20440251572327039</v>
      </c>
      <c r="AC1264">
        <v>6.2344139650869997E-4</v>
      </c>
      <c r="AD1264">
        <v>-5.0251256281407001E-3</v>
      </c>
      <c r="AE1264">
        <v>0</v>
      </c>
      <c r="AF1264" t="b">
        <v>0</v>
      </c>
    </row>
    <row r="1265" spans="1:32" x14ac:dyDescent="0.3">
      <c r="A1265" t="s">
        <v>2671</v>
      </c>
      <c r="B1265" t="s">
        <v>2672</v>
      </c>
      <c r="C1265" t="s">
        <v>431</v>
      </c>
      <c r="D1265">
        <v>246</v>
      </c>
      <c r="E1265">
        <v>3148</v>
      </c>
      <c r="F1265">
        <v>118</v>
      </c>
      <c r="G1265">
        <v>85</v>
      </c>
      <c r="H1265">
        <v>1</v>
      </c>
      <c r="I1265">
        <v>2.2871664548919899E-2</v>
      </c>
      <c r="J1265">
        <v>0.39481437831467298</v>
      </c>
      <c r="K1265" t="s">
        <v>432</v>
      </c>
      <c r="L1265">
        <v>0.61579257513258689</v>
      </c>
      <c r="M1265">
        <v>1</v>
      </c>
      <c r="N1265">
        <v>1.7224880382775101E-2</v>
      </c>
      <c r="O1265" t="s">
        <v>433</v>
      </c>
      <c r="P1265">
        <v>2054</v>
      </c>
      <c r="Q1265">
        <v>1</v>
      </c>
      <c r="R1265">
        <v>0</v>
      </c>
      <c r="T1265">
        <v>0</v>
      </c>
      <c r="U1265" t="b">
        <v>0</v>
      </c>
      <c r="V1265">
        <v>0.78431372549019607</v>
      </c>
      <c r="Y1265">
        <v>0</v>
      </c>
      <c r="Z1265">
        <v>179</v>
      </c>
      <c r="AA1265">
        <v>-3.898003918253E-4</v>
      </c>
      <c r="AB1265">
        <v>-3.5847299813780202E-2</v>
      </c>
      <c r="AC1265">
        <v>-3.6103617968717E-3</v>
      </c>
      <c r="AD1265">
        <v>2.7092342171015E-3</v>
      </c>
      <c r="AE1265">
        <v>0</v>
      </c>
      <c r="AF1265" t="b">
        <v>0</v>
      </c>
    </row>
    <row r="1266" spans="1:32" x14ac:dyDescent="0.3">
      <c r="A1266" t="s">
        <v>2673</v>
      </c>
      <c r="B1266" t="s">
        <v>2674</v>
      </c>
      <c r="C1266" t="s">
        <v>431</v>
      </c>
      <c r="D1266">
        <v>70</v>
      </c>
      <c r="E1266">
        <v>1474</v>
      </c>
      <c r="F1266">
        <v>9</v>
      </c>
      <c r="G1266">
        <v>120</v>
      </c>
      <c r="H1266">
        <v>60</v>
      </c>
      <c r="I1266">
        <v>1</v>
      </c>
      <c r="J1266">
        <v>1</v>
      </c>
      <c r="K1266" t="s">
        <v>86</v>
      </c>
      <c r="P1266">
        <v>0</v>
      </c>
      <c r="R1266">
        <v>0</v>
      </c>
      <c r="T1266">
        <v>0</v>
      </c>
      <c r="U1266" t="b">
        <v>0</v>
      </c>
      <c r="Y1266">
        <v>0</v>
      </c>
      <c r="Z1266">
        <v>127</v>
      </c>
      <c r="AA1266">
        <v>0</v>
      </c>
      <c r="AB1266">
        <v>0</v>
      </c>
      <c r="AE1266">
        <v>0</v>
      </c>
      <c r="AF1266" t="b">
        <v>0</v>
      </c>
    </row>
    <row r="1267" spans="1:32" x14ac:dyDescent="0.3">
      <c r="A1267" t="s">
        <v>2675</v>
      </c>
      <c r="B1267" t="s">
        <v>2676</v>
      </c>
      <c r="C1267" t="s">
        <v>431</v>
      </c>
      <c r="D1267">
        <v>510</v>
      </c>
      <c r="E1267">
        <v>12104</v>
      </c>
      <c r="F1267">
        <v>33</v>
      </c>
      <c r="G1267">
        <v>60</v>
      </c>
      <c r="H1267">
        <v>15</v>
      </c>
      <c r="I1267">
        <v>0.52420687376074027</v>
      </c>
      <c r="J1267">
        <v>0.64864864864864868</v>
      </c>
      <c r="K1267" t="s">
        <v>432</v>
      </c>
      <c r="L1267">
        <v>0.82753427914718236</v>
      </c>
      <c r="M1267">
        <v>0.97886029411764719</v>
      </c>
      <c r="N1267">
        <v>0.57982951824537876</v>
      </c>
      <c r="O1267" t="s">
        <v>433</v>
      </c>
      <c r="P1267">
        <v>3734</v>
      </c>
      <c r="Q1267">
        <v>5.5704338510980098E-2</v>
      </c>
      <c r="R1267">
        <v>0</v>
      </c>
      <c r="T1267">
        <v>0</v>
      </c>
      <c r="U1267" t="b">
        <v>0</v>
      </c>
      <c r="V1267">
        <v>3.835543199315655</v>
      </c>
      <c r="Y1267">
        <v>0</v>
      </c>
      <c r="Z1267">
        <v>371</v>
      </c>
      <c r="AA1267">
        <v>-2.3586883862555001E-3</v>
      </c>
      <c r="AB1267">
        <v>-0.1786676934924912</v>
      </c>
      <c r="AC1267">
        <v>-1.4489732394004201E-2</v>
      </c>
      <c r="AD1267">
        <v>1.102578966757E-2</v>
      </c>
      <c r="AE1267">
        <v>0</v>
      </c>
      <c r="AF1267" t="b">
        <v>0</v>
      </c>
    </row>
    <row r="1268" spans="1:32" x14ac:dyDescent="0.3">
      <c r="A1268" t="s">
        <v>2677</v>
      </c>
      <c r="B1268" t="s">
        <v>2678</v>
      </c>
      <c r="C1268" t="s">
        <v>431</v>
      </c>
      <c r="D1268">
        <v>121</v>
      </c>
      <c r="E1268">
        <v>2267</v>
      </c>
      <c r="F1268">
        <v>94</v>
      </c>
      <c r="G1268">
        <v>82</v>
      </c>
      <c r="H1268">
        <v>1</v>
      </c>
      <c r="I1268">
        <v>0.1270401411557123</v>
      </c>
      <c r="J1268">
        <v>0.3990787269681742</v>
      </c>
      <c r="K1268" t="s">
        <v>432</v>
      </c>
      <c r="L1268">
        <v>0.60594639865996647</v>
      </c>
      <c r="M1268">
        <v>1</v>
      </c>
      <c r="N1268">
        <v>8.2930200414651004E-3</v>
      </c>
      <c r="O1268" t="s">
        <v>433</v>
      </c>
      <c r="P1268">
        <v>1435</v>
      </c>
      <c r="Q1268">
        <v>1</v>
      </c>
      <c r="R1268">
        <v>0</v>
      </c>
      <c r="T1268">
        <v>0</v>
      </c>
      <c r="U1268" t="b">
        <v>0</v>
      </c>
      <c r="V1268">
        <v>0</v>
      </c>
      <c r="Y1268">
        <v>0</v>
      </c>
      <c r="Z1268">
        <v>48</v>
      </c>
      <c r="AA1268">
        <v>-6.6964285714284999E-3</v>
      </c>
      <c r="AB1268">
        <v>-0.9375</v>
      </c>
      <c r="AC1268">
        <v>0</v>
      </c>
      <c r="AD1268">
        <v>0</v>
      </c>
      <c r="AE1268">
        <v>0</v>
      </c>
      <c r="AF1268" t="b">
        <v>0</v>
      </c>
    </row>
    <row r="1269" spans="1:32" x14ac:dyDescent="0.3">
      <c r="A1269" t="s">
        <v>2679</v>
      </c>
      <c r="B1269" t="s">
        <v>2680</v>
      </c>
      <c r="C1269" t="s">
        <v>431</v>
      </c>
      <c r="D1269">
        <v>86</v>
      </c>
      <c r="E1269">
        <v>357</v>
      </c>
      <c r="F1269">
        <v>19</v>
      </c>
      <c r="G1269">
        <v>240</v>
      </c>
      <c r="H1269">
        <v>60</v>
      </c>
      <c r="I1269">
        <v>1</v>
      </c>
      <c r="J1269">
        <v>1</v>
      </c>
      <c r="K1269" t="s">
        <v>86</v>
      </c>
      <c r="P1269">
        <v>0</v>
      </c>
      <c r="R1269">
        <v>0</v>
      </c>
      <c r="T1269">
        <v>0</v>
      </c>
      <c r="U1269" t="b">
        <v>0</v>
      </c>
      <c r="V1269">
        <v>11.33333333333333</v>
      </c>
      <c r="Y1269">
        <v>0.18398637137989779</v>
      </c>
      <c r="Z1269">
        <v>14</v>
      </c>
      <c r="AA1269">
        <v>1.9697526124260998E-3</v>
      </c>
      <c r="AB1269">
        <v>1.0946196660482359</v>
      </c>
      <c r="AC1269">
        <v>1.4018691588785E-2</v>
      </c>
      <c r="AD1269">
        <v>-1.9230769230769E-3</v>
      </c>
      <c r="AE1269">
        <v>0</v>
      </c>
      <c r="AF1269" t="b">
        <v>0</v>
      </c>
    </row>
    <row r="1270" spans="1:32" x14ac:dyDescent="0.3">
      <c r="A1270" t="s">
        <v>2681</v>
      </c>
      <c r="B1270" t="s">
        <v>2682</v>
      </c>
      <c r="C1270" t="s">
        <v>431</v>
      </c>
      <c r="D1270">
        <v>716</v>
      </c>
      <c r="E1270">
        <v>1220</v>
      </c>
      <c r="F1270">
        <v>51</v>
      </c>
      <c r="G1270">
        <v>94</v>
      </c>
      <c r="H1270">
        <v>2</v>
      </c>
      <c r="I1270">
        <v>0.44918032786885248</v>
      </c>
      <c r="J1270">
        <v>0.88385994876174212</v>
      </c>
      <c r="K1270" t="s">
        <v>432</v>
      </c>
      <c r="L1270">
        <v>0.39724137931034481</v>
      </c>
      <c r="M1270">
        <v>1</v>
      </c>
      <c r="N1270">
        <v>5.5555555555555497E-2</v>
      </c>
      <c r="O1270" t="s">
        <v>433</v>
      </c>
      <c r="P1270">
        <v>544</v>
      </c>
      <c r="Q1270">
        <v>1</v>
      </c>
      <c r="R1270">
        <v>0</v>
      </c>
      <c r="T1270">
        <v>0</v>
      </c>
      <c r="U1270" t="b">
        <v>0</v>
      </c>
      <c r="V1270">
        <v>0</v>
      </c>
      <c r="Y1270">
        <v>0.72370671857488356</v>
      </c>
      <c r="Z1270">
        <v>60</v>
      </c>
      <c r="AA1270">
        <v>0</v>
      </c>
      <c r="AB1270">
        <v>0</v>
      </c>
      <c r="AC1270">
        <v>0</v>
      </c>
      <c r="AD1270">
        <v>0</v>
      </c>
      <c r="AE1270">
        <v>0</v>
      </c>
      <c r="AF1270" t="b">
        <v>0</v>
      </c>
    </row>
    <row r="1271" spans="1:32" x14ac:dyDescent="0.3">
      <c r="A1271" t="s">
        <v>2683</v>
      </c>
      <c r="B1271" t="s">
        <v>2684</v>
      </c>
      <c r="C1271" t="s">
        <v>431</v>
      </c>
      <c r="D1271">
        <v>941</v>
      </c>
      <c r="E1271">
        <v>20029</v>
      </c>
      <c r="F1271">
        <v>36</v>
      </c>
      <c r="G1271">
        <v>60</v>
      </c>
      <c r="H1271">
        <v>60</v>
      </c>
      <c r="I1271">
        <v>1</v>
      </c>
      <c r="J1271">
        <v>1</v>
      </c>
      <c r="K1271" t="s">
        <v>432</v>
      </c>
      <c r="L1271">
        <v>0.75957894736842102</v>
      </c>
      <c r="M1271">
        <v>1</v>
      </c>
      <c r="N1271">
        <v>1</v>
      </c>
      <c r="O1271" t="s">
        <v>433</v>
      </c>
      <c r="P1271">
        <v>0</v>
      </c>
      <c r="R1271">
        <v>0</v>
      </c>
      <c r="T1271">
        <v>0</v>
      </c>
      <c r="U1271" t="b">
        <v>0</v>
      </c>
      <c r="V1271">
        <v>13.619990570485619</v>
      </c>
      <c r="Y1271">
        <v>0</v>
      </c>
      <c r="Z1271">
        <v>892</v>
      </c>
      <c r="AA1271">
        <v>1.5548100016461499E-2</v>
      </c>
      <c r="AB1271">
        <v>1.825776801673662</v>
      </c>
      <c r="AC1271">
        <v>-9.9819681211752009E-3</v>
      </c>
      <c r="AD1271">
        <v>3.7700799772968897E-2</v>
      </c>
      <c r="AE1271">
        <v>0</v>
      </c>
      <c r="AF1271" t="b">
        <v>0</v>
      </c>
    </row>
    <row r="1272" spans="1:32" x14ac:dyDescent="0.3">
      <c r="A1272" t="s">
        <v>2685</v>
      </c>
      <c r="B1272" t="s">
        <v>2686</v>
      </c>
      <c r="C1272" t="s">
        <v>431</v>
      </c>
      <c r="D1272">
        <v>351</v>
      </c>
      <c r="E1272">
        <v>7757</v>
      </c>
      <c r="F1272">
        <v>184</v>
      </c>
      <c r="G1272">
        <v>60</v>
      </c>
      <c r="H1272">
        <v>1</v>
      </c>
      <c r="I1272">
        <v>2.5912079412143799E-2</v>
      </c>
      <c r="J1272">
        <v>0.2308830784410458</v>
      </c>
      <c r="K1272" t="s">
        <v>432</v>
      </c>
      <c r="L1272">
        <v>0.78872718302910705</v>
      </c>
      <c r="M1272">
        <v>1</v>
      </c>
      <c r="N1272">
        <v>2.4863174354964799E-2</v>
      </c>
      <c r="O1272" t="s">
        <v>433</v>
      </c>
      <c r="P1272">
        <v>6236</v>
      </c>
      <c r="Q1272">
        <v>1</v>
      </c>
      <c r="R1272">
        <v>0</v>
      </c>
      <c r="T1272">
        <v>0</v>
      </c>
      <c r="U1272" t="b">
        <v>0</v>
      </c>
      <c r="V1272">
        <v>0</v>
      </c>
      <c r="Y1272">
        <v>0</v>
      </c>
      <c r="Z1272">
        <v>379</v>
      </c>
      <c r="AA1272">
        <v>2.4902752703381001E-3</v>
      </c>
      <c r="AB1272">
        <v>0.17651715039577831</v>
      </c>
      <c r="AC1272">
        <v>1.9988242210464001E-3</v>
      </c>
      <c r="AD1272">
        <v>0</v>
      </c>
      <c r="AE1272">
        <v>0</v>
      </c>
      <c r="AF1272" t="b">
        <v>0</v>
      </c>
    </row>
    <row r="1273" spans="1:32" x14ac:dyDescent="0.3">
      <c r="A1273" t="s">
        <v>2687</v>
      </c>
      <c r="B1273" t="s">
        <v>2688</v>
      </c>
      <c r="C1273" t="s">
        <v>431</v>
      </c>
      <c r="D1273">
        <v>123</v>
      </c>
      <c r="E1273">
        <v>2618</v>
      </c>
      <c r="F1273">
        <v>15</v>
      </c>
      <c r="G1273">
        <v>180</v>
      </c>
      <c r="H1273">
        <v>60</v>
      </c>
      <c r="I1273">
        <v>1</v>
      </c>
      <c r="J1273">
        <v>1</v>
      </c>
      <c r="K1273" t="s">
        <v>432</v>
      </c>
      <c r="L1273">
        <v>8.6401749908858905E-2</v>
      </c>
      <c r="M1273">
        <v>1</v>
      </c>
      <c r="N1273">
        <v>1</v>
      </c>
      <c r="O1273" t="s">
        <v>433</v>
      </c>
      <c r="P1273">
        <v>0</v>
      </c>
      <c r="R1273">
        <v>0</v>
      </c>
      <c r="T1273">
        <v>0</v>
      </c>
      <c r="U1273" t="b">
        <v>0</v>
      </c>
      <c r="Y1273">
        <v>0</v>
      </c>
      <c r="Z1273">
        <v>149</v>
      </c>
      <c r="AA1273">
        <v>0</v>
      </c>
      <c r="AB1273">
        <v>0</v>
      </c>
      <c r="AE1273">
        <v>0</v>
      </c>
      <c r="AF1273" t="b">
        <v>0</v>
      </c>
    </row>
    <row r="1274" spans="1:32" x14ac:dyDescent="0.3">
      <c r="A1274" t="s">
        <v>2689</v>
      </c>
      <c r="B1274" t="s">
        <v>2690</v>
      </c>
      <c r="C1274" t="s">
        <v>431</v>
      </c>
      <c r="D1274">
        <v>240</v>
      </c>
      <c r="E1274">
        <v>3603</v>
      </c>
      <c r="F1274">
        <v>21</v>
      </c>
      <c r="G1274">
        <v>120</v>
      </c>
      <c r="H1274">
        <v>60</v>
      </c>
      <c r="I1274">
        <v>1</v>
      </c>
      <c r="J1274">
        <v>1</v>
      </c>
      <c r="K1274" t="s">
        <v>432</v>
      </c>
      <c r="L1274">
        <v>8.2580645161289996E-3</v>
      </c>
      <c r="M1274">
        <v>1</v>
      </c>
      <c r="N1274">
        <v>1</v>
      </c>
      <c r="O1274" t="s">
        <v>433</v>
      </c>
      <c r="P1274">
        <v>0</v>
      </c>
      <c r="R1274">
        <v>0</v>
      </c>
      <c r="T1274">
        <v>0</v>
      </c>
      <c r="U1274" t="b">
        <v>0</v>
      </c>
      <c r="Y1274">
        <v>0</v>
      </c>
      <c r="Z1274">
        <v>203</v>
      </c>
      <c r="AA1274">
        <v>0</v>
      </c>
      <c r="AB1274">
        <v>0</v>
      </c>
      <c r="AE1274">
        <v>0</v>
      </c>
      <c r="AF1274" t="b">
        <v>0</v>
      </c>
    </row>
    <row r="1275" spans="1:32" x14ac:dyDescent="0.3">
      <c r="A1275" t="s">
        <v>2691</v>
      </c>
      <c r="B1275" t="s">
        <v>2692</v>
      </c>
      <c r="C1275" t="s">
        <v>431</v>
      </c>
      <c r="D1275">
        <v>101</v>
      </c>
      <c r="E1275">
        <v>272</v>
      </c>
      <c r="F1275">
        <v>3</v>
      </c>
      <c r="G1275">
        <v>60</v>
      </c>
      <c r="H1275">
        <v>60</v>
      </c>
      <c r="I1275">
        <v>1</v>
      </c>
      <c r="J1275">
        <v>1</v>
      </c>
      <c r="K1275" t="s">
        <v>432</v>
      </c>
      <c r="L1275">
        <v>0.53933037515127069</v>
      </c>
      <c r="M1275">
        <v>1</v>
      </c>
      <c r="O1275" t="s">
        <v>433</v>
      </c>
      <c r="P1275">
        <v>0</v>
      </c>
      <c r="R1275">
        <v>0</v>
      </c>
      <c r="T1275">
        <v>0</v>
      </c>
      <c r="U1275" t="b">
        <v>0</v>
      </c>
      <c r="V1275">
        <v>0</v>
      </c>
      <c r="Y1275">
        <v>0.53933037515127069</v>
      </c>
      <c r="Z1275">
        <v>4</v>
      </c>
      <c r="AA1275">
        <v>0</v>
      </c>
      <c r="AB1275">
        <v>0</v>
      </c>
      <c r="AC1275">
        <v>0</v>
      </c>
      <c r="AD1275">
        <v>0</v>
      </c>
      <c r="AE1275">
        <v>0</v>
      </c>
      <c r="AF1275" t="b">
        <v>0</v>
      </c>
    </row>
    <row r="1276" spans="1:32" x14ac:dyDescent="0.3">
      <c r="A1276" t="s">
        <v>2693</v>
      </c>
      <c r="B1276" t="s">
        <v>2694</v>
      </c>
      <c r="C1276" t="s">
        <v>431</v>
      </c>
      <c r="D1276">
        <v>146</v>
      </c>
      <c r="E1276">
        <v>2823</v>
      </c>
      <c r="F1276">
        <v>178</v>
      </c>
      <c r="G1276">
        <v>68</v>
      </c>
      <c r="H1276">
        <v>1</v>
      </c>
      <c r="I1276">
        <v>0.23556500177116541</v>
      </c>
      <c r="J1276">
        <v>0.42400806993947537</v>
      </c>
      <c r="K1276" t="s">
        <v>432</v>
      </c>
      <c r="L1276">
        <v>0.68695359784801613</v>
      </c>
      <c r="M1276">
        <v>1</v>
      </c>
      <c r="N1276">
        <v>0.1615271659324522</v>
      </c>
      <c r="O1276" t="s">
        <v>433</v>
      </c>
      <c r="P1276">
        <v>1713</v>
      </c>
      <c r="Q1276">
        <v>1.0507880910683E-2</v>
      </c>
      <c r="R1276">
        <v>0</v>
      </c>
      <c r="T1276">
        <v>0</v>
      </c>
      <c r="U1276" t="b">
        <v>0</v>
      </c>
      <c r="Y1276">
        <v>0</v>
      </c>
      <c r="Z1276">
        <v>115</v>
      </c>
      <c r="AA1276">
        <v>-1.6239316239316199E-2</v>
      </c>
      <c r="AB1276">
        <v>-2.1478260869565222</v>
      </c>
      <c r="AE1276">
        <v>0</v>
      </c>
      <c r="AF1276" t="b">
        <v>0</v>
      </c>
    </row>
    <row r="1277" spans="1:32" x14ac:dyDescent="0.3">
      <c r="A1277" t="s">
        <v>2695</v>
      </c>
      <c r="B1277" t="s">
        <v>2696</v>
      </c>
      <c r="C1277" t="s">
        <v>479</v>
      </c>
      <c r="D1277">
        <v>4434</v>
      </c>
      <c r="E1277">
        <v>17044</v>
      </c>
      <c r="F1277">
        <v>60</v>
      </c>
      <c r="G1277">
        <v>1500</v>
      </c>
      <c r="H1277">
        <v>60</v>
      </c>
      <c r="I1277">
        <v>1</v>
      </c>
      <c r="J1277">
        <v>1</v>
      </c>
      <c r="K1277" t="s">
        <v>86</v>
      </c>
      <c r="P1277">
        <v>0</v>
      </c>
      <c r="R1277">
        <v>0</v>
      </c>
      <c r="T1277">
        <v>0</v>
      </c>
      <c r="U1277" t="b">
        <v>0</v>
      </c>
      <c r="V1277">
        <v>27.37037037037037</v>
      </c>
      <c r="Y1277">
        <v>0</v>
      </c>
      <c r="Z1277">
        <v>87</v>
      </c>
      <c r="AA1277">
        <v>1.6122905972328801E-2</v>
      </c>
      <c r="AB1277">
        <v>17.22707631146832</v>
      </c>
      <c r="AC1277">
        <v>1.9448322772348099E-2</v>
      </c>
      <c r="AD1277">
        <v>2.8986320666468501E-2</v>
      </c>
      <c r="AE1277">
        <v>0</v>
      </c>
      <c r="AF1277" t="b">
        <v>0</v>
      </c>
    </row>
    <row r="1278" spans="1:32" x14ac:dyDescent="0.3">
      <c r="A1278" t="s">
        <v>2697</v>
      </c>
      <c r="B1278" t="s">
        <v>2698</v>
      </c>
      <c r="C1278" t="s">
        <v>479</v>
      </c>
      <c r="D1278">
        <v>121</v>
      </c>
      <c r="E1278">
        <v>1827</v>
      </c>
      <c r="F1278">
        <v>4</v>
      </c>
      <c r="G1278">
        <v>60</v>
      </c>
      <c r="H1278">
        <v>60</v>
      </c>
      <c r="I1278">
        <v>1</v>
      </c>
      <c r="J1278">
        <v>1</v>
      </c>
      <c r="K1278" t="s">
        <v>86</v>
      </c>
      <c r="P1278">
        <v>0</v>
      </c>
      <c r="R1278">
        <v>0</v>
      </c>
      <c r="T1278">
        <v>0</v>
      </c>
      <c r="U1278" t="b">
        <v>0</v>
      </c>
      <c r="V1278">
        <v>0</v>
      </c>
      <c r="Y1278">
        <v>0</v>
      </c>
      <c r="Z1278">
        <v>71</v>
      </c>
      <c r="AA1278">
        <v>0</v>
      </c>
      <c r="AB1278">
        <v>0</v>
      </c>
      <c r="AC1278">
        <v>0</v>
      </c>
      <c r="AD1278">
        <v>0</v>
      </c>
      <c r="AE1278">
        <v>0</v>
      </c>
      <c r="AF1278" t="b">
        <v>0</v>
      </c>
    </row>
    <row r="1279" spans="1:32" x14ac:dyDescent="0.3">
      <c r="A1279" t="s">
        <v>2699</v>
      </c>
      <c r="B1279" t="s">
        <v>2698</v>
      </c>
      <c r="C1279" t="s">
        <v>479</v>
      </c>
      <c r="D1279">
        <v>348</v>
      </c>
      <c r="E1279">
        <v>5920</v>
      </c>
      <c r="F1279">
        <v>20</v>
      </c>
      <c r="G1279">
        <v>60</v>
      </c>
      <c r="H1279">
        <v>60</v>
      </c>
      <c r="I1279">
        <v>0.99966216216216219</v>
      </c>
      <c r="J1279">
        <v>0.99757073449557021</v>
      </c>
      <c r="K1279" t="s">
        <v>86</v>
      </c>
      <c r="P1279">
        <v>0</v>
      </c>
      <c r="R1279">
        <v>0</v>
      </c>
      <c r="T1279">
        <v>0</v>
      </c>
      <c r="U1279" t="b">
        <v>0</v>
      </c>
      <c r="V1279">
        <v>0</v>
      </c>
      <c r="Y1279">
        <v>0</v>
      </c>
      <c r="Z1279">
        <v>155</v>
      </c>
      <c r="AA1279">
        <v>0</v>
      </c>
      <c r="AB1279">
        <v>0</v>
      </c>
      <c r="AC1279">
        <v>0</v>
      </c>
      <c r="AD1279">
        <v>0</v>
      </c>
      <c r="AE1279">
        <v>0</v>
      </c>
      <c r="AF1279" t="b">
        <v>0</v>
      </c>
    </row>
    <row r="1280" spans="1:32" x14ac:dyDescent="0.3">
      <c r="A1280" t="s">
        <v>2700</v>
      </c>
      <c r="B1280" t="s">
        <v>2698</v>
      </c>
      <c r="C1280" t="s">
        <v>479</v>
      </c>
      <c r="D1280">
        <v>101</v>
      </c>
      <c r="E1280">
        <v>1110</v>
      </c>
      <c r="F1280">
        <v>9</v>
      </c>
      <c r="G1280">
        <v>120</v>
      </c>
      <c r="H1280">
        <v>60</v>
      </c>
      <c r="I1280">
        <v>1</v>
      </c>
      <c r="J1280">
        <v>1</v>
      </c>
      <c r="K1280" t="s">
        <v>86</v>
      </c>
      <c r="P1280">
        <v>0</v>
      </c>
      <c r="R1280">
        <v>0</v>
      </c>
      <c r="T1280">
        <v>0</v>
      </c>
      <c r="U1280" t="b">
        <v>0</v>
      </c>
      <c r="V1280">
        <v>6.25</v>
      </c>
      <c r="Y1280">
        <v>0</v>
      </c>
      <c r="Z1280">
        <v>45</v>
      </c>
      <c r="AA1280">
        <v>2.86788904560413E-2</v>
      </c>
      <c r="AB1280">
        <v>2.7111111111111108</v>
      </c>
      <c r="AC1280">
        <v>6.6666666666666596E-2</v>
      </c>
      <c r="AD1280">
        <v>5.5096418732781998E-3</v>
      </c>
      <c r="AE1280">
        <v>0</v>
      </c>
      <c r="AF1280" t="b">
        <v>0</v>
      </c>
    </row>
    <row r="1281" spans="1:35" x14ac:dyDescent="0.3">
      <c r="A1281" t="s">
        <v>2701</v>
      </c>
      <c r="B1281" t="s">
        <v>2702</v>
      </c>
      <c r="C1281" t="s">
        <v>479</v>
      </c>
      <c r="D1281">
        <v>116</v>
      </c>
      <c r="E1281">
        <v>1761</v>
      </c>
      <c r="F1281">
        <v>6</v>
      </c>
      <c r="G1281">
        <v>120</v>
      </c>
      <c r="H1281">
        <v>60</v>
      </c>
      <c r="I1281">
        <v>1</v>
      </c>
      <c r="J1281">
        <v>1</v>
      </c>
      <c r="K1281" t="s">
        <v>86</v>
      </c>
      <c r="P1281">
        <v>0</v>
      </c>
      <c r="R1281">
        <v>0</v>
      </c>
      <c r="T1281">
        <v>0</v>
      </c>
      <c r="U1281" t="b">
        <v>0</v>
      </c>
      <c r="V1281">
        <v>0</v>
      </c>
      <c r="Y1281">
        <v>0</v>
      </c>
      <c r="Z1281">
        <v>81</v>
      </c>
      <c r="AA1281">
        <v>2.7586206896551002E-3</v>
      </c>
      <c r="AB1281">
        <v>0.29629629629629628</v>
      </c>
      <c r="AC1281">
        <v>5.4347826086956E-3</v>
      </c>
      <c r="AD1281">
        <v>0</v>
      </c>
      <c r="AE1281">
        <v>0</v>
      </c>
      <c r="AF1281" t="b">
        <v>0</v>
      </c>
    </row>
    <row r="1282" spans="1:35" x14ac:dyDescent="0.3">
      <c r="A1282" t="s">
        <v>2703</v>
      </c>
      <c r="B1282" t="s">
        <v>2698</v>
      </c>
      <c r="C1282" t="s">
        <v>479</v>
      </c>
      <c r="D1282">
        <v>60</v>
      </c>
      <c r="E1282">
        <v>822</v>
      </c>
      <c r="F1282">
        <v>8</v>
      </c>
      <c r="G1282">
        <v>120</v>
      </c>
      <c r="H1282">
        <v>60</v>
      </c>
      <c r="I1282">
        <v>1</v>
      </c>
      <c r="J1282">
        <v>1</v>
      </c>
      <c r="K1282" t="s">
        <v>86</v>
      </c>
      <c r="P1282">
        <v>0</v>
      </c>
      <c r="R1282">
        <v>0</v>
      </c>
      <c r="T1282">
        <v>0</v>
      </c>
      <c r="U1282" t="b">
        <v>0</v>
      </c>
      <c r="V1282">
        <v>7.083333333333333</v>
      </c>
      <c r="Y1282">
        <v>0</v>
      </c>
      <c r="Z1282">
        <v>23</v>
      </c>
      <c r="AA1282">
        <v>-1.16075798895182E-2</v>
      </c>
      <c r="AB1282">
        <v>-1.031055900621118</v>
      </c>
      <c r="AC1282">
        <v>2.3622047244094401E-2</v>
      </c>
      <c r="AD1282">
        <v>1.66177908113391E-2</v>
      </c>
      <c r="AE1282">
        <v>0</v>
      </c>
      <c r="AF1282" t="b">
        <v>0</v>
      </c>
    </row>
    <row r="1283" spans="1:35" x14ac:dyDescent="0.3">
      <c r="A1283" t="s">
        <v>2704</v>
      </c>
      <c r="B1283" t="s">
        <v>2705</v>
      </c>
      <c r="C1283" t="s">
        <v>479</v>
      </c>
      <c r="D1283">
        <v>1205</v>
      </c>
      <c r="E1283">
        <v>8369</v>
      </c>
      <c r="F1283">
        <v>38</v>
      </c>
      <c r="G1283">
        <v>300</v>
      </c>
      <c r="H1283">
        <v>60</v>
      </c>
      <c r="I1283">
        <v>1</v>
      </c>
      <c r="J1283">
        <v>1</v>
      </c>
      <c r="K1283" t="s">
        <v>86</v>
      </c>
      <c r="P1283">
        <v>0</v>
      </c>
      <c r="R1283">
        <v>0</v>
      </c>
      <c r="T1283">
        <v>0</v>
      </c>
      <c r="U1283" t="b">
        <v>0</v>
      </c>
      <c r="Y1283">
        <v>0</v>
      </c>
      <c r="Z1283">
        <v>0</v>
      </c>
      <c r="AE1283">
        <v>0</v>
      </c>
      <c r="AF1283" t="b">
        <v>0</v>
      </c>
    </row>
    <row r="1284" spans="1:35" x14ac:dyDescent="0.3">
      <c r="A1284" t="s">
        <v>2706</v>
      </c>
      <c r="B1284" t="s">
        <v>2705</v>
      </c>
      <c r="C1284" t="s">
        <v>479</v>
      </c>
      <c r="D1284">
        <v>478</v>
      </c>
      <c r="E1284">
        <v>3869</v>
      </c>
      <c r="F1284">
        <v>32</v>
      </c>
      <c r="G1284">
        <v>240</v>
      </c>
      <c r="H1284">
        <v>60</v>
      </c>
      <c r="I1284">
        <v>1</v>
      </c>
      <c r="J1284">
        <v>1</v>
      </c>
      <c r="K1284" t="s">
        <v>86</v>
      </c>
      <c r="P1284">
        <v>0</v>
      </c>
      <c r="R1284">
        <v>0</v>
      </c>
      <c r="T1284">
        <v>0</v>
      </c>
      <c r="U1284" t="b">
        <v>0</v>
      </c>
      <c r="Y1284">
        <v>0</v>
      </c>
      <c r="Z1284">
        <v>0</v>
      </c>
      <c r="AE1284">
        <v>0</v>
      </c>
      <c r="AF1284" t="b">
        <v>0</v>
      </c>
    </row>
    <row r="1285" spans="1:35" x14ac:dyDescent="0.3">
      <c r="A1285" t="s">
        <v>2707</v>
      </c>
      <c r="B1285" t="s">
        <v>2708</v>
      </c>
      <c r="C1285" t="s">
        <v>479</v>
      </c>
      <c r="D1285">
        <v>10593</v>
      </c>
      <c r="E1285">
        <v>241018</v>
      </c>
      <c r="F1285">
        <v>309</v>
      </c>
      <c r="G1285">
        <v>58</v>
      </c>
      <c r="H1285">
        <v>1</v>
      </c>
      <c r="I1285">
        <v>2.623455509547E-2</v>
      </c>
      <c r="J1285">
        <v>0.24984599242481451</v>
      </c>
      <c r="K1285" t="s">
        <v>86</v>
      </c>
      <c r="P1285">
        <v>0</v>
      </c>
      <c r="R1285">
        <v>0</v>
      </c>
      <c r="T1285">
        <v>2</v>
      </c>
      <c r="U1285" t="b">
        <v>1</v>
      </c>
      <c r="V1285">
        <v>11.434355297347411</v>
      </c>
      <c r="W1285">
        <v>4.9110266892321377</v>
      </c>
      <c r="X1285" t="b">
        <v>1</v>
      </c>
      <c r="Y1285">
        <v>0</v>
      </c>
      <c r="Z1285">
        <v>3885</v>
      </c>
      <c r="AA1285">
        <v>0.1016267912169186</v>
      </c>
      <c r="AB1285">
        <v>6.3602904180299014</v>
      </c>
      <c r="AC1285">
        <v>2.9815782964092E-2</v>
      </c>
      <c r="AD1285">
        <v>0.17226933979838041</v>
      </c>
      <c r="AE1285">
        <v>2</v>
      </c>
      <c r="AF1285" t="b">
        <v>1</v>
      </c>
      <c r="AG1285">
        <v>3.5914565694292098E-2</v>
      </c>
      <c r="AH1285">
        <v>3.0954640328580409</v>
      </c>
      <c r="AI1285" t="b">
        <v>1</v>
      </c>
    </row>
    <row r="1286" spans="1:35" x14ac:dyDescent="0.3">
      <c r="A1286" t="s">
        <v>2709</v>
      </c>
      <c r="B1286" t="s">
        <v>2708</v>
      </c>
      <c r="C1286" t="s">
        <v>479</v>
      </c>
      <c r="D1286">
        <v>1699</v>
      </c>
      <c r="E1286">
        <v>17138</v>
      </c>
      <c r="F1286">
        <v>166</v>
      </c>
      <c r="G1286">
        <v>70</v>
      </c>
      <c r="H1286">
        <v>1</v>
      </c>
      <c r="I1286">
        <v>0.81789006885284166</v>
      </c>
      <c r="J1286">
        <v>0.75169840958177891</v>
      </c>
      <c r="K1286" t="s">
        <v>432</v>
      </c>
      <c r="L1286">
        <v>0.3031173878534088</v>
      </c>
      <c r="M1286">
        <v>0.75166915403346168</v>
      </c>
      <c r="N1286">
        <v>1</v>
      </c>
      <c r="O1286" t="s">
        <v>518</v>
      </c>
      <c r="P1286">
        <v>0</v>
      </c>
      <c r="R1286">
        <v>6044</v>
      </c>
      <c r="S1286">
        <v>3.4414295168762397E-2</v>
      </c>
      <c r="T1286">
        <v>0</v>
      </c>
      <c r="U1286" t="b">
        <v>0</v>
      </c>
      <c r="V1286">
        <v>6.8403650176023714</v>
      </c>
      <c r="Y1286">
        <v>0.30303527930590901</v>
      </c>
      <c r="Z1286">
        <v>506</v>
      </c>
      <c r="AA1286">
        <v>4.0579392955516103E-2</v>
      </c>
      <c r="AB1286">
        <v>4.249390521385406</v>
      </c>
      <c r="AC1286">
        <v>2.4431349670041499E-2</v>
      </c>
      <c r="AD1286">
        <v>4.56662896574156E-2</v>
      </c>
      <c r="AE1286">
        <v>0</v>
      </c>
      <c r="AF1286" t="b">
        <v>0</v>
      </c>
    </row>
    <row r="1287" spans="1:35" x14ac:dyDescent="0.3">
      <c r="A1287" t="s">
        <v>2710</v>
      </c>
      <c r="B1287" t="s">
        <v>2708</v>
      </c>
      <c r="C1287" t="s">
        <v>479</v>
      </c>
      <c r="D1287">
        <v>1049</v>
      </c>
      <c r="E1287">
        <v>12398</v>
      </c>
      <c r="F1287">
        <v>31</v>
      </c>
      <c r="G1287">
        <v>60</v>
      </c>
      <c r="H1287">
        <v>60</v>
      </c>
      <c r="I1287">
        <v>1</v>
      </c>
      <c r="J1287">
        <v>1</v>
      </c>
      <c r="K1287" t="s">
        <v>432</v>
      </c>
      <c r="L1287">
        <v>0.60513986495797156</v>
      </c>
      <c r="M1287">
        <v>1</v>
      </c>
      <c r="N1287">
        <v>1</v>
      </c>
      <c r="O1287" t="s">
        <v>518</v>
      </c>
      <c r="P1287">
        <v>0</v>
      </c>
      <c r="R1287">
        <v>0</v>
      </c>
      <c r="T1287">
        <v>0</v>
      </c>
      <c r="U1287" t="b">
        <v>0</v>
      </c>
      <c r="V1287">
        <v>15.71288515406162</v>
      </c>
      <c r="Y1287">
        <v>0</v>
      </c>
      <c r="Z1287">
        <v>442</v>
      </c>
      <c r="AA1287">
        <v>6.3717155828586905E-2</v>
      </c>
      <c r="AB1287">
        <v>8.0666610250719923</v>
      </c>
      <c r="AC1287">
        <v>3.6888304793402799E-2</v>
      </c>
      <c r="AD1287">
        <v>9.8947344432640402E-2</v>
      </c>
      <c r="AE1287">
        <v>0</v>
      </c>
      <c r="AF1287" t="b">
        <v>0</v>
      </c>
    </row>
    <row r="1288" spans="1:35" x14ac:dyDescent="0.3">
      <c r="A1288" t="s">
        <v>2711</v>
      </c>
      <c r="B1288" t="s">
        <v>2708</v>
      </c>
      <c r="C1288" t="s">
        <v>479</v>
      </c>
      <c r="D1288">
        <v>92</v>
      </c>
      <c r="E1288">
        <v>1062</v>
      </c>
      <c r="F1288">
        <v>12</v>
      </c>
      <c r="G1288">
        <v>60</v>
      </c>
      <c r="H1288">
        <v>60</v>
      </c>
      <c r="I1288">
        <v>1</v>
      </c>
      <c r="J1288">
        <v>1</v>
      </c>
      <c r="K1288" t="s">
        <v>86</v>
      </c>
      <c r="P1288">
        <v>0</v>
      </c>
      <c r="R1288">
        <v>0</v>
      </c>
      <c r="T1288">
        <v>0</v>
      </c>
      <c r="U1288" t="b">
        <v>0</v>
      </c>
      <c r="Y1288">
        <v>0</v>
      </c>
      <c r="Z1288">
        <v>43</v>
      </c>
      <c r="AA1288">
        <v>0</v>
      </c>
      <c r="AB1288">
        <v>0</v>
      </c>
      <c r="AD1288">
        <v>0</v>
      </c>
      <c r="AE1288">
        <v>0</v>
      </c>
      <c r="AF1288" t="b">
        <v>0</v>
      </c>
    </row>
    <row r="1289" spans="1:35" x14ac:dyDescent="0.3">
      <c r="A1289" t="s">
        <v>2712</v>
      </c>
      <c r="B1289" t="s">
        <v>2708</v>
      </c>
      <c r="C1289" t="s">
        <v>479</v>
      </c>
      <c r="D1289">
        <v>877</v>
      </c>
      <c r="E1289">
        <v>11922</v>
      </c>
      <c r="F1289">
        <v>17</v>
      </c>
      <c r="G1289">
        <v>60</v>
      </c>
      <c r="H1289">
        <v>60</v>
      </c>
      <c r="I1289">
        <v>1</v>
      </c>
      <c r="J1289">
        <v>1</v>
      </c>
      <c r="K1289" t="s">
        <v>432</v>
      </c>
      <c r="L1289">
        <v>0.51836351829136307</v>
      </c>
      <c r="M1289">
        <v>1</v>
      </c>
      <c r="N1289">
        <v>1</v>
      </c>
      <c r="O1289" t="s">
        <v>518</v>
      </c>
      <c r="P1289">
        <v>0</v>
      </c>
      <c r="R1289">
        <v>0</v>
      </c>
      <c r="T1289">
        <v>0</v>
      </c>
      <c r="U1289" t="b">
        <v>0</v>
      </c>
      <c r="V1289">
        <v>9.42</v>
      </c>
      <c r="Y1289">
        <v>0</v>
      </c>
      <c r="Z1289">
        <v>404</v>
      </c>
      <c r="AA1289">
        <v>7.9199996687929999E-2</v>
      </c>
      <c r="AB1289">
        <v>6.8670009858128678</v>
      </c>
      <c r="AC1289">
        <v>6.5796985195312394E-2</v>
      </c>
      <c r="AD1289">
        <v>0.1175897530674702</v>
      </c>
      <c r="AE1289">
        <v>0</v>
      </c>
      <c r="AF1289" t="b">
        <v>0</v>
      </c>
    </row>
    <row r="1290" spans="1:35" x14ac:dyDescent="0.3">
      <c r="A1290" t="s">
        <v>2713</v>
      </c>
      <c r="B1290" t="s">
        <v>2708</v>
      </c>
      <c r="C1290" t="s">
        <v>479</v>
      </c>
      <c r="D1290">
        <v>807</v>
      </c>
      <c r="E1290">
        <v>15710</v>
      </c>
      <c r="F1290">
        <v>30</v>
      </c>
      <c r="G1290">
        <v>60</v>
      </c>
      <c r="H1290">
        <v>60</v>
      </c>
      <c r="I1290">
        <v>0.86753660089115214</v>
      </c>
      <c r="J1290">
        <v>0.93811706629055003</v>
      </c>
      <c r="K1290" t="s">
        <v>86</v>
      </c>
      <c r="P1290">
        <v>0</v>
      </c>
      <c r="R1290">
        <v>0</v>
      </c>
      <c r="T1290">
        <v>0</v>
      </c>
      <c r="U1290" t="b">
        <v>0</v>
      </c>
      <c r="V1290">
        <v>0.32846715328467152</v>
      </c>
      <c r="Y1290">
        <v>0</v>
      </c>
      <c r="Z1290">
        <v>712</v>
      </c>
      <c r="AA1290">
        <v>8.1387756703323998E-3</v>
      </c>
      <c r="AB1290">
        <v>0.84762147964395151</v>
      </c>
      <c r="AC1290">
        <v>1.09083475804653E-2</v>
      </c>
      <c r="AD1290">
        <v>1.25723007712082E-2</v>
      </c>
      <c r="AE1290">
        <v>0</v>
      </c>
      <c r="AF1290" t="b">
        <v>0</v>
      </c>
    </row>
    <row r="1291" spans="1:35" x14ac:dyDescent="0.3">
      <c r="A1291" t="s">
        <v>2714</v>
      </c>
      <c r="B1291" t="s">
        <v>2708</v>
      </c>
      <c r="C1291" t="s">
        <v>479</v>
      </c>
      <c r="D1291">
        <v>1535</v>
      </c>
      <c r="E1291">
        <v>34890</v>
      </c>
      <c r="F1291">
        <v>15</v>
      </c>
      <c r="G1291">
        <v>60</v>
      </c>
      <c r="H1291">
        <v>60</v>
      </c>
      <c r="I1291">
        <v>1</v>
      </c>
      <c r="J1291">
        <v>1</v>
      </c>
      <c r="K1291" t="s">
        <v>86</v>
      </c>
      <c r="P1291">
        <v>0</v>
      </c>
      <c r="R1291">
        <v>0</v>
      </c>
      <c r="T1291">
        <v>0</v>
      </c>
      <c r="U1291" t="b">
        <v>0</v>
      </c>
      <c r="V1291">
        <v>6.7834074726969744</v>
      </c>
      <c r="Y1291">
        <v>0</v>
      </c>
      <c r="Z1291">
        <v>1096</v>
      </c>
      <c r="AA1291">
        <v>3.4413235794177897E-2</v>
      </c>
      <c r="AB1291">
        <v>2.8238569280636119</v>
      </c>
      <c r="AC1291">
        <v>7.5897228866704004E-3</v>
      </c>
      <c r="AD1291">
        <v>5.4621915391545102E-2</v>
      </c>
      <c r="AE1291">
        <v>0</v>
      </c>
      <c r="AF1291" t="b">
        <v>0</v>
      </c>
    </row>
    <row r="1292" spans="1:35" x14ac:dyDescent="0.3">
      <c r="A1292" t="s">
        <v>2715</v>
      </c>
      <c r="B1292" t="s">
        <v>2716</v>
      </c>
      <c r="C1292" t="s">
        <v>479</v>
      </c>
      <c r="D1292">
        <v>1308</v>
      </c>
      <c r="E1292">
        <v>30619</v>
      </c>
      <c r="F1292">
        <v>15</v>
      </c>
      <c r="G1292">
        <v>60</v>
      </c>
      <c r="H1292">
        <v>60</v>
      </c>
      <c r="I1292">
        <v>1</v>
      </c>
      <c r="J1292">
        <v>1</v>
      </c>
      <c r="K1292" t="s">
        <v>432</v>
      </c>
      <c r="L1292">
        <v>0.74414776373427083</v>
      </c>
      <c r="M1292">
        <v>1</v>
      </c>
      <c r="N1292">
        <v>1</v>
      </c>
      <c r="O1292" t="s">
        <v>433</v>
      </c>
      <c r="P1292">
        <v>0</v>
      </c>
      <c r="R1292">
        <v>0</v>
      </c>
      <c r="T1292">
        <v>1</v>
      </c>
      <c r="U1292" t="b">
        <v>1</v>
      </c>
      <c r="V1292">
        <v>4.7924263674614309</v>
      </c>
      <c r="W1292">
        <v>3.9069273819273822</v>
      </c>
      <c r="X1292" t="b">
        <v>1</v>
      </c>
      <c r="Y1292">
        <v>0</v>
      </c>
      <c r="Z1292">
        <v>787</v>
      </c>
      <c r="AA1292">
        <v>2.4463677535983999E-3</v>
      </c>
      <c r="AB1292">
        <v>0.19949014849703689</v>
      </c>
      <c r="AC1292">
        <v>-1.9462704857508499E-2</v>
      </c>
      <c r="AD1292">
        <v>2.22991760701764E-2</v>
      </c>
      <c r="AE1292">
        <v>1</v>
      </c>
      <c r="AF1292" t="b">
        <v>1</v>
      </c>
      <c r="AG1292">
        <v>-6.0609454926656998E-3</v>
      </c>
      <c r="AH1292">
        <v>-0.65411667759493808</v>
      </c>
      <c r="AI1292" t="b">
        <v>1</v>
      </c>
    </row>
    <row r="1293" spans="1:35" x14ac:dyDescent="0.3">
      <c r="A1293" t="s">
        <v>2717</v>
      </c>
      <c r="B1293" t="s">
        <v>2718</v>
      </c>
      <c r="C1293" t="s">
        <v>479</v>
      </c>
      <c r="D1293">
        <v>631</v>
      </c>
      <c r="E1293">
        <v>14724</v>
      </c>
      <c r="F1293">
        <v>18</v>
      </c>
      <c r="G1293">
        <v>60</v>
      </c>
      <c r="H1293">
        <v>60</v>
      </c>
      <c r="I1293">
        <v>1</v>
      </c>
      <c r="J1293">
        <v>1</v>
      </c>
      <c r="K1293" t="s">
        <v>432</v>
      </c>
      <c r="L1293">
        <v>0.67708463557944742</v>
      </c>
      <c r="M1293">
        <v>1</v>
      </c>
      <c r="N1293">
        <v>1</v>
      </c>
      <c r="O1293" t="s">
        <v>433</v>
      </c>
      <c r="P1293">
        <v>0</v>
      </c>
      <c r="R1293">
        <v>0</v>
      </c>
      <c r="T1293">
        <v>0</v>
      </c>
      <c r="U1293" t="b">
        <v>0</v>
      </c>
      <c r="V1293">
        <v>13.45092024539877</v>
      </c>
      <c r="Y1293">
        <v>0</v>
      </c>
      <c r="Z1293">
        <v>592</v>
      </c>
      <c r="AA1293">
        <v>5.09584973988957E-2</v>
      </c>
      <c r="AB1293">
        <v>4.8464387526887522</v>
      </c>
      <c r="AC1293">
        <v>2.38957117242862E-2</v>
      </c>
      <c r="AD1293">
        <v>9.5745855510640895E-2</v>
      </c>
      <c r="AE1293">
        <v>0</v>
      </c>
      <c r="AF1293" t="b">
        <v>0</v>
      </c>
    </row>
    <row r="1294" spans="1:35" x14ac:dyDescent="0.3">
      <c r="A1294" t="s">
        <v>2719</v>
      </c>
      <c r="B1294" t="s">
        <v>2720</v>
      </c>
      <c r="C1294" t="s">
        <v>479</v>
      </c>
      <c r="D1294">
        <v>445</v>
      </c>
      <c r="E1294">
        <v>842</v>
      </c>
      <c r="F1294">
        <v>30</v>
      </c>
      <c r="G1294">
        <v>2400</v>
      </c>
      <c r="H1294">
        <v>60</v>
      </c>
      <c r="I1294">
        <v>1</v>
      </c>
      <c r="J1294">
        <v>1</v>
      </c>
      <c r="K1294" t="s">
        <v>86</v>
      </c>
      <c r="P1294">
        <v>0</v>
      </c>
      <c r="R1294">
        <v>0</v>
      </c>
      <c r="T1294">
        <v>0</v>
      </c>
      <c r="U1294" t="b">
        <v>0</v>
      </c>
      <c r="Y1294">
        <v>0</v>
      </c>
      <c r="Z1294">
        <v>0</v>
      </c>
      <c r="AE1294">
        <v>0</v>
      </c>
      <c r="AF1294" t="b">
        <v>0</v>
      </c>
    </row>
    <row r="1295" spans="1:35" x14ac:dyDescent="0.3">
      <c r="A1295" t="s">
        <v>2721</v>
      </c>
      <c r="B1295" t="s">
        <v>2722</v>
      </c>
      <c r="C1295" t="s">
        <v>479</v>
      </c>
      <c r="D1295">
        <v>533</v>
      </c>
      <c r="E1295">
        <v>10204</v>
      </c>
      <c r="F1295">
        <v>25</v>
      </c>
      <c r="G1295">
        <v>60</v>
      </c>
      <c r="H1295">
        <v>60</v>
      </c>
      <c r="I1295">
        <v>1</v>
      </c>
      <c r="J1295">
        <v>1</v>
      </c>
      <c r="K1295" t="s">
        <v>86</v>
      </c>
      <c r="P1295">
        <v>0</v>
      </c>
      <c r="R1295">
        <v>0</v>
      </c>
      <c r="T1295">
        <v>0</v>
      </c>
      <c r="U1295" t="b">
        <v>0</v>
      </c>
      <c r="V1295">
        <v>14.18320135149404</v>
      </c>
      <c r="Y1295">
        <v>0</v>
      </c>
      <c r="Z1295">
        <v>223</v>
      </c>
      <c r="AA1295">
        <v>0.1191780906796101</v>
      </c>
      <c r="AB1295">
        <v>9.9091368272982621</v>
      </c>
      <c r="AC1295">
        <v>0.11440325774879299</v>
      </c>
      <c r="AD1295">
        <v>0.14338405670721199</v>
      </c>
      <c r="AE1295">
        <v>0</v>
      </c>
      <c r="AF1295" t="b">
        <v>0</v>
      </c>
    </row>
    <row r="1296" spans="1:35" x14ac:dyDescent="0.3">
      <c r="A1296" t="s">
        <v>2723</v>
      </c>
      <c r="B1296" t="s">
        <v>2724</v>
      </c>
      <c r="C1296" t="s">
        <v>479</v>
      </c>
      <c r="D1296">
        <v>626</v>
      </c>
      <c r="E1296">
        <v>17024</v>
      </c>
      <c r="F1296">
        <v>7</v>
      </c>
      <c r="G1296">
        <v>60</v>
      </c>
      <c r="H1296">
        <v>60</v>
      </c>
      <c r="I1296">
        <v>1</v>
      </c>
      <c r="J1296">
        <v>0.99668840943301562</v>
      </c>
      <c r="K1296" t="s">
        <v>86</v>
      </c>
      <c r="P1296">
        <v>0</v>
      </c>
      <c r="R1296">
        <v>0</v>
      </c>
      <c r="T1296">
        <v>0</v>
      </c>
      <c r="U1296" t="b">
        <v>0</v>
      </c>
      <c r="V1296">
        <v>3.3206056616194859</v>
      </c>
      <c r="Y1296">
        <v>0</v>
      </c>
      <c r="Z1296">
        <v>485</v>
      </c>
      <c r="AA1296">
        <v>4.4264021983550103E-2</v>
      </c>
      <c r="AB1296">
        <v>4.1781586111483016</v>
      </c>
      <c r="AC1296">
        <v>4.4707482993197198E-2</v>
      </c>
      <c r="AD1296">
        <v>5.0547345374931503E-2</v>
      </c>
      <c r="AE1296">
        <v>0</v>
      </c>
      <c r="AF1296" t="b">
        <v>0</v>
      </c>
    </row>
    <row r="1297" spans="1:35" x14ac:dyDescent="0.3">
      <c r="A1297" t="s">
        <v>2725</v>
      </c>
      <c r="B1297" t="s">
        <v>2726</v>
      </c>
      <c r="C1297" t="s">
        <v>479</v>
      </c>
      <c r="D1297">
        <v>2730</v>
      </c>
      <c r="E1297">
        <v>39420</v>
      </c>
      <c r="F1297">
        <v>11</v>
      </c>
      <c r="G1297">
        <v>60</v>
      </c>
      <c r="H1297">
        <v>60</v>
      </c>
      <c r="I1297">
        <v>1</v>
      </c>
      <c r="J1297">
        <v>1</v>
      </c>
      <c r="K1297" t="s">
        <v>86</v>
      </c>
      <c r="P1297">
        <v>0</v>
      </c>
      <c r="R1297">
        <v>0</v>
      </c>
      <c r="T1297">
        <v>1</v>
      </c>
      <c r="U1297" t="b">
        <v>1</v>
      </c>
      <c r="V1297">
        <v>7.9865777703554786</v>
      </c>
      <c r="W1297">
        <v>0.89880780376648151</v>
      </c>
      <c r="X1297" t="b">
        <v>1</v>
      </c>
      <c r="Y1297">
        <v>0</v>
      </c>
      <c r="Z1297">
        <v>1161</v>
      </c>
      <c r="AA1297">
        <v>1.8773085595554202E-2</v>
      </c>
      <c r="AB1297">
        <v>1.9095065842687291</v>
      </c>
      <c r="AC1297">
        <v>-2.7635720984904E-3</v>
      </c>
      <c r="AD1297">
        <v>4.83769712599742E-2</v>
      </c>
      <c r="AE1297">
        <v>1</v>
      </c>
      <c r="AF1297" t="b">
        <v>1</v>
      </c>
      <c r="AG1297">
        <v>1.11826138682833E-2</v>
      </c>
      <c r="AH1297">
        <v>1.3252783708362219</v>
      </c>
      <c r="AI1297" t="b">
        <v>1</v>
      </c>
    </row>
    <row r="1298" spans="1:35" x14ac:dyDescent="0.3">
      <c r="A1298" t="s">
        <v>2727</v>
      </c>
      <c r="B1298" t="s">
        <v>2728</v>
      </c>
      <c r="C1298" t="s">
        <v>479</v>
      </c>
      <c r="D1298">
        <v>228</v>
      </c>
      <c r="E1298">
        <v>4721</v>
      </c>
      <c r="F1298">
        <v>12</v>
      </c>
      <c r="G1298">
        <v>120</v>
      </c>
      <c r="H1298">
        <v>60</v>
      </c>
      <c r="I1298">
        <v>1</v>
      </c>
      <c r="J1298">
        <v>1</v>
      </c>
      <c r="K1298" t="s">
        <v>86</v>
      </c>
      <c r="P1298">
        <v>0</v>
      </c>
      <c r="R1298">
        <v>0</v>
      </c>
      <c r="T1298">
        <v>0</v>
      </c>
      <c r="U1298" t="b">
        <v>0</v>
      </c>
      <c r="V1298">
        <v>0.95238095238095244</v>
      </c>
      <c r="Y1298">
        <v>0</v>
      </c>
      <c r="Z1298">
        <v>137</v>
      </c>
      <c r="AA1298">
        <v>-2.2143698468786801E-2</v>
      </c>
      <c r="AB1298">
        <v>-2.7445255474452561</v>
      </c>
      <c r="AC1298">
        <v>-7.7519379844960996E-3</v>
      </c>
      <c r="AD1298">
        <v>0</v>
      </c>
      <c r="AE1298">
        <v>0</v>
      </c>
      <c r="AF1298" t="b">
        <v>0</v>
      </c>
    </row>
    <row r="1299" spans="1:35" x14ac:dyDescent="0.3">
      <c r="A1299" t="s">
        <v>2729</v>
      </c>
      <c r="B1299" t="s">
        <v>2730</v>
      </c>
      <c r="C1299" t="s">
        <v>479</v>
      </c>
      <c r="D1299">
        <v>3807</v>
      </c>
      <c r="E1299">
        <v>88599</v>
      </c>
      <c r="F1299">
        <v>15</v>
      </c>
      <c r="G1299">
        <v>60</v>
      </c>
      <c r="H1299">
        <v>60</v>
      </c>
      <c r="I1299">
        <v>1</v>
      </c>
      <c r="J1299">
        <v>1</v>
      </c>
      <c r="K1299" t="s">
        <v>86</v>
      </c>
      <c r="P1299">
        <v>0</v>
      </c>
      <c r="R1299">
        <v>0</v>
      </c>
      <c r="T1299">
        <v>1</v>
      </c>
      <c r="U1299" t="b">
        <v>1</v>
      </c>
      <c r="V1299">
        <v>10.61086539897121</v>
      </c>
      <c r="W1299">
        <v>8.7493412384716738</v>
      </c>
      <c r="X1299" t="b">
        <v>1</v>
      </c>
      <c r="Y1299">
        <v>0</v>
      </c>
      <c r="Z1299">
        <v>1839</v>
      </c>
      <c r="AA1299">
        <v>3.8081375029823797E-2</v>
      </c>
      <c r="AB1299">
        <v>3.5456790490808769</v>
      </c>
      <c r="AC1299">
        <v>2.2289890377770001E-3</v>
      </c>
      <c r="AD1299">
        <v>6.7171468398628295E-2</v>
      </c>
      <c r="AE1299">
        <v>1</v>
      </c>
      <c r="AF1299" t="b">
        <v>1</v>
      </c>
      <c r="AG1299">
        <v>1.8685239175148902E-2</v>
      </c>
      <c r="AH1299">
        <v>1.926915289937237</v>
      </c>
      <c r="AI1299" t="b">
        <v>1</v>
      </c>
    </row>
    <row r="1300" spans="1:35" x14ac:dyDescent="0.3">
      <c r="A1300" t="s">
        <v>2731</v>
      </c>
      <c r="B1300" t="s">
        <v>2732</v>
      </c>
      <c r="C1300" t="s">
        <v>479</v>
      </c>
      <c r="D1300">
        <v>937</v>
      </c>
      <c r="E1300">
        <v>27075</v>
      </c>
      <c r="F1300">
        <v>337</v>
      </c>
      <c r="G1300">
        <v>66</v>
      </c>
      <c r="H1300">
        <v>1</v>
      </c>
      <c r="I1300">
        <v>6.5484764542936294E-2</v>
      </c>
      <c r="J1300">
        <v>0.35281308010852491</v>
      </c>
      <c r="K1300" t="s">
        <v>86</v>
      </c>
      <c r="P1300">
        <v>0</v>
      </c>
      <c r="R1300">
        <v>0</v>
      </c>
      <c r="T1300">
        <v>0</v>
      </c>
      <c r="U1300" t="b">
        <v>0</v>
      </c>
      <c r="V1300">
        <v>5.1950300010108617</v>
      </c>
      <c r="Y1300">
        <v>0</v>
      </c>
      <c r="Z1300">
        <v>718</v>
      </c>
      <c r="AA1300">
        <v>6.5248437575288906E-2</v>
      </c>
      <c r="AB1300">
        <v>4.6732090300111846</v>
      </c>
      <c r="AC1300">
        <v>4.7740592053953701E-2</v>
      </c>
      <c r="AD1300">
        <v>8.9286315367658006E-2</v>
      </c>
      <c r="AE1300">
        <v>0</v>
      </c>
      <c r="AF1300" t="b">
        <v>0</v>
      </c>
    </row>
    <row r="1301" spans="1:35" x14ac:dyDescent="0.3">
      <c r="A1301" t="s">
        <v>2733</v>
      </c>
      <c r="B1301" t="s">
        <v>2734</v>
      </c>
      <c r="C1301" t="s">
        <v>479</v>
      </c>
      <c r="D1301">
        <v>501</v>
      </c>
      <c r="E1301">
        <v>9731</v>
      </c>
      <c r="F1301">
        <v>23</v>
      </c>
      <c r="G1301">
        <v>60</v>
      </c>
      <c r="H1301">
        <v>60</v>
      </c>
      <c r="I1301">
        <v>1</v>
      </c>
      <c r="J1301">
        <v>1</v>
      </c>
      <c r="K1301" t="s">
        <v>86</v>
      </c>
      <c r="P1301">
        <v>0</v>
      </c>
      <c r="R1301">
        <v>0</v>
      </c>
      <c r="T1301">
        <v>0</v>
      </c>
      <c r="U1301" t="b">
        <v>0</v>
      </c>
      <c r="V1301">
        <v>7.7462686567164178</v>
      </c>
      <c r="Y1301">
        <v>0</v>
      </c>
      <c r="Z1301">
        <v>153</v>
      </c>
      <c r="AA1301">
        <v>4.32792858444161E-2</v>
      </c>
      <c r="AB1301">
        <v>3.5288175876411172</v>
      </c>
      <c r="AC1301">
        <v>4.3370288248336997E-2</v>
      </c>
      <c r="AD1301">
        <v>5.1270619705751197E-2</v>
      </c>
      <c r="AE1301">
        <v>0</v>
      </c>
      <c r="AF1301" t="b">
        <v>0</v>
      </c>
    </row>
    <row r="1302" spans="1:35" x14ac:dyDescent="0.3">
      <c r="A1302" t="s">
        <v>2735</v>
      </c>
      <c r="B1302" t="s">
        <v>2736</v>
      </c>
      <c r="C1302" t="s">
        <v>479</v>
      </c>
      <c r="D1302">
        <v>74</v>
      </c>
      <c r="E1302">
        <v>1526</v>
      </c>
      <c r="F1302">
        <v>5</v>
      </c>
      <c r="G1302">
        <v>60</v>
      </c>
      <c r="H1302">
        <v>60</v>
      </c>
      <c r="I1302">
        <v>1</v>
      </c>
      <c r="J1302">
        <v>1</v>
      </c>
      <c r="K1302" t="s">
        <v>86</v>
      </c>
      <c r="P1302">
        <v>0</v>
      </c>
      <c r="R1302">
        <v>0</v>
      </c>
      <c r="T1302">
        <v>0</v>
      </c>
      <c r="U1302" t="b">
        <v>0</v>
      </c>
      <c r="Y1302">
        <v>0</v>
      </c>
      <c r="Z1302">
        <v>29</v>
      </c>
      <c r="AA1302">
        <v>0</v>
      </c>
      <c r="AB1302">
        <v>0</v>
      </c>
      <c r="AE1302">
        <v>0</v>
      </c>
      <c r="AF1302" t="b">
        <v>0</v>
      </c>
    </row>
    <row r="1303" spans="1:35" x14ac:dyDescent="0.3">
      <c r="A1303" t="s">
        <v>2737</v>
      </c>
      <c r="B1303" t="s">
        <v>2738</v>
      </c>
      <c r="C1303" t="s">
        <v>479</v>
      </c>
      <c r="D1303">
        <v>476</v>
      </c>
      <c r="E1303">
        <v>7250</v>
      </c>
      <c r="F1303">
        <v>84</v>
      </c>
      <c r="G1303">
        <v>90</v>
      </c>
      <c r="H1303">
        <v>1</v>
      </c>
      <c r="I1303">
        <v>0.8510344827586207</v>
      </c>
      <c r="J1303">
        <v>0.92285788247476042</v>
      </c>
      <c r="K1303" t="s">
        <v>86</v>
      </c>
      <c r="P1303">
        <v>0</v>
      </c>
      <c r="R1303">
        <v>0</v>
      </c>
      <c r="T1303">
        <v>0</v>
      </c>
      <c r="U1303" t="b">
        <v>0</v>
      </c>
      <c r="V1303">
        <v>11.77777777777778</v>
      </c>
      <c r="Y1303">
        <v>0</v>
      </c>
      <c r="Z1303">
        <v>4</v>
      </c>
      <c r="AA1303">
        <v>0</v>
      </c>
      <c r="AB1303">
        <v>0</v>
      </c>
      <c r="AE1303">
        <v>0</v>
      </c>
      <c r="AF1303" t="b">
        <v>0</v>
      </c>
    </row>
    <row r="1304" spans="1:35" x14ac:dyDescent="0.3">
      <c r="A1304" t="s">
        <v>2739</v>
      </c>
      <c r="B1304" t="s">
        <v>2740</v>
      </c>
      <c r="C1304" t="s">
        <v>479</v>
      </c>
      <c r="D1304">
        <v>494</v>
      </c>
      <c r="E1304">
        <v>10357</v>
      </c>
      <c r="F1304">
        <v>11</v>
      </c>
      <c r="G1304">
        <v>60</v>
      </c>
      <c r="H1304">
        <v>60</v>
      </c>
      <c r="I1304">
        <v>1</v>
      </c>
      <c r="J1304">
        <v>1</v>
      </c>
      <c r="K1304" t="s">
        <v>432</v>
      </c>
      <c r="L1304">
        <v>0.51455962727354176</v>
      </c>
      <c r="M1304">
        <v>1</v>
      </c>
      <c r="N1304">
        <v>1</v>
      </c>
      <c r="O1304" t="s">
        <v>433</v>
      </c>
      <c r="P1304">
        <v>0</v>
      </c>
      <c r="R1304">
        <v>0</v>
      </c>
      <c r="T1304">
        <v>0</v>
      </c>
      <c r="U1304" t="b">
        <v>0</v>
      </c>
      <c r="V1304">
        <v>10.84105894105894</v>
      </c>
      <c r="Y1304">
        <v>0</v>
      </c>
      <c r="Z1304">
        <v>336</v>
      </c>
      <c r="AA1304">
        <v>5.6808119489928803E-2</v>
      </c>
      <c r="AB1304">
        <v>5.5628746253746248</v>
      </c>
      <c r="AC1304">
        <v>3.1125082163301499E-2</v>
      </c>
      <c r="AD1304">
        <v>0.1105067158142503</v>
      </c>
      <c r="AE1304">
        <v>0</v>
      </c>
      <c r="AF1304" t="b">
        <v>0</v>
      </c>
    </row>
    <row r="1305" spans="1:35" x14ac:dyDescent="0.3">
      <c r="A1305" t="s">
        <v>2741</v>
      </c>
      <c r="B1305" t="s">
        <v>2698</v>
      </c>
      <c r="C1305" t="s">
        <v>479</v>
      </c>
      <c r="D1305">
        <v>76</v>
      </c>
      <c r="E1305">
        <v>1112</v>
      </c>
      <c r="F1305">
        <v>7</v>
      </c>
      <c r="G1305">
        <v>60</v>
      </c>
      <c r="H1305">
        <v>60</v>
      </c>
      <c r="I1305">
        <v>1</v>
      </c>
      <c r="J1305">
        <v>1</v>
      </c>
      <c r="K1305" t="s">
        <v>86</v>
      </c>
      <c r="P1305">
        <v>0</v>
      </c>
      <c r="R1305">
        <v>0</v>
      </c>
      <c r="T1305">
        <v>0</v>
      </c>
      <c r="U1305" t="b">
        <v>0</v>
      </c>
      <c r="Y1305">
        <v>0</v>
      </c>
      <c r="Z1305">
        <v>60</v>
      </c>
      <c r="AA1305">
        <v>0</v>
      </c>
      <c r="AB1305">
        <v>0</v>
      </c>
      <c r="AD1305">
        <v>0</v>
      </c>
      <c r="AE1305">
        <v>0</v>
      </c>
      <c r="AF1305" t="b">
        <v>0</v>
      </c>
    </row>
    <row r="1306" spans="1:35" x14ac:dyDescent="0.3">
      <c r="A1306" t="s">
        <v>2742</v>
      </c>
      <c r="B1306" t="s">
        <v>2743</v>
      </c>
      <c r="C1306" t="s">
        <v>479</v>
      </c>
      <c r="D1306">
        <v>12612</v>
      </c>
      <c r="E1306">
        <v>178322</v>
      </c>
      <c r="F1306">
        <v>51</v>
      </c>
      <c r="G1306">
        <v>120</v>
      </c>
      <c r="H1306">
        <v>60</v>
      </c>
      <c r="I1306">
        <v>1</v>
      </c>
      <c r="J1306">
        <v>1</v>
      </c>
      <c r="K1306" t="s">
        <v>86</v>
      </c>
      <c r="P1306">
        <v>0</v>
      </c>
      <c r="R1306">
        <v>0</v>
      </c>
      <c r="T1306">
        <v>0</v>
      </c>
      <c r="U1306" t="b">
        <v>0</v>
      </c>
      <c r="V1306">
        <v>9.2048215915093881</v>
      </c>
      <c r="Y1306">
        <v>0</v>
      </c>
      <c r="Z1306">
        <v>3404</v>
      </c>
      <c r="AA1306">
        <v>4.2165547855898503E-2</v>
      </c>
      <c r="AB1306">
        <v>4.7617683863729763</v>
      </c>
      <c r="AC1306">
        <v>4.3710834238214299E-2</v>
      </c>
      <c r="AD1306">
        <v>5.7096838766130198E-2</v>
      </c>
      <c r="AE1306">
        <v>0</v>
      </c>
      <c r="AF1306" t="b">
        <v>0</v>
      </c>
    </row>
    <row r="1307" spans="1:35" x14ac:dyDescent="0.3">
      <c r="A1307" t="s">
        <v>2744</v>
      </c>
      <c r="B1307" t="s">
        <v>2745</v>
      </c>
      <c r="C1307" t="s">
        <v>479</v>
      </c>
      <c r="D1307">
        <v>364</v>
      </c>
      <c r="E1307">
        <v>7841</v>
      </c>
      <c r="F1307">
        <v>19</v>
      </c>
      <c r="G1307">
        <v>60</v>
      </c>
      <c r="H1307">
        <v>60</v>
      </c>
      <c r="I1307">
        <v>1</v>
      </c>
      <c r="J1307">
        <v>1</v>
      </c>
      <c r="K1307" t="s">
        <v>86</v>
      </c>
      <c r="P1307">
        <v>0</v>
      </c>
      <c r="R1307">
        <v>0</v>
      </c>
      <c r="T1307">
        <v>0</v>
      </c>
      <c r="U1307" t="b">
        <v>0</v>
      </c>
      <c r="V1307">
        <v>5.739247311827957</v>
      </c>
      <c r="Y1307">
        <v>0</v>
      </c>
      <c r="Z1307">
        <v>280</v>
      </c>
      <c r="AA1307">
        <v>4.7790825836215897E-2</v>
      </c>
      <c r="AB1307">
        <v>4.3968187274909969</v>
      </c>
      <c r="AC1307">
        <v>2.6437382783890701E-2</v>
      </c>
      <c r="AD1307">
        <v>5.4570139543043197E-2</v>
      </c>
      <c r="AE1307">
        <v>0</v>
      </c>
      <c r="AF1307" t="b">
        <v>0</v>
      </c>
    </row>
    <row r="1308" spans="1:35" x14ac:dyDescent="0.3">
      <c r="A1308" t="s">
        <v>2746</v>
      </c>
      <c r="B1308" t="s">
        <v>2747</v>
      </c>
      <c r="C1308" t="s">
        <v>479</v>
      </c>
      <c r="D1308">
        <v>4385</v>
      </c>
      <c r="E1308">
        <v>83401</v>
      </c>
      <c r="F1308">
        <v>18</v>
      </c>
      <c r="G1308">
        <v>60</v>
      </c>
      <c r="H1308">
        <v>60</v>
      </c>
      <c r="I1308">
        <v>1</v>
      </c>
      <c r="J1308">
        <v>1</v>
      </c>
      <c r="K1308" t="s">
        <v>86</v>
      </c>
      <c r="P1308">
        <v>0</v>
      </c>
      <c r="R1308">
        <v>0</v>
      </c>
      <c r="T1308">
        <v>1</v>
      </c>
      <c r="U1308" t="b">
        <v>1</v>
      </c>
      <c r="V1308">
        <v>10.633171753318191</v>
      </c>
      <c r="W1308">
        <v>5.9636539606095846</v>
      </c>
      <c r="X1308" t="b">
        <v>1</v>
      </c>
      <c r="Y1308">
        <v>0</v>
      </c>
      <c r="Z1308">
        <v>1218</v>
      </c>
      <c r="AA1308">
        <v>6.0327911346796499E-2</v>
      </c>
      <c r="AB1308">
        <v>6.1302316499006322</v>
      </c>
      <c r="AC1308">
        <v>4.6912013831576498E-2</v>
      </c>
      <c r="AD1308">
        <v>7.3922214845126996E-2</v>
      </c>
      <c r="AE1308">
        <v>1</v>
      </c>
      <c r="AF1308" t="b">
        <v>1</v>
      </c>
      <c r="AG1308">
        <v>2.3284182761781302E-2</v>
      </c>
      <c r="AH1308">
        <v>2.5764546326185118</v>
      </c>
      <c r="AI1308" t="b">
        <v>1</v>
      </c>
    </row>
    <row r="1309" spans="1:35" x14ac:dyDescent="0.3">
      <c r="A1309" t="s">
        <v>2748</v>
      </c>
      <c r="B1309" t="s">
        <v>2749</v>
      </c>
      <c r="C1309" t="s">
        <v>479</v>
      </c>
      <c r="D1309">
        <v>172</v>
      </c>
      <c r="E1309">
        <v>2643</v>
      </c>
      <c r="F1309">
        <v>11</v>
      </c>
      <c r="G1309">
        <v>60</v>
      </c>
      <c r="H1309">
        <v>60</v>
      </c>
      <c r="I1309">
        <v>1</v>
      </c>
      <c r="J1309">
        <v>1</v>
      </c>
      <c r="K1309" t="s">
        <v>86</v>
      </c>
      <c r="P1309">
        <v>0</v>
      </c>
      <c r="R1309">
        <v>0</v>
      </c>
      <c r="T1309">
        <v>0</v>
      </c>
      <c r="U1309" t="b">
        <v>0</v>
      </c>
      <c r="V1309">
        <v>2.2641509433962259</v>
      </c>
      <c r="Y1309">
        <v>0</v>
      </c>
      <c r="Z1309">
        <v>83</v>
      </c>
      <c r="AA1309">
        <v>-1.1008770320350001E-4</v>
      </c>
      <c r="AB1309">
        <v>-1.0327022375215E-2</v>
      </c>
      <c r="AC1309">
        <v>-3.0303030303029999E-3</v>
      </c>
      <c r="AD1309">
        <v>-7.0729053318824E-3</v>
      </c>
      <c r="AE1309">
        <v>0</v>
      </c>
      <c r="AF1309" t="b">
        <v>0</v>
      </c>
    </row>
    <row r="1310" spans="1:35" x14ac:dyDescent="0.3">
      <c r="A1310" t="s">
        <v>2750</v>
      </c>
      <c r="B1310" t="s">
        <v>2751</v>
      </c>
      <c r="C1310" t="s">
        <v>479</v>
      </c>
      <c r="D1310">
        <v>748</v>
      </c>
      <c r="E1310">
        <v>12164</v>
      </c>
      <c r="F1310">
        <v>46</v>
      </c>
      <c r="G1310">
        <v>60</v>
      </c>
      <c r="H1310">
        <v>10</v>
      </c>
      <c r="I1310">
        <v>0.90833607365998037</v>
      </c>
      <c r="J1310">
        <v>0.91281111620094679</v>
      </c>
      <c r="K1310" t="s">
        <v>86</v>
      </c>
      <c r="P1310">
        <v>0</v>
      </c>
      <c r="R1310">
        <v>0</v>
      </c>
      <c r="T1310">
        <v>0</v>
      </c>
      <c r="U1310" t="b">
        <v>0</v>
      </c>
      <c r="V1310">
        <v>1.723755411255411</v>
      </c>
      <c r="Y1310">
        <v>0</v>
      </c>
      <c r="Z1310">
        <v>266</v>
      </c>
      <c r="AA1310">
        <v>1.0405734983500401E-2</v>
      </c>
      <c r="AB1310">
        <v>0.72756153436715121</v>
      </c>
      <c r="AC1310">
        <v>3.9872913854320001E-3</v>
      </c>
      <c r="AD1310">
        <v>2.1348452920323998E-3</v>
      </c>
      <c r="AE1310">
        <v>0</v>
      </c>
      <c r="AF1310" t="b">
        <v>0</v>
      </c>
    </row>
    <row r="1311" spans="1:35" x14ac:dyDescent="0.3">
      <c r="A1311" t="s">
        <v>2752</v>
      </c>
      <c r="B1311" t="s">
        <v>2753</v>
      </c>
      <c r="C1311" t="s">
        <v>479</v>
      </c>
      <c r="D1311">
        <v>1399</v>
      </c>
      <c r="E1311">
        <v>31316</v>
      </c>
      <c r="F1311">
        <v>417</v>
      </c>
      <c r="G1311">
        <v>72</v>
      </c>
      <c r="H1311">
        <v>1</v>
      </c>
      <c r="I1311">
        <v>3.2571209605313498E-2</v>
      </c>
      <c r="J1311">
        <v>0.34030261348005503</v>
      </c>
      <c r="K1311" t="s">
        <v>86</v>
      </c>
      <c r="P1311">
        <v>0</v>
      </c>
      <c r="R1311">
        <v>0</v>
      </c>
      <c r="T1311">
        <v>0</v>
      </c>
      <c r="U1311" t="b">
        <v>0</v>
      </c>
      <c r="V1311">
        <v>0.43703590889091959</v>
      </c>
      <c r="Y1311">
        <v>0</v>
      </c>
      <c r="Z1311">
        <v>558</v>
      </c>
      <c r="AA1311">
        <v>3.1359280495156E-3</v>
      </c>
      <c r="AB1311">
        <v>0.25921454005736111</v>
      </c>
      <c r="AC1311">
        <v>5.9050560310685996E-3</v>
      </c>
      <c r="AD1311">
        <v>6.0934138191789998E-4</v>
      </c>
      <c r="AE1311">
        <v>0</v>
      </c>
      <c r="AF1311" t="b">
        <v>0</v>
      </c>
    </row>
    <row r="1312" spans="1:35" x14ac:dyDescent="0.3">
      <c r="A1312" t="s">
        <v>2754</v>
      </c>
      <c r="B1312" t="s">
        <v>2755</v>
      </c>
      <c r="C1312" t="s">
        <v>479</v>
      </c>
      <c r="D1312">
        <v>1920</v>
      </c>
      <c r="E1312">
        <v>53581</v>
      </c>
      <c r="F1312">
        <v>408</v>
      </c>
      <c r="G1312">
        <v>62</v>
      </c>
      <c r="H1312">
        <v>1</v>
      </c>
      <c r="I1312">
        <v>3.7606614284914401E-2</v>
      </c>
      <c r="J1312">
        <v>0.1085205671969874</v>
      </c>
      <c r="K1312" t="s">
        <v>432</v>
      </c>
      <c r="L1312">
        <v>0.65442064106953024</v>
      </c>
      <c r="M1312">
        <v>0.28415015641293012</v>
      </c>
      <c r="N1312">
        <v>1.5775997356900901E-2</v>
      </c>
      <c r="O1312" t="s">
        <v>433</v>
      </c>
      <c r="P1312">
        <v>35748</v>
      </c>
      <c r="Q1312">
        <v>0.99820969005259041</v>
      </c>
      <c r="R1312">
        <v>12237</v>
      </c>
      <c r="S1312">
        <v>8.2454850044945599E-2</v>
      </c>
      <c r="T1312">
        <v>0</v>
      </c>
      <c r="U1312" t="b">
        <v>0</v>
      </c>
      <c r="V1312">
        <v>14.94423347961019</v>
      </c>
      <c r="Y1312">
        <v>0</v>
      </c>
      <c r="Z1312">
        <v>1466</v>
      </c>
      <c r="AA1312">
        <v>2.0063762092477299E-2</v>
      </c>
      <c r="AB1312">
        <v>1.4429880410565319</v>
      </c>
      <c r="AC1312">
        <v>-7.4462488851361003E-2</v>
      </c>
      <c r="AD1312">
        <v>7.8347413103060801E-2</v>
      </c>
      <c r="AE1312">
        <v>0</v>
      </c>
      <c r="AF1312" t="b">
        <v>0</v>
      </c>
    </row>
    <row r="1313" spans="1:35" x14ac:dyDescent="0.3">
      <c r="A1313" t="s">
        <v>2756</v>
      </c>
      <c r="B1313" t="s">
        <v>2757</v>
      </c>
      <c r="C1313" t="s">
        <v>479</v>
      </c>
      <c r="D1313">
        <v>68</v>
      </c>
      <c r="E1313">
        <v>799</v>
      </c>
      <c r="F1313">
        <v>3</v>
      </c>
      <c r="G1313">
        <v>60</v>
      </c>
      <c r="H1313">
        <v>60</v>
      </c>
      <c r="I1313">
        <v>1</v>
      </c>
      <c r="J1313">
        <v>1</v>
      </c>
      <c r="K1313" t="s">
        <v>86</v>
      </c>
      <c r="P1313">
        <v>0</v>
      </c>
      <c r="R1313">
        <v>0</v>
      </c>
      <c r="T1313">
        <v>0</v>
      </c>
      <c r="U1313" t="b">
        <v>0</v>
      </c>
      <c r="V1313">
        <v>0</v>
      </c>
      <c r="Y1313">
        <v>0</v>
      </c>
      <c r="Z1313">
        <v>28</v>
      </c>
      <c r="AA1313">
        <v>0</v>
      </c>
      <c r="AB1313">
        <v>0</v>
      </c>
      <c r="AC1313">
        <v>0</v>
      </c>
      <c r="AD1313">
        <v>0</v>
      </c>
      <c r="AE1313">
        <v>0</v>
      </c>
      <c r="AF1313" t="b">
        <v>0</v>
      </c>
    </row>
    <row r="1314" spans="1:35" x14ac:dyDescent="0.3">
      <c r="A1314" t="s">
        <v>2758</v>
      </c>
      <c r="B1314" t="s">
        <v>2759</v>
      </c>
      <c r="C1314" t="s">
        <v>479</v>
      </c>
      <c r="D1314">
        <v>456</v>
      </c>
      <c r="E1314">
        <v>9009</v>
      </c>
      <c r="F1314">
        <v>10</v>
      </c>
      <c r="G1314">
        <v>60</v>
      </c>
      <c r="H1314">
        <v>60</v>
      </c>
      <c r="I1314">
        <v>1</v>
      </c>
      <c r="J1314">
        <v>1</v>
      </c>
      <c r="K1314" t="s">
        <v>86</v>
      </c>
      <c r="P1314">
        <v>0</v>
      </c>
      <c r="R1314">
        <v>0</v>
      </c>
      <c r="T1314">
        <v>0</v>
      </c>
      <c r="U1314" t="b">
        <v>0</v>
      </c>
      <c r="V1314">
        <v>2.3875000000000002</v>
      </c>
      <c r="Y1314">
        <v>0</v>
      </c>
      <c r="Z1314">
        <v>426</v>
      </c>
      <c r="AA1314">
        <v>1.2664441841786901E-2</v>
      </c>
      <c r="AB1314">
        <v>1.0070879824400949</v>
      </c>
      <c r="AC1314">
        <v>5.6243159046897003E-3</v>
      </c>
      <c r="AD1314">
        <v>1.07330627366585E-2</v>
      </c>
      <c r="AE1314">
        <v>0</v>
      </c>
      <c r="AF1314" t="b">
        <v>0</v>
      </c>
    </row>
    <row r="1315" spans="1:35" x14ac:dyDescent="0.3">
      <c r="A1315" t="s">
        <v>2760</v>
      </c>
      <c r="B1315" t="s">
        <v>2761</v>
      </c>
      <c r="C1315" t="s">
        <v>479</v>
      </c>
      <c r="D1315">
        <v>670</v>
      </c>
      <c r="E1315">
        <v>18440</v>
      </c>
      <c r="F1315">
        <v>241</v>
      </c>
      <c r="G1315">
        <v>66</v>
      </c>
      <c r="H1315">
        <v>1</v>
      </c>
      <c r="I1315">
        <v>9.21366594360086E-2</v>
      </c>
      <c r="J1315">
        <v>0.40909090909090912</v>
      </c>
      <c r="K1315" t="s">
        <v>432</v>
      </c>
      <c r="L1315">
        <v>0.60518882728318857</v>
      </c>
      <c r="M1315">
        <v>1</v>
      </c>
      <c r="N1315">
        <v>2.3595505617977498E-2</v>
      </c>
      <c r="O1315" t="s">
        <v>433</v>
      </c>
      <c r="P1315">
        <v>11297</v>
      </c>
      <c r="Q1315">
        <v>0.96963795697972921</v>
      </c>
      <c r="R1315">
        <v>0</v>
      </c>
      <c r="T1315">
        <v>0</v>
      </c>
      <c r="U1315" t="b">
        <v>0</v>
      </c>
      <c r="V1315">
        <v>10.462130750605329</v>
      </c>
      <c r="Y1315">
        <v>0</v>
      </c>
      <c r="Z1315">
        <v>444</v>
      </c>
      <c r="AA1315">
        <v>9.6075691128041305E-2</v>
      </c>
      <c r="AB1315">
        <v>6.9623268310768314</v>
      </c>
      <c r="AC1315">
        <v>4.9319746908264399E-2</v>
      </c>
      <c r="AD1315">
        <v>0.15853132430666539</v>
      </c>
      <c r="AE1315">
        <v>0</v>
      </c>
      <c r="AF1315" t="b">
        <v>0</v>
      </c>
    </row>
    <row r="1316" spans="1:35" x14ac:dyDescent="0.3">
      <c r="A1316" t="s">
        <v>2762</v>
      </c>
      <c r="B1316" t="s">
        <v>2763</v>
      </c>
      <c r="C1316" t="s">
        <v>479</v>
      </c>
      <c r="D1316">
        <v>112</v>
      </c>
      <c r="E1316">
        <v>1226</v>
      </c>
      <c r="F1316">
        <v>12</v>
      </c>
      <c r="G1316">
        <v>120</v>
      </c>
      <c r="H1316">
        <v>60</v>
      </c>
      <c r="I1316">
        <v>1</v>
      </c>
      <c r="J1316">
        <v>1</v>
      </c>
      <c r="K1316" t="s">
        <v>86</v>
      </c>
      <c r="P1316">
        <v>0</v>
      </c>
      <c r="R1316">
        <v>0</v>
      </c>
      <c r="T1316">
        <v>0</v>
      </c>
      <c r="U1316" t="b">
        <v>0</v>
      </c>
      <c r="Y1316">
        <v>0</v>
      </c>
      <c r="Z1316">
        <v>64</v>
      </c>
      <c r="AA1316">
        <v>0</v>
      </c>
      <c r="AB1316">
        <v>0</v>
      </c>
      <c r="AD1316">
        <v>0</v>
      </c>
      <c r="AE1316">
        <v>0</v>
      </c>
      <c r="AF1316" t="b">
        <v>0</v>
      </c>
    </row>
    <row r="1317" spans="1:35" x14ac:dyDescent="0.3">
      <c r="A1317" t="s">
        <v>2764</v>
      </c>
      <c r="B1317" t="s">
        <v>2765</v>
      </c>
      <c r="C1317" t="s">
        <v>479</v>
      </c>
      <c r="D1317">
        <v>2509</v>
      </c>
      <c r="E1317">
        <v>40073</v>
      </c>
      <c r="F1317">
        <v>253</v>
      </c>
      <c r="G1317">
        <v>81</v>
      </c>
      <c r="H1317">
        <v>1</v>
      </c>
      <c r="I1317">
        <v>0.18650961994360291</v>
      </c>
      <c r="J1317">
        <v>0.41402948633674519</v>
      </c>
      <c r="K1317" t="s">
        <v>86</v>
      </c>
      <c r="P1317">
        <v>0</v>
      </c>
      <c r="R1317">
        <v>0</v>
      </c>
      <c r="T1317">
        <v>0</v>
      </c>
      <c r="U1317" t="b">
        <v>0</v>
      </c>
      <c r="V1317">
        <v>2.9492580341350241</v>
      </c>
      <c r="Y1317">
        <v>0</v>
      </c>
      <c r="Z1317">
        <v>1124</v>
      </c>
      <c r="AA1317">
        <v>1.28815359886896E-2</v>
      </c>
      <c r="AB1317">
        <v>1.220649702302675</v>
      </c>
      <c r="AC1317">
        <v>4.1520417156099996E-3</v>
      </c>
      <c r="AD1317">
        <v>1.8471704069979399E-2</v>
      </c>
      <c r="AE1317">
        <v>0</v>
      </c>
      <c r="AF1317" t="b">
        <v>0</v>
      </c>
    </row>
    <row r="1318" spans="1:35" x14ac:dyDescent="0.3">
      <c r="A1318" t="s">
        <v>2766</v>
      </c>
      <c r="B1318" t="s">
        <v>2763</v>
      </c>
      <c r="C1318" t="s">
        <v>479</v>
      </c>
      <c r="D1318">
        <v>137</v>
      </c>
      <c r="E1318">
        <v>2384</v>
      </c>
      <c r="F1318">
        <v>7</v>
      </c>
      <c r="G1318">
        <v>60</v>
      </c>
      <c r="H1318">
        <v>60</v>
      </c>
      <c r="I1318">
        <v>1</v>
      </c>
      <c r="J1318">
        <v>1</v>
      </c>
      <c r="K1318" t="s">
        <v>86</v>
      </c>
      <c r="P1318">
        <v>0</v>
      </c>
      <c r="R1318">
        <v>0</v>
      </c>
      <c r="T1318">
        <v>0</v>
      </c>
      <c r="U1318" t="b">
        <v>0</v>
      </c>
      <c r="V1318">
        <v>2.3684210526315792</v>
      </c>
      <c r="Y1318">
        <v>0</v>
      </c>
      <c r="Z1318">
        <v>115</v>
      </c>
      <c r="AA1318">
        <v>-6.6906151773686003E-3</v>
      </c>
      <c r="AB1318">
        <v>-0.64782608695652177</v>
      </c>
      <c r="AC1318">
        <v>-1.7948717948717899E-2</v>
      </c>
      <c r="AD1318">
        <v>1.9607843137254902E-2</v>
      </c>
      <c r="AE1318">
        <v>0</v>
      </c>
      <c r="AF1318" t="b">
        <v>0</v>
      </c>
    </row>
    <row r="1319" spans="1:35" x14ac:dyDescent="0.3">
      <c r="A1319" t="s">
        <v>2767</v>
      </c>
      <c r="B1319" t="s">
        <v>2768</v>
      </c>
      <c r="C1319" t="s">
        <v>479</v>
      </c>
      <c r="D1319">
        <v>511</v>
      </c>
      <c r="E1319">
        <v>11847</v>
      </c>
      <c r="F1319">
        <v>31</v>
      </c>
      <c r="G1319">
        <v>60</v>
      </c>
      <c r="H1319">
        <v>60</v>
      </c>
      <c r="I1319">
        <v>0.83371317633156072</v>
      </c>
      <c r="J1319">
        <v>0.91916167664670656</v>
      </c>
      <c r="K1319" t="s">
        <v>86</v>
      </c>
      <c r="P1319">
        <v>0</v>
      </c>
      <c r="R1319">
        <v>0</v>
      </c>
      <c r="T1319">
        <v>0</v>
      </c>
      <c r="U1319" t="b">
        <v>0</v>
      </c>
      <c r="V1319">
        <v>6.7107438016528924</v>
      </c>
      <c r="Y1319">
        <v>0</v>
      </c>
      <c r="Z1319">
        <v>411</v>
      </c>
      <c r="AA1319">
        <v>9.0216109767069994E-3</v>
      </c>
      <c r="AB1319">
        <v>0.66521576558072915</v>
      </c>
      <c r="AC1319">
        <v>-6.1642040758733002E-3</v>
      </c>
      <c r="AD1319">
        <v>1.5288434214265401E-2</v>
      </c>
      <c r="AE1319">
        <v>0</v>
      </c>
      <c r="AF1319" t="b">
        <v>0</v>
      </c>
    </row>
    <row r="1320" spans="1:35" x14ac:dyDescent="0.3">
      <c r="A1320" t="s">
        <v>2769</v>
      </c>
      <c r="B1320" t="s">
        <v>2770</v>
      </c>
      <c r="C1320" t="s">
        <v>479</v>
      </c>
      <c r="D1320">
        <v>2969</v>
      </c>
      <c r="E1320">
        <v>88049</v>
      </c>
      <c r="F1320">
        <v>15</v>
      </c>
      <c r="G1320">
        <v>60</v>
      </c>
      <c r="H1320">
        <v>60</v>
      </c>
      <c r="I1320">
        <v>1</v>
      </c>
      <c r="J1320">
        <v>1</v>
      </c>
      <c r="K1320" t="s">
        <v>432</v>
      </c>
      <c r="L1320">
        <v>0.68644901265041658</v>
      </c>
      <c r="M1320">
        <v>1</v>
      </c>
      <c r="N1320">
        <v>1</v>
      </c>
      <c r="O1320" t="s">
        <v>433</v>
      </c>
      <c r="P1320">
        <v>0</v>
      </c>
      <c r="R1320">
        <v>0</v>
      </c>
      <c r="T1320">
        <v>0</v>
      </c>
      <c r="U1320" t="b">
        <v>0</v>
      </c>
      <c r="V1320">
        <v>8.3690463321854534</v>
      </c>
      <c r="Y1320">
        <v>0</v>
      </c>
      <c r="Z1320">
        <v>2446</v>
      </c>
      <c r="AA1320">
        <v>-1.101033952399E-2</v>
      </c>
      <c r="AB1320">
        <v>-0.85988901229243231</v>
      </c>
      <c r="AC1320">
        <v>-5.3700695374589602E-2</v>
      </c>
      <c r="AD1320">
        <v>2.6641503570091599E-2</v>
      </c>
      <c r="AE1320">
        <v>0</v>
      </c>
      <c r="AF1320" t="b">
        <v>0</v>
      </c>
    </row>
    <row r="1321" spans="1:35" x14ac:dyDescent="0.3">
      <c r="A1321" t="s">
        <v>2771</v>
      </c>
      <c r="B1321" t="s">
        <v>2772</v>
      </c>
      <c r="C1321" t="s">
        <v>479</v>
      </c>
      <c r="D1321">
        <v>1779</v>
      </c>
      <c r="E1321">
        <v>31724</v>
      </c>
      <c r="F1321">
        <v>33</v>
      </c>
      <c r="G1321">
        <v>60</v>
      </c>
      <c r="H1321">
        <v>2</v>
      </c>
      <c r="I1321">
        <v>0.91218005295675197</v>
      </c>
      <c r="J1321">
        <v>0.92463439029005479</v>
      </c>
      <c r="K1321" t="s">
        <v>86</v>
      </c>
      <c r="P1321">
        <v>0</v>
      </c>
      <c r="R1321">
        <v>0</v>
      </c>
      <c r="T1321">
        <v>1</v>
      </c>
      <c r="U1321" t="b">
        <v>1</v>
      </c>
      <c r="V1321">
        <v>7.5215910476402517</v>
      </c>
      <c r="W1321">
        <v>0</v>
      </c>
      <c r="X1321" t="b">
        <v>1</v>
      </c>
      <c r="Y1321">
        <v>0</v>
      </c>
      <c r="Z1321">
        <v>910</v>
      </c>
      <c r="AA1321">
        <v>2.6105914643820501E-2</v>
      </c>
      <c r="AB1321">
        <v>2.3196366732191591</v>
      </c>
      <c r="AC1321">
        <v>-9.2254644447840005E-3</v>
      </c>
      <c r="AD1321">
        <v>5.44576000678898E-2</v>
      </c>
      <c r="AE1321">
        <v>1</v>
      </c>
      <c r="AF1321" t="b">
        <v>1</v>
      </c>
      <c r="AG1321">
        <v>0</v>
      </c>
      <c r="AH1321">
        <v>0</v>
      </c>
      <c r="AI1321" t="b">
        <v>1</v>
      </c>
    </row>
    <row r="1322" spans="1:35" x14ac:dyDescent="0.3">
      <c r="A1322" t="s">
        <v>2773</v>
      </c>
      <c r="B1322" t="s">
        <v>2774</v>
      </c>
      <c r="C1322" t="s">
        <v>479</v>
      </c>
      <c r="D1322">
        <v>10968</v>
      </c>
      <c r="E1322">
        <v>240211</v>
      </c>
      <c r="F1322">
        <v>323</v>
      </c>
      <c r="G1322">
        <v>60</v>
      </c>
      <c r="H1322">
        <v>1</v>
      </c>
      <c r="I1322">
        <v>0.79236171532527655</v>
      </c>
      <c r="J1322">
        <v>0.86635240487969123</v>
      </c>
      <c r="K1322" t="s">
        <v>86</v>
      </c>
      <c r="P1322">
        <v>0</v>
      </c>
      <c r="R1322">
        <v>0</v>
      </c>
      <c r="T1322">
        <v>1</v>
      </c>
      <c r="U1322" t="b">
        <v>1</v>
      </c>
      <c r="V1322">
        <v>5.6127674751044223</v>
      </c>
      <c r="W1322">
        <v>3.7504304825820132</v>
      </c>
      <c r="X1322" t="b">
        <v>1</v>
      </c>
      <c r="Y1322">
        <v>0</v>
      </c>
      <c r="Z1322">
        <v>4800</v>
      </c>
      <c r="AA1322">
        <v>3.8575066089660603E-2</v>
      </c>
      <c r="AB1322">
        <v>3.1342052053656611</v>
      </c>
      <c r="AC1322">
        <v>2.7792531949489802E-2</v>
      </c>
      <c r="AD1322">
        <v>5.5379189180047202E-2</v>
      </c>
      <c r="AE1322">
        <v>2</v>
      </c>
      <c r="AF1322" t="b">
        <v>1</v>
      </c>
      <c r="AG1322">
        <v>2.3553537909570401E-2</v>
      </c>
      <c r="AH1322">
        <v>2.2703454235017322</v>
      </c>
      <c r="AI1322" t="b">
        <v>1</v>
      </c>
    </row>
    <row r="1323" spans="1:35" x14ac:dyDescent="0.3">
      <c r="A1323" t="s">
        <v>2775</v>
      </c>
      <c r="B1323" t="s">
        <v>2776</v>
      </c>
      <c r="C1323" t="s">
        <v>479</v>
      </c>
      <c r="D1323">
        <v>354</v>
      </c>
      <c r="E1323">
        <v>13342</v>
      </c>
      <c r="F1323">
        <v>144</v>
      </c>
      <c r="G1323">
        <v>60</v>
      </c>
      <c r="H1323">
        <v>1</v>
      </c>
      <c r="I1323">
        <v>0.77687003447758962</v>
      </c>
      <c r="J1323">
        <v>0.81876274643099933</v>
      </c>
      <c r="K1323" t="s">
        <v>432</v>
      </c>
      <c r="L1323">
        <v>0.18280081577158391</v>
      </c>
      <c r="M1323">
        <v>1</v>
      </c>
      <c r="N1323">
        <v>8.5533655634063999E-3</v>
      </c>
      <c r="O1323" t="s">
        <v>433</v>
      </c>
      <c r="P1323">
        <v>2666</v>
      </c>
      <c r="Q1323">
        <v>0.18867216804201051</v>
      </c>
      <c r="R1323">
        <v>0</v>
      </c>
      <c r="T1323">
        <v>0</v>
      </c>
      <c r="U1323" t="b">
        <v>0</v>
      </c>
      <c r="V1323">
        <v>2.841780821917808</v>
      </c>
      <c r="Y1323">
        <v>0</v>
      </c>
      <c r="Z1323">
        <v>508</v>
      </c>
      <c r="AA1323">
        <v>3.3727768501125098E-2</v>
      </c>
      <c r="AB1323">
        <v>2.578285100726045</v>
      </c>
      <c r="AC1323">
        <v>2.2030552980949299E-2</v>
      </c>
      <c r="AD1323">
        <v>4.7788880201421698E-2</v>
      </c>
      <c r="AE1323">
        <v>0</v>
      </c>
      <c r="AF1323" t="b">
        <v>0</v>
      </c>
    </row>
    <row r="1324" spans="1:35" x14ac:dyDescent="0.3">
      <c r="A1324" t="s">
        <v>2777</v>
      </c>
      <c r="B1324" t="s">
        <v>2778</v>
      </c>
      <c r="C1324" t="s">
        <v>479</v>
      </c>
      <c r="D1324">
        <v>729</v>
      </c>
      <c r="E1324">
        <v>17294</v>
      </c>
      <c r="F1324">
        <v>19</v>
      </c>
      <c r="G1324">
        <v>60</v>
      </c>
      <c r="H1324">
        <v>60</v>
      </c>
      <c r="I1324">
        <v>1</v>
      </c>
      <c r="J1324">
        <v>1</v>
      </c>
      <c r="K1324" t="s">
        <v>432</v>
      </c>
      <c r="L1324">
        <v>0.52714636567905104</v>
      </c>
      <c r="M1324">
        <v>1</v>
      </c>
      <c r="N1324">
        <v>1</v>
      </c>
      <c r="O1324" t="s">
        <v>433</v>
      </c>
      <c r="P1324">
        <v>0</v>
      </c>
      <c r="R1324">
        <v>0</v>
      </c>
      <c r="T1324">
        <v>0</v>
      </c>
      <c r="U1324" t="b">
        <v>0</v>
      </c>
      <c r="V1324">
        <v>3.9625468164794011</v>
      </c>
      <c r="Y1324">
        <v>0</v>
      </c>
      <c r="Z1324">
        <v>511</v>
      </c>
      <c r="AA1324">
        <v>2.7352350232600599E-2</v>
      </c>
      <c r="AB1324">
        <v>3.0775408544488778</v>
      </c>
      <c r="AC1324">
        <v>1.31960090119085E-2</v>
      </c>
      <c r="AD1324">
        <v>4.8665089557282798E-2</v>
      </c>
      <c r="AE1324">
        <v>0</v>
      </c>
      <c r="AF1324" t="b">
        <v>0</v>
      </c>
    </row>
    <row r="1325" spans="1:35" x14ac:dyDescent="0.3">
      <c r="A1325" t="s">
        <v>2779</v>
      </c>
      <c r="B1325" t="s">
        <v>2780</v>
      </c>
      <c r="C1325" t="s">
        <v>479</v>
      </c>
      <c r="D1325">
        <v>1415</v>
      </c>
      <c r="E1325">
        <v>33974</v>
      </c>
      <c r="F1325">
        <v>231</v>
      </c>
      <c r="G1325">
        <v>63</v>
      </c>
      <c r="H1325">
        <v>1</v>
      </c>
      <c r="I1325">
        <v>0.1262435980455642</v>
      </c>
      <c r="J1325">
        <v>0.32420874947249961</v>
      </c>
      <c r="K1325" t="s">
        <v>432</v>
      </c>
      <c r="L1325">
        <v>0.80011253340835564</v>
      </c>
      <c r="M1325">
        <v>0.99718508092892322</v>
      </c>
      <c r="N1325">
        <v>0.1560829817158931</v>
      </c>
      <c r="O1325" t="s">
        <v>433</v>
      </c>
      <c r="P1325">
        <v>24001</v>
      </c>
      <c r="Q1325">
        <v>0.99987500520811645</v>
      </c>
      <c r="R1325">
        <v>18</v>
      </c>
      <c r="S1325">
        <v>0.3888888888888889</v>
      </c>
      <c r="T1325">
        <v>0</v>
      </c>
      <c r="U1325" t="b">
        <v>0</v>
      </c>
      <c r="V1325">
        <v>8.0465909991884033</v>
      </c>
      <c r="Y1325">
        <v>0</v>
      </c>
      <c r="Z1325">
        <v>921</v>
      </c>
      <c r="AA1325">
        <v>3.5681775797977801E-2</v>
      </c>
      <c r="AB1325">
        <v>2.8225657399372119</v>
      </c>
      <c r="AC1325">
        <v>6.1181553085019999E-4</v>
      </c>
      <c r="AD1325">
        <v>9.7560593427053602E-2</v>
      </c>
      <c r="AE1325">
        <v>0</v>
      </c>
      <c r="AF1325" t="b">
        <v>0</v>
      </c>
    </row>
    <row r="1326" spans="1:35" x14ac:dyDescent="0.3">
      <c r="A1326" t="s">
        <v>2781</v>
      </c>
      <c r="B1326" t="s">
        <v>2743</v>
      </c>
      <c r="C1326" t="s">
        <v>479</v>
      </c>
      <c r="D1326">
        <v>79</v>
      </c>
      <c r="E1326">
        <v>938</v>
      </c>
      <c r="F1326">
        <v>19</v>
      </c>
      <c r="G1326">
        <v>60</v>
      </c>
      <c r="H1326">
        <v>60</v>
      </c>
      <c r="I1326">
        <v>1</v>
      </c>
      <c r="J1326">
        <v>1</v>
      </c>
      <c r="K1326" t="s">
        <v>86</v>
      </c>
      <c r="P1326">
        <v>0</v>
      </c>
      <c r="R1326">
        <v>0</v>
      </c>
      <c r="T1326">
        <v>0</v>
      </c>
      <c r="U1326" t="b">
        <v>0</v>
      </c>
      <c r="V1326">
        <v>0</v>
      </c>
      <c r="Y1326">
        <v>0</v>
      </c>
      <c r="Z1326">
        <v>53</v>
      </c>
      <c r="AA1326">
        <v>0</v>
      </c>
      <c r="AB1326">
        <v>0</v>
      </c>
      <c r="AC1326">
        <v>0</v>
      </c>
      <c r="AD1326">
        <v>0</v>
      </c>
      <c r="AE1326">
        <v>0</v>
      </c>
      <c r="AF1326" t="b">
        <v>0</v>
      </c>
    </row>
    <row r="1327" spans="1:35" x14ac:dyDescent="0.3">
      <c r="A1327" t="s">
        <v>2782</v>
      </c>
      <c r="B1327" t="s">
        <v>2743</v>
      </c>
      <c r="C1327" t="s">
        <v>479</v>
      </c>
      <c r="D1327">
        <v>223</v>
      </c>
      <c r="E1327">
        <v>6158</v>
      </c>
      <c r="F1327">
        <v>8</v>
      </c>
      <c r="G1327">
        <v>60</v>
      </c>
      <c r="H1327">
        <v>60</v>
      </c>
      <c r="I1327">
        <v>1</v>
      </c>
      <c r="J1327">
        <v>1</v>
      </c>
      <c r="K1327" t="s">
        <v>86</v>
      </c>
      <c r="P1327">
        <v>0</v>
      </c>
      <c r="R1327">
        <v>0</v>
      </c>
      <c r="T1327">
        <v>0</v>
      </c>
      <c r="U1327" t="b">
        <v>0</v>
      </c>
      <c r="V1327">
        <v>1.0457516339869279</v>
      </c>
      <c r="Y1327">
        <v>0</v>
      </c>
      <c r="Z1327">
        <v>291</v>
      </c>
      <c r="AA1327">
        <v>1.5475648611743199E-2</v>
      </c>
      <c r="AB1327">
        <v>1.168384879725086</v>
      </c>
      <c r="AC1327">
        <v>-3.4364261168383999E-3</v>
      </c>
      <c r="AD1327">
        <v>2.8384279475982498E-2</v>
      </c>
      <c r="AE1327">
        <v>0</v>
      </c>
      <c r="AF1327" t="b">
        <v>0</v>
      </c>
    </row>
    <row r="1328" spans="1:35" x14ac:dyDescent="0.3">
      <c r="A1328" t="s">
        <v>2783</v>
      </c>
      <c r="B1328" t="s">
        <v>2743</v>
      </c>
      <c r="C1328" t="s">
        <v>479</v>
      </c>
      <c r="D1328">
        <v>91</v>
      </c>
      <c r="E1328">
        <v>1133</v>
      </c>
      <c r="F1328">
        <v>5</v>
      </c>
      <c r="G1328">
        <v>120</v>
      </c>
      <c r="H1328">
        <v>60</v>
      </c>
      <c r="I1328">
        <v>1</v>
      </c>
      <c r="J1328">
        <v>1</v>
      </c>
      <c r="K1328" t="s">
        <v>86</v>
      </c>
      <c r="P1328">
        <v>0</v>
      </c>
      <c r="R1328">
        <v>0</v>
      </c>
      <c r="T1328">
        <v>0</v>
      </c>
      <c r="U1328" t="b">
        <v>0</v>
      </c>
      <c r="V1328">
        <v>0.90909090909090917</v>
      </c>
      <c r="Y1328">
        <v>0</v>
      </c>
      <c r="Z1328">
        <v>53</v>
      </c>
      <c r="AA1328">
        <v>2.2367194780987799E-2</v>
      </c>
      <c r="AB1328">
        <v>2.2641509433962259</v>
      </c>
      <c r="AC1328">
        <v>3.06122448979591E-2</v>
      </c>
      <c r="AD1328">
        <v>4.08163265306122E-2</v>
      </c>
      <c r="AE1328">
        <v>0</v>
      </c>
      <c r="AF1328" t="b">
        <v>0</v>
      </c>
    </row>
    <row r="1329" spans="1:35" x14ac:dyDescent="0.3">
      <c r="A1329" t="s">
        <v>2784</v>
      </c>
      <c r="B1329" t="s">
        <v>2785</v>
      </c>
      <c r="C1329" t="s">
        <v>479</v>
      </c>
      <c r="D1329">
        <v>1235</v>
      </c>
      <c r="E1329">
        <v>15669</v>
      </c>
      <c r="F1329">
        <v>299</v>
      </c>
      <c r="G1329">
        <v>175</v>
      </c>
      <c r="H1329">
        <v>1</v>
      </c>
      <c r="I1329">
        <v>0.96094198736358416</v>
      </c>
      <c r="J1329">
        <v>0.93477750381589764</v>
      </c>
      <c r="K1329" t="s">
        <v>86</v>
      </c>
      <c r="P1329">
        <v>0</v>
      </c>
      <c r="R1329">
        <v>0</v>
      </c>
      <c r="T1329">
        <v>0</v>
      </c>
      <c r="U1329" t="b">
        <v>0</v>
      </c>
      <c r="V1329">
        <v>15.406531531531529</v>
      </c>
      <c r="Y1329">
        <v>0</v>
      </c>
      <c r="Z1329">
        <v>712</v>
      </c>
      <c r="AA1329">
        <v>1.40083676300711E-2</v>
      </c>
      <c r="AB1329">
        <v>2.569331861958267</v>
      </c>
      <c r="AC1329">
        <v>-1.97815522496568E-2</v>
      </c>
      <c r="AD1329">
        <v>2.2382786610374399E-2</v>
      </c>
      <c r="AE1329">
        <v>0</v>
      </c>
      <c r="AF1329" t="b">
        <v>0</v>
      </c>
    </row>
    <row r="1330" spans="1:35" x14ac:dyDescent="0.3">
      <c r="A1330" t="s">
        <v>2786</v>
      </c>
      <c r="B1330" t="s">
        <v>2785</v>
      </c>
      <c r="C1330" t="s">
        <v>479</v>
      </c>
      <c r="D1330">
        <v>2223</v>
      </c>
      <c r="E1330">
        <v>51364</v>
      </c>
      <c r="F1330">
        <v>347</v>
      </c>
      <c r="G1330">
        <v>60</v>
      </c>
      <c r="H1330">
        <v>1</v>
      </c>
      <c r="I1330">
        <v>5.3422630636243203E-2</v>
      </c>
      <c r="J1330">
        <v>0.2389012260436299</v>
      </c>
      <c r="K1330" t="s">
        <v>432</v>
      </c>
      <c r="L1330">
        <v>0.76315151062757758</v>
      </c>
      <c r="M1330">
        <v>0.96541128269776244</v>
      </c>
      <c r="N1330">
        <v>1.3424624037168299E-2</v>
      </c>
      <c r="O1330" t="s">
        <v>433</v>
      </c>
      <c r="P1330">
        <v>40346</v>
      </c>
      <c r="Q1330">
        <v>0.95089971744410839</v>
      </c>
      <c r="R1330">
        <v>341</v>
      </c>
      <c r="S1330">
        <v>0.27859237536656889</v>
      </c>
      <c r="T1330">
        <v>0</v>
      </c>
      <c r="U1330" t="b">
        <v>0</v>
      </c>
      <c r="V1330">
        <v>10.169164765938961</v>
      </c>
      <c r="Y1330">
        <v>0</v>
      </c>
      <c r="Z1330">
        <v>2282</v>
      </c>
      <c r="AA1330">
        <v>1.5025128541141001E-2</v>
      </c>
      <c r="AB1330">
        <v>1.272977189574473</v>
      </c>
      <c r="AC1330">
        <v>3.72535653622642E-2</v>
      </c>
      <c r="AD1330">
        <v>1.0586560812924301E-2</v>
      </c>
      <c r="AE1330">
        <v>0</v>
      </c>
      <c r="AF1330" t="b">
        <v>0</v>
      </c>
    </row>
    <row r="1331" spans="1:35" x14ac:dyDescent="0.3">
      <c r="A1331" t="s">
        <v>2787</v>
      </c>
      <c r="B1331" t="s">
        <v>2788</v>
      </c>
      <c r="C1331" t="s">
        <v>479</v>
      </c>
      <c r="D1331">
        <v>1400</v>
      </c>
      <c r="E1331">
        <v>60102</v>
      </c>
      <c r="F1331">
        <v>277</v>
      </c>
      <c r="G1331">
        <v>60</v>
      </c>
      <c r="H1331">
        <v>1</v>
      </c>
      <c r="I1331">
        <v>2.8468270606635301E-2</v>
      </c>
      <c r="J1331">
        <v>0.2524308152580404</v>
      </c>
      <c r="K1331" t="s">
        <v>86</v>
      </c>
      <c r="P1331">
        <v>0</v>
      </c>
      <c r="R1331">
        <v>0</v>
      </c>
      <c r="T1331">
        <v>1</v>
      </c>
      <c r="U1331" t="b">
        <v>1</v>
      </c>
      <c r="V1331">
        <v>9.7998235519068846</v>
      </c>
      <c r="W1331">
        <v>2.5242003758952918</v>
      </c>
      <c r="X1331" t="b">
        <v>1</v>
      </c>
      <c r="Y1331">
        <v>0</v>
      </c>
      <c r="Z1331">
        <v>1414</v>
      </c>
      <c r="AA1331">
        <v>0.12904147123016541</v>
      </c>
      <c r="AB1331">
        <v>8.7205372086867001</v>
      </c>
      <c r="AC1331">
        <v>9.3431747633532097E-2</v>
      </c>
      <c r="AD1331">
        <v>0.1654921577237739</v>
      </c>
      <c r="AE1331">
        <v>1</v>
      </c>
      <c r="AF1331" t="b">
        <v>1</v>
      </c>
      <c r="AG1331">
        <v>2.6347975077585201E-2</v>
      </c>
      <c r="AH1331">
        <v>2.8439438636003711</v>
      </c>
      <c r="AI1331" t="b">
        <v>1</v>
      </c>
    </row>
    <row r="1332" spans="1:35" x14ac:dyDescent="0.3">
      <c r="A1332" t="s">
        <v>2789</v>
      </c>
      <c r="B1332" t="s">
        <v>2790</v>
      </c>
      <c r="C1332" t="s">
        <v>479</v>
      </c>
      <c r="D1332">
        <v>144</v>
      </c>
      <c r="E1332">
        <v>2477</v>
      </c>
      <c r="F1332">
        <v>187</v>
      </c>
      <c r="G1332">
        <v>71</v>
      </c>
      <c r="H1332">
        <v>1</v>
      </c>
      <c r="I1332">
        <v>2.5030278562777501E-2</v>
      </c>
      <c r="J1332">
        <v>0.30522701259061419</v>
      </c>
      <c r="K1332" t="s">
        <v>432</v>
      </c>
      <c r="L1332">
        <v>0.58718046547119418</v>
      </c>
      <c r="M1332">
        <v>0.72458410351201474</v>
      </c>
      <c r="N1332">
        <v>1.03963612735542E-2</v>
      </c>
      <c r="O1332" t="s">
        <v>433</v>
      </c>
      <c r="P1332">
        <v>1523</v>
      </c>
      <c r="Q1332">
        <v>0.99868680236375562</v>
      </c>
      <c r="R1332">
        <v>236</v>
      </c>
      <c r="S1332">
        <v>0.23305084745762711</v>
      </c>
      <c r="T1332">
        <v>0</v>
      </c>
      <c r="U1332" t="b">
        <v>0</v>
      </c>
      <c r="V1332">
        <v>13.018376068376069</v>
      </c>
      <c r="Y1332">
        <v>0</v>
      </c>
      <c r="Z1332">
        <v>99</v>
      </c>
      <c r="AA1332">
        <v>0.1216814624806086</v>
      </c>
      <c r="AB1332">
        <v>8.9243827160493829</v>
      </c>
      <c r="AC1332">
        <v>2.4836864667629199E-2</v>
      </c>
      <c r="AD1332">
        <v>0.20150088330194321</v>
      </c>
      <c r="AE1332">
        <v>0</v>
      </c>
      <c r="AF1332" t="b">
        <v>0</v>
      </c>
    </row>
    <row r="1333" spans="1:35" x14ac:dyDescent="0.3">
      <c r="A1333" t="s">
        <v>2791</v>
      </c>
      <c r="B1333" t="s">
        <v>2792</v>
      </c>
      <c r="C1333" t="s">
        <v>479</v>
      </c>
      <c r="D1333">
        <v>1537</v>
      </c>
      <c r="E1333">
        <v>42562</v>
      </c>
      <c r="F1333">
        <v>350</v>
      </c>
      <c r="G1333">
        <v>67</v>
      </c>
      <c r="H1333">
        <v>1</v>
      </c>
      <c r="I1333">
        <v>2.3847563554344201E-2</v>
      </c>
      <c r="J1333">
        <v>0.2339455782312925</v>
      </c>
      <c r="K1333" t="s">
        <v>432</v>
      </c>
      <c r="L1333">
        <v>0.59807256235827666</v>
      </c>
      <c r="M1333">
        <v>0.56479548660084622</v>
      </c>
      <c r="N1333">
        <v>1.1601895734597099E-2</v>
      </c>
      <c r="O1333" t="s">
        <v>433</v>
      </c>
      <c r="P1333">
        <v>25190</v>
      </c>
      <c r="Q1333">
        <v>0.9994442238983724</v>
      </c>
      <c r="R1333">
        <v>7274</v>
      </c>
      <c r="S1333">
        <v>0.55801484740170471</v>
      </c>
      <c r="T1333">
        <v>0</v>
      </c>
      <c r="U1333" t="b">
        <v>0</v>
      </c>
      <c r="V1333">
        <v>12.132860987980751</v>
      </c>
      <c r="Y1333">
        <v>0</v>
      </c>
      <c r="Z1333">
        <v>1102</v>
      </c>
      <c r="AA1333">
        <v>2.7142169448449601E-2</v>
      </c>
      <c r="AB1333">
        <v>2.231215287899694</v>
      </c>
      <c r="AC1333">
        <v>-3.8840404674568597E-2</v>
      </c>
      <c r="AD1333">
        <v>8.7643164639340507E-2</v>
      </c>
      <c r="AE1333">
        <v>0</v>
      </c>
      <c r="AF1333" t="b">
        <v>0</v>
      </c>
    </row>
    <row r="1334" spans="1:35" x14ac:dyDescent="0.3">
      <c r="A1334" t="s">
        <v>2793</v>
      </c>
      <c r="B1334" t="s">
        <v>2794</v>
      </c>
      <c r="C1334" t="s">
        <v>479</v>
      </c>
      <c r="D1334">
        <v>210</v>
      </c>
      <c r="E1334">
        <v>3830</v>
      </c>
      <c r="F1334">
        <v>19</v>
      </c>
      <c r="G1334">
        <v>60</v>
      </c>
      <c r="H1334">
        <v>60</v>
      </c>
      <c r="I1334">
        <v>1</v>
      </c>
      <c r="J1334">
        <v>1</v>
      </c>
      <c r="K1334" t="s">
        <v>86</v>
      </c>
      <c r="P1334">
        <v>0</v>
      </c>
      <c r="R1334">
        <v>0</v>
      </c>
      <c r="T1334">
        <v>0</v>
      </c>
      <c r="U1334" t="b">
        <v>0</v>
      </c>
      <c r="V1334">
        <v>0</v>
      </c>
      <c r="Y1334">
        <v>0</v>
      </c>
      <c r="Z1334">
        <v>151</v>
      </c>
      <c r="AA1334">
        <v>0</v>
      </c>
      <c r="AB1334">
        <v>0</v>
      </c>
      <c r="AC1334">
        <v>0</v>
      </c>
      <c r="AD1334">
        <v>0</v>
      </c>
      <c r="AE1334">
        <v>0</v>
      </c>
      <c r="AF1334" t="b">
        <v>0</v>
      </c>
    </row>
    <row r="1335" spans="1:35" x14ac:dyDescent="0.3">
      <c r="A1335" t="s">
        <v>2795</v>
      </c>
      <c r="B1335" t="s">
        <v>2796</v>
      </c>
      <c r="C1335" t="s">
        <v>479</v>
      </c>
      <c r="D1335">
        <v>1451</v>
      </c>
      <c r="E1335">
        <v>42648</v>
      </c>
      <c r="F1335">
        <v>14</v>
      </c>
      <c r="G1335">
        <v>60</v>
      </c>
      <c r="H1335">
        <v>60</v>
      </c>
      <c r="I1335">
        <v>1</v>
      </c>
      <c r="J1335">
        <v>1</v>
      </c>
      <c r="K1335" t="s">
        <v>86</v>
      </c>
      <c r="P1335">
        <v>0</v>
      </c>
      <c r="R1335">
        <v>0</v>
      </c>
      <c r="T1335">
        <v>0</v>
      </c>
      <c r="U1335" t="b">
        <v>0</v>
      </c>
      <c r="V1335">
        <v>11.174537860513469</v>
      </c>
      <c r="Y1335">
        <v>0</v>
      </c>
      <c r="Z1335">
        <v>1053</v>
      </c>
      <c r="AA1335">
        <v>9.4721547279323096E-2</v>
      </c>
      <c r="AB1335">
        <v>8.4079599374876715</v>
      </c>
      <c r="AC1335">
        <v>6.7495658230515398E-2</v>
      </c>
      <c r="AD1335">
        <v>0.112394688527565</v>
      </c>
      <c r="AE1335">
        <v>0</v>
      </c>
      <c r="AF1335" t="b">
        <v>0</v>
      </c>
    </row>
    <row r="1336" spans="1:35" x14ac:dyDescent="0.3">
      <c r="A1336" t="s">
        <v>2797</v>
      </c>
      <c r="B1336" t="s">
        <v>2798</v>
      </c>
      <c r="C1336" t="s">
        <v>479</v>
      </c>
      <c r="D1336">
        <v>308</v>
      </c>
      <c r="E1336">
        <v>5560</v>
      </c>
      <c r="F1336">
        <v>7</v>
      </c>
      <c r="G1336">
        <v>60</v>
      </c>
      <c r="H1336">
        <v>60</v>
      </c>
      <c r="I1336">
        <v>1</v>
      </c>
      <c r="J1336">
        <v>1</v>
      </c>
      <c r="K1336" t="s">
        <v>86</v>
      </c>
      <c r="P1336">
        <v>0</v>
      </c>
      <c r="R1336">
        <v>0</v>
      </c>
      <c r="T1336">
        <v>0</v>
      </c>
      <c r="U1336" t="b">
        <v>0</v>
      </c>
      <c r="V1336">
        <v>0.65934065934065933</v>
      </c>
      <c r="Y1336">
        <v>0</v>
      </c>
      <c r="Z1336">
        <v>273</v>
      </c>
      <c r="AA1336">
        <v>5.5347482313773998E-3</v>
      </c>
      <c r="AB1336">
        <v>0.48717948717948711</v>
      </c>
      <c r="AC1336">
        <v>7.5187969924812E-3</v>
      </c>
      <c r="AD1336">
        <v>4.1249263406009998E-3</v>
      </c>
      <c r="AE1336">
        <v>0</v>
      </c>
      <c r="AF1336" t="b">
        <v>0</v>
      </c>
    </row>
    <row r="1337" spans="1:35" x14ac:dyDescent="0.3">
      <c r="A1337" t="s">
        <v>2799</v>
      </c>
      <c r="B1337" t="s">
        <v>2800</v>
      </c>
      <c r="C1337" t="s">
        <v>479</v>
      </c>
      <c r="D1337">
        <v>126</v>
      </c>
      <c r="E1337">
        <v>2260</v>
      </c>
      <c r="F1337">
        <v>7</v>
      </c>
      <c r="G1337">
        <v>120</v>
      </c>
      <c r="H1337">
        <v>60</v>
      </c>
      <c r="I1337">
        <v>1</v>
      </c>
      <c r="J1337">
        <v>1</v>
      </c>
      <c r="K1337" t="s">
        <v>86</v>
      </c>
      <c r="P1337">
        <v>0</v>
      </c>
      <c r="R1337">
        <v>0</v>
      </c>
      <c r="T1337">
        <v>0</v>
      </c>
      <c r="U1337" t="b">
        <v>0</v>
      </c>
      <c r="V1337">
        <v>1.6513761467889909</v>
      </c>
      <c r="Y1337">
        <v>0</v>
      </c>
      <c r="Z1337">
        <v>79</v>
      </c>
      <c r="AA1337">
        <v>0</v>
      </c>
      <c r="AB1337">
        <v>0</v>
      </c>
      <c r="AC1337">
        <v>0</v>
      </c>
      <c r="AD1337">
        <v>0</v>
      </c>
      <c r="AE1337">
        <v>0</v>
      </c>
      <c r="AF1337" t="b">
        <v>0</v>
      </c>
    </row>
    <row r="1338" spans="1:35" x14ac:dyDescent="0.3">
      <c r="A1338" t="s">
        <v>2801</v>
      </c>
      <c r="B1338" t="s">
        <v>2800</v>
      </c>
      <c r="C1338" t="s">
        <v>2802</v>
      </c>
      <c r="D1338">
        <v>1009</v>
      </c>
      <c r="E1338">
        <v>14501</v>
      </c>
      <c r="F1338">
        <v>27</v>
      </c>
      <c r="G1338">
        <v>120</v>
      </c>
      <c r="H1338">
        <v>60</v>
      </c>
      <c r="I1338">
        <v>1</v>
      </c>
      <c r="J1338">
        <v>1</v>
      </c>
      <c r="K1338" t="s">
        <v>86</v>
      </c>
      <c r="P1338">
        <v>0</v>
      </c>
      <c r="R1338">
        <v>0</v>
      </c>
      <c r="T1338">
        <v>0</v>
      </c>
      <c r="U1338" t="b">
        <v>0</v>
      </c>
      <c r="V1338">
        <v>8.9287819854830168</v>
      </c>
      <c r="Y1338">
        <v>0</v>
      </c>
      <c r="Z1338">
        <v>414</v>
      </c>
      <c r="AA1338">
        <v>6.6626037287014994E-2</v>
      </c>
      <c r="AB1338">
        <v>9.2278670967088008</v>
      </c>
      <c r="AC1338">
        <v>7.8906522085734898E-2</v>
      </c>
      <c r="AD1338">
        <v>7.1731982429488694E-2</v>
      </c>
      <c r="AE1338">
        <v>0</v>
      </c>
      <c r="AF1338" t="b">
        <v>0</v>
      </c>
    </row>
    <row r="1339" spans="1:35" x14ac:dyDescent="0.3">
      <c r="A1339" t="s">
        <v>2803</v>
      </c>
      <c r="B1339" t="s">
        <v>2800</v>
      </c>
      <c r="C1339" t="s">
        <v>479</v>
      </c>
      <c r="D1339">
        <v>1165</v>
      </c>
      <c r="E1339">
        <v>6806</v>
      </c>
      <c r="F1339">
        <v>43</v>
      </c>
      <c r="G1339">
        <v>180</v>
      </c>
      <c r="H1339">
        <v>60</v>
      </c>
      <c r="I1339">
        <v>1</v>
      </c>
      <c r="J1339">
        <v>1</v>
      </c>
      <c r="K1339" t="s">
        <v>86</v>
      </c>
      <c r="P1339">
        <v>0</v>
      </c>
      <c r="R1339">
        <v>0</v>
      </c>
      <c r="T1339">
        <v>0</v>
      </c>
      <c r="U1339" t="b">
        <v>0</v>
      </c>
      <c r="Y1339">
        <v>0</v>
      </c>
      <c r="Z1339">
        <v>1</v>
      </c>
      <c r="AA1339">
        <v>0.1</v>
      </c>
      <c r="AB1339">
        <v>15</v>
      </c>
      <c r="AC1339">
        <v>0.1</v>
      </c>
      <c r="AE1339">
        <v>0</v>
      </c>
      <c r="AF1339" t="b">
        <v>0</v>
      </c>
    </row>
    <row r="1340" spans="1:35" x14ac:dyDescent="0.3">
      <c r="A1340" t="s">
        <v>2804</v>
      </c>
      <c r="B1340" t="s">
        <v>2800</v>
      </c>
      <c r="C1340" t="s">
        <v>479</v>
      </c>
      <c r="D1340">
        <v>1001</v>
      </c>
      <c r="E1340">
        <v>6146</v>
      </c>
      <c r="F1340">
        <v>29</v>
      </c>
      <c r="G1340">
        <v>240</v>
      </c>
      <c r="H1340">
        <v>60</v>
      </c>
      <c r="I1340">
        <v>1</v>
      </c>
      <c r="J1340">
        <v>1</v>
      </c>
      <c r="K1340" t="s">
        <v>86</v>
      </c>
      <c r="P1340">
        <v>0</v>
      </c>
      <c r="R1340">
        <v>0</v>
      </c>
      <c r="T1340">
        <v>0</v>
      </c>
      <c r="U1340" t="b">
        <v>0</v>
      </c>
      <c r="Y1340">
        <v>0</v>
      </c>
      <c r="Z1340">
        <v>1</v>
      </c>
      <c r="AA1340">
        <v>0</v>
      </c>
      <c r="AB1340">
        <v>0</v>
      </c>
      <c r="AD1340">
        <v>0</v>
      </c>
      <c r="AE1340">
        <v>0</v>
      </c>
      <c r="AF1340" t="b">
        <v>0</v>
      </c>
    </row>
    <row r="1341" spans="1:35" x14ac:dyDescent="0.3">
      <c r="A1341" t="s">
        <v>2805</v>
      </c>
      <c r="B1341" t="s">
        <v>2800</v>
      </c>
      <c r="C1341" t="s">
        <v>479</v>
      </c>
      <c r="D1341">
        <v>196</v>
      </c>
      <c r="E1341">
        <v>5123</v>
      </c>
      <c r="F1341">
        <v>5</v>
      </c>
      <c r="G1341">
        <v>60</v>
      </c>
      <c r="H1341">
        <v>60</v>
      </c>
      <c r="I1341">
        <v>1</v>
      </c>
      <c r="J1341">
        <v>1</v>
      </c>
      <c r="K1341" t="s">
        <v>86</v>
      </c>
      <c r="P1341">
        <v>0</v>
      </c>
      <c r="R1341">
        <v>0</v>
      </c>
      <c r="T1341">
        <v>0</v>
      </c>
      <c r="U1341" t="b">
        <v>0</v>
      </c>
      <c r="V1341">
        <v>2.0128205128205132</v>
      </c>
      <c r="Y1341">
        <v>0</v>
      </c>
      <c r="Z1341">
        <v>230</v>
      </c>
      <c r="AA1341">
        <v>3.54424756356405E-2</v>
      </c>
      <c r="AB1341">
        <v>3.1112329699286221</v>
      </c>
      <c r="AC1341">
        <v>5.1602390005431799E-2</v>
      </c>
      <c r="AD1341">
        <v>3.7214734950584E-2</v>
      </c>
      <c r="AE1341">
        <v>0</v>
      </c>
      <c r="AF1341" t="b">
        <v>0</v>
      </c>
    </row>
    <row r="1342" spans="1:35" x14ac:dyDescent="0.3">
      <c r="A1342" t="s">
        <v>2806</v>
      </c>
      <c r="B1342" t="s">
        <v>2800</v>
      </c>
      <c r="C1342" t="s">
        <v>479</v>
      </c>
      <c r="D1342">
        <v>119</v>
      </c>
      <c r="E1342">
        <v>1716</v>
      </c>
      <c r="F1342">
        <v>5</v>
      </c>
      <c r="G1342">
        <v>60</v>
      </c>
      <c r="H1342">
        <v>60</v>
      </c>
      <c r="I1342">
        <v>1</v>
      </c>
      <c r="J1342">
        <v>1</v>
      </c>
      <c r="K1342" t="s">
        <v>86</v>
      </c>
      <c r="P1342">
        <v>0</v>
      </c>
      <c r="R1342">
        <v>0</v>
      </c>
      <c r="T1342">
        <v>0</v>
      </c>
      <c r="U1342" t="b">
        <v>0</v>
      </c>
      <c r="V1342">
        <v>0</v>
      </c>
      <c r="Y1342">
        <v>0</v>
      </c>
      <c r="Z1342">
        <v>59</v>
      </c>
      <c r="AA1342">
        <v>0</v>
      </c>
      <c r="AB1342">
        <v>0</v>
      </c>
      <c r="AC1342">
        <v>0</v>
      </c>
      <c r="AD1342">
        <v>0</v>
      </c>
      <c r="AE1342">
        <v>0</v>
      </c>
      <c r="AF1342" t="b">
        <v>0</v>
      </c>
    </row>
    <row r="1343" spans="1:35" x14ac:dyDescent="0.3">
      <c r="A1343" t="s">
        <v>2807</v>
      </c>
      <c r="B1343" t="s">
        <v>2800</v>
      </c>
      <c r="C1343" t="s">
        <v>479</v>
      </c>
      <c r="D1343">
        <v>332</v>
      </c>
      <c r="E1343">
        <v>4145</v>
      </c>
      <c r="F1343">
        <v>11</v>
      </c>
      <c r="G1343">
        <v>60</v>
      </c>
      <c r="H1343">
        <v>60</v>
      </c>
      <c r="I1343">
        <v>1</v>
      </c>
      <c r="J1343">
        <v>1</v>
      </c>
      <c r="K1343" t="s">
        <v>86</v>
      </c>
      <c r="P1343">
        <v>0</v>
      </c>
      <c r="R1343">
        <v>0</v>
      </c>
      <c r="T1343">
        <v>0</v>
      </c>
      <c r="U1343" t="b">
        <v>0</v>
      </c>
      <c r="V1343">
        <v>3</v>
      </c>
      <c r="Y1343">
        <v>0</v>
      </c>
      <c r="Z1343">
        <v>192</v>
      </c>
      <c r="AA1343">
        <v>3.6626809870265301E-2</v>
      </c>
      <c r="AB1343">
        <v>3.083333333333333</v>
      </c>
      <c r="AC1343">
        <v>4.2188656063641299E-2</v>
      </c>
      <c r="AD1343">
        <v>4.13706911718002E-2</v>
      </c>
      <c r="AE1343">
        <v>0</v>
      </c>
      <c r="AF1343" t="b">
        <v>0</v>
      </c>
    </row>
    <row r="1344" spans="1:35" x14ac:dyDescent="0.3">
      <c r="A1344" t="s">
        <v>2808</v>
      </c>
      <c r="B1344" t="s">
        <v>2800</v>
      </c>
      <c r="C1344" t="s">
        <v>479</v>
      </c>
      <c r="D1344">
        <v>110</v>
      </c>
      <c r="E1344">
        <v>2320</v>
      </c>
      <c r="F1344">
        <v>7</v>
      </c>
      <c r="G1344">
        <v>60</v>
      </c>
      <c r="H1344">
        <v>60</v>
      </c>
      <c r="I1344">
        <v>1</v>
      </c>
      <c r="J1344">
        <v>1</v>
      </c>
      <c r="K1344" t="s">
        <v>86</v>
      </c>
      <c r="P1344">
        <v>0</v>
      </c>
      <c r="R1344">
        <v>0</v>
      </c>
      <c r="T1344">
        <v>0</v>
      </c>
      <c r="U1344" t="b">
        <v>0</v>
      </c>
      <c r="Y1344">
        <v>0</v>
      </c>
      <c r="Z1344">
        <v>74</v>
      </c>
      <c r="AA1344">
        <v>0</v>
      </c>
      <c r="AB1344">
        <v>0</v>
      </c>
      <c r="AE1344">
        <v>0</v>
      </c>
      <c r="AF1344" t="b">
        <v>0</v>
      </c>
    </row>
    <row r="1345" spans="1:35" x14ac:dyDescent="0.3">
      <c r="A1345" t="s">
        <v>2809</v>
      </c>
      <c r="B1345" t="s">
        <v>2800</v>
      </c>
      <c r="C1345" t="s">
        <v>479</v>
      </c>
      <c r="D1345">
        <v>111</v>
      </c>
      <c r="E1345">
        <v>1916</v>
      </c>
      <c r="F1345">
        <v>4</v>
      </c>
      <c r="G1345">
        <v>60</v>
      </c>
      <c r="H1345">
        <v>60</v>
      </c>
      <c r="I1345">
        <v>1</v>
      </c>
      <c r="J1345">
        <v>1</v>
      </c>
      <c r="K1345" t="s">
        <v>86</v>
      </c>
      <c r="P1345">
        <v>0</v>
      </c>
      <c r="R1345">
        <v>0</v>
      </c>
      <c r="T1345">
        <v>0</v>
      </c>
      <c r="U1345" t="b">
        <v>0</v>
      </c>
      <c r="V1345">
        <v>0</v>
      </c>
      <c r="Y1345">
        <v>0</v>
      </c>
      <c r="Z1345">
        <v>73</v>
      </c>
      <c r="AA1345">
        <v>4.3956043956043002E-3</v>
      </c>
      <c r="AB1345">
        <v>0.32876712328767121</v>
      </c>
      <c r="AC1345">
        <v>-4.3859649122806998E-3</v>
      </c>
      <c r="AD1345">
        <v>4.3290043290043004E-3</v>
      </c>
      <c r="AE1345">
        <v>0</v>
      </c>
      <c r="AF1345" t="b">
        <v>0</v>
      </c>
    </row>
    <row r="1346" spans="1:35" x14ac:dyDescent="0.3">
      <c r="A1346" t="s">
        <v>2810</v>
      </c>
      <c r="B1346" t="s">
        <v>2800</v>
      </c>
      <c r="C1346" t="s">
        <v>479</v>
      </c>
      <c r="D1346">
        <v>410</v>
      </c>
      <c r="E1346">
        <v>8817</v>
      </c>
      <c r="F1346">
        <v>9</v>
      </c>
      <c r="G1346">
        <v>60</v>
      </c>
      <c r="H1346">
        <v>60</v>
      </c>
      <c r="I1346">
        <v>1</v>
      </c>
      <c r="J1346">
        <v>1</v>
      </c>
      <c r="K1346" t="s">
        <v>86</v>
      </c>
      <c r="P1346">
        <v>0</v>
      </c>
      <c r="R1346">
        <v>0</v>
      </c>
      <c r="T1346">
        <v>0</v>
      </c>
      <c r="U1346" t="b">
        <v>0</v>
      </c>
      <c r="V1346">
        <v>0.42295081967213111</v>
      </c>
      <c r="Y1346">
        <v>0</v>
      </c>
      <c r="Z1346">
        <v>323</v>
      </c>
      <c r="AA1346">
        <v>6.6199376947039998E-4</v>
      </c>
      <c r="AB1346">
        <v>5.6390977443608999E-2</v>
      </c>
      <c r="AC1346">
        <v>2.7120315581854E-3</v>
      </c>
      <c r="AD1346">
        <v>-1.3427324605571999E-3</v>
      </c>
      <c r="AE1346">
        <v>0</v>
      </c>
      <c r="AF1346" t="b">
        <v>0</v>
      </c>
    </row>
    <row r="1347" spans="1:35" x14ac:dyDescent="0.3">
      <c r="A1347" t="s">
        <v>2811</v>
      </c>
      <c r="B1347" t="s">
        <v>2800</v>
      </c>
      <c r="C1347" t="s">
        <v>479</v>
      </c>
      <c r="D1347">
        <v>500</v>
      </c>
      <c r="E1347">
        <v>9873</v>
      </c>
      <c r="F1347">
        <v>11</v>
      </c>
      <c r="G1347">
        <v>60</v>
      </c>
      <c r="H1347">
        <v>60</v>
      </c>
      <c r="I1347">
        <v>1</v>
      </c>
      <c r="J1347">
        <v>1</v>
      </c>
      <c r="K1347" t="s">
        <v>86</v>
      </c>
      <c r="P1347">
        <v>0</v>
      </c>
      <c r="R1347">
        <v>0</v>
      </c>
      <c r="T1347">
        <v>0</v>
      </c>
      <c r="U1347" t="b">
        <v>0</v>
      </c>
      <c r="V1347">
        <v>15.05714285714286</v>
      </c>
      <c r="Y1347">
        <v>0</v>
      </c>
      <c r="Z1347">
        <v>258</v>
      </c>
      <c r="AA1347">
        <v>4.46743738069681E-2</v>
      </c>
      <c r="AB1347">
        <v>4.3420829816178648</v>
      </c>
      <c r="AC1347">
        <v>2.13648396395093E-2</v>
      </c>
      <c r="AD1347">
        <v>8.3795450460239104E-2</v>
      </c>
      <c r="AE1347">
        <v>0</v>
      </c>
      <c r="AF1347" t="b">
        <v>0</v>
      </c>
    </row>
    <row r="1348" spans="1:35" x14ac:dyDescent="0.3">
      <c r="A1348" t="s">
        <v>2812</v>
      </c>
      <c r="B1348" t="s">
        <v>2800</v>
      </c>
      <c r="C1348" t="s">
        <v>479</v>
      </c>
      <c r="D1348">
        <v>124</v>
      </c>
      <c r="E1348">
        <v>3204</v>
      </c>
      <c r="F1348">
        <v>11</v>
      </c>
      <c r="G1348">
        <v>60</v>
      </c>
      <c r="H1348">
        <v>60</v>
      </c>
      <c r="I1348">
        <v>1</v>
      </c>
      <c r="J1348">
        <v>1</v>
      </c>
      <c r="K1348" t="s">
        <v>86</v>
      </c>
      <c r="P1348">
        <v>0</v>
      </c>
      <c r="R1348">
        <v>0</v>
      </c>
      <c r="T1348">
        <v>0</v>
      </c>
      <c r="U1348" t="b">
        <v>0</v>
      </c>
      <c r="V1348">
        <v>2.1632653061224492</v>
      </c>
      <c r="Y1348">
        <v>0</v>
      </c>
      <c r="Z1348">
        <v>87</v>
      </c>
      <c r="AA1348">
        <v>-8.3472454090150004E-3</v>
      </c>
      <c r="AB1348">
        <v>-0.57471264367816088</v>
      </c>
      <c r="AC1348">
        <v>-1.9468055936386001E-2</v>
      </c>
      <c r="AD1348">
        <v>2.2271714922047999E-3</v>
      </c>
      <c r="AE1348">
        <v>0</v>
      </c>
      <c r="AF1348" t="b">
        <v>0</v>
      </c>
    </row>
    <row r="1349" spans="1:35" x14ac:dyDescent="0.3">
      <c r="A1349" t="s">
        <v>2813</v>
      </c>
      <c r="B1349" t="s">
        <v>2800</v>
      </c>
      <c r="C1349" t="s">
        <v>479</v>
      </c>
      <c r="D1349">
        <v>234</v>
      </c>
      <c r="E1349">
        <v>5283</v>
      </c>
      <c r="F1349">
        <v>12</v>
      </c>
      <c r="G1349">
        <v>60</v>
      </c>
      <c r="H1349">
        <v>60</v>
      </c>
      <c r="I1349">
        <v>1</v>
      </c>
      <c r="J1349">
        <v>1</v>
      </c>
      <c r="K1349" t="s">
        <v>86</v>
      </c>
      <c r="P1349">
        <v>0</v>
      </c>
      <c r="R1349">
        <v>0</v>
      </c>
      <c r="T1349">
        <v>0</v>
      </c>
      <c r="U1349" t="b">
        <v>0</v>
      </c>
      <c r="V1349">
        <v>6.2242990654205608</v>
      </c>
      <c r="Y1349">
        <v>0</v>
      </c>
      <c r="Z1349">
        <v>224</v>
      </c>
      <c r="AA1349">
        <v>-5.7860357321437997E-3</v>
      </c>
      <c r="AB1349">
        <v>-0.46492346938775508</v>
      </c>
      <c r="AC1349">
        <v>-3.3979360684621103E-2</v>
      </c>
      <c r="AD1349">
        <v>2.8951939779965001E-3</v>
      </c>
      <c r="AE1349">
        <v>0</v>
      </c>
      <c r="AF1349" t="b">
        <v>0</v>
      </c>
    </row>
    <row r="1350" spans="1:35" x14ac:dyDescent="0.3">
      <c r="A1350" t="s">
        <v>2814</v>
      </c>
      <c r="B1350" t="s">
        <v>2800</v>
      </c>
      <c r="C1350" t="s">
        <v>479</v>
      </c>
      <c r="D1350">
        <v>1275</v>
      </c>
      <c r="E1350">
        <v>24365</v>
      </c>
      <c r="F1350">
        <v>22</v>
      </c>
      <c r="G1350">
        <v>60</v>
      </c>
      <c r="H1350">
        <v>60</v>
      </c>
      <c r="I1350">
        <v>1</v>
      </c>
      <c r="J1350">
        <v>1</v>
      </c>
      <c r="K1350" t="s">
        <v>86</v>
      </c>
      <c r="P1350">
        <v>0</v>
      </c>
      <c r="R1350">
        <v>0</v>
      </c>
      <c r="T1350">
        <v>0</v>
      </c>
      <c r="U1350" t="b">
        <v>0</v>
      </c>
      <c r="V1350">
        <v>7.9696428571428566</v>
      </c>
      <c r="Y1350">
        <v>0</v>
      </c>
      <c r="Z1350">
        <v>779</v>
      </c>
      <c r="AA1350">
        <v>3.0388671624857099E-2</v>
      </c>
      <c r="AB1350">
        <v>2.951546351908807</v>
      </c>
      <c r="AC1350">
        <v>2.8355934152043599E-2</v>
      </c>
      <c r="AD1350">
        <v>3.7609307201303302E-2</v>
      </c>
      <c r="AE1350">
        <v>0</v>
      </c>
      <c r="AF1350" t="b">
        <v>0</v>
      </c>
    </row>
    <row r="1351" spans="1:35" x14ac:dyDescent="0.3">
      <c r="A1351" t="s">
        <v>2815</v>
      </c>
      <c r="B1351" t="s">
        <v>2800</v>
      </c>
      <c r="C1351" t="s">
        <v>479</v>
      </c>
      <c r="D1351">
        <v>666</v>
      </c>
      <c r="E1351">
        <v>13136</v>
      </c>
      <c r="F1351">
        <v>18</v>
      </c>
      <c r="G1351">
        <v>60</v>
      </c>
      <c r="H1351">
        <v>60</v>
      </c>
      <c r="I1351">
        <v>1</v>
      </c>
      <c r="J1351">
        <v>1</v>
      </c>
      <c r="K1351" t="s">
        <v>86</v>
      </c>
      <c r="P1351">
        <v>0</v>
      </c>
      <c r="R1351">
        <v>0</v>
      </c>
      <c r="T1351">
        <v>0</v>
      </c>
      <c r="U1351" t="b">
        <v>0</v>
      </c>
      <c r="V1351">
        <v>3.6208163591341158</v>
      </c>
      <c r="Y1351">
        <v>0</v>
      </c>
      <c r="Z1351">
        <v>391</v>
      </c>
      <c r="AA1351">
        <v>-4.1143760544467998E-3</v>
      </c>
      <c r="AB1351">
        <v>-0.3353317611629632</v>
      </c>
      <c r="AC1351">
        <v>-6.070581913298E-3</v>
      </c>
      <c r="AD1351">
        <v>-4.2889778011005004E-3</v>
      </c>
      <c r="AE1351">
        <v>0</v>
      </c>
      <c r="AF1351" t="b">
        <v>0</v>
      </c>
    </row>
    <row r="1352" spans="1:35" x14ac:dyDescent="0.3">
      <c r="A1352" t="s">
        <v>2816</v>
      </c>
      <c r="B1352" t="s">
        <v>2800</v>
      </c>
      <c r="C1352" t="s">
        <v>479</v>
      </c>
      <c r="D1352">
        <v>110</v>
      </c>
      <c r="E1352">
        <v>1250</v>
      </c>
      <c r="F1352">
        <v>16</v>
      </c>
      <c r="G1352">
        <v>120</v>
      </c>
      <c r="H1352">
        <v>60</v>
      </c>
      <c r="I1352">
        <v>1</v>
      </c>
      <c r="J1352">
        <v>1</v>
      </c>
      <c r="K1352" t="s">
        <v>86</v>
      </c>
      <c r="P1352">
        <v>0</v>
      </c>
      <c r="R1352">
        <v>0</v>
      </c>
      <c r="T1352">
        <v>0</v>
      </c>
      <c r="U1352" t="b">
        <v>0</v>
      </c>
      <c r="Y1352">
        <v>0</v>
      </c>
      <c r="Z1352">
        <v>9</v>
      </c>
      <c r="AA1352">
        <v>0</v>
      </c>
      <c r="AB1352">
        <v>0</v>
      </c>
      <c r="AE1352">
        <v>0</v>
      </c>
      <c r="AF1352" t="b">
        <v>0</v>
      </c>
    </row>
    <row r="1353" spans="1:35" x14ac:dyDescent="0.3">
      <c r="A1353" t="s">
        <v>2817</v>
      </c>
      <c r="B1353" t="s">
        <v>2800</v>
      </c>
      <c r="C1353" t="s">
        <v>479</v>
      </c>
      <c r="D1353">
        <v>482</v>
      </c>
      <c r="E1353">
        <v>10020</v>
      </c>
      <c r="F1353">
        <v>17</v>
      </c>
      <c r="G1353">
        <v>60</v>
      </c>
      <c r="H1353">
        <v>60</v>
      </c>
      <c r="I1353">
        <v>1</v>
      </c>
      <c r="J1353">
        <v>1</v>
      </c>
      <c r="K1353" t="s">
        <v>86</v>
      </c>
      <c r="P1353">
        <v>0</v>
      </c>
      <c r="R1353">
        <v>0</v>
      </c>
      <c r="T1353">
        <v>0</v>
      </c>
      <c r="U1353" t="b">
        <v>0</v>
      </c>
      <c r="V1353">
        <v>6.7264573991031307E-2</v>
      </c>
      <c r="Y1353">
        <v>0</v>
      </c>
      <c r="Z1353">
        <v>440</v>
      </c>
      <c r="AA1353">
        <v>2.6586987011403E-3</v>
      </c>
      <c r="AB1353">
        <v>0.24772727272727271</v>
      </c>
      <c r="AC1353">
        <v>-3.2718944268729999E-4</v>
      </c>
      <c r="AD1353">
        <v>-1.1853022520741999E-3</v>
      </c>
      <c r="AE1353">
        <v>0</v>
      </c>
      <c r="AF1353" t="b">
        <v>0</v>
      </c>
    </row>
    <row r="1354" spans="1:35" x14ac:dyDescent="0.3">
      <c r="A1354" t="s">
        <v>2818</v>
      </c>
      <c r="B1354" t="s">
        <v>2800</v>
      </c>
      <c r="C1354" t="s">
        <v>479</v>
      </c>
      <c r="D1354">
        <v>330</v>
      </c>
      <c r="E1354">
        <v>5570</v>
      </c>
      <c r="F1354">
        <v>22</v>
      </c>
      <c r="G1354">
        <v>60</v>
      </c>
      <c r="H1354">
        <v>60</v>
      </c>
      <c r="I1354">
        <v>1</v>
      </c>
      <c r="J1354">
        <v>1</v>
      </c>
      <c r="K1354" t="s">
        <v>86</v>
      </c>
      <c r="P1354">
        <v>0</v>
      </c>
      <c r="R1354">
        <v>0</v>
      </c>
      <c r="T1354">
        <v>0</v>
      </c>
      <c r="U1354" t="b">
        <v>0</v>
      </c>
      <c r="V1354">
        <v>3.4782608695652169</v>
      </c>
      <c r="Y1354">
        <v>0</v>
      </c>
      <c r="Z1354">
        <v>147</v>
      </c>
      <c r="AA1354">
        <v>3.5924692622950803E-2</v>
      </c>
      <c r="AB1354">
        <v>3.2711370262390682</v>
      </c>
      <c r="AC1354">
        <v>-3.2385466034755103E-2</v>
      </c>
      <c r="AD1354">
        <v>1.7346460384434999E-2</v>
      </c>
      <c r="AE1354">
        <v>0</v>
      </c>
      <c r="AF1354" t="b">
        <v>0</v>
      </c>
    </row>
    <row r="1355" spans="1:35" x14ac:dyDescent="0.3">
      <c r="A1355" t="s">
        <v>2819</v>
      </c>
      <c r="B1355" t="s">
        <v>2800</v>
      </c>
      <c r="C1355" t="s">
        <v>479</v>
      </c>
      <c r="D1355">
        <v>117</v>
      </c>
      <c r="E1355">
        <v>2398</v>
      </c>
      <c r="F1355">
        <v>7</v>
      </c>
      <c r="G1355">
        <v>60</v>
      </c>
      <c r="H1355">
        <v>60</v>
      </c>
      <c r="I1355">
        <v>1</v>
      </c>
      <c r="J1355">
        <v>1</v>
      </c>
      <c r="K1355" t="s">
        <v>86</v>
      </c>
      <c r="P1355">
        <v>0</v>
      </c>
      <c r="R1355">
        <v>0</v>
      </c>
      <c r="T1355">
        <v>0</v>
      </c>
      <c r="U1355" t="b">
        <v>0</v>
      </c>
      <c r="V1355">
        <v>0.65217391304347827</v>
      </c>
      <c r="Y1355">
        <v>0</v>
      </c>
      <c r="Z1355">
        <v>85</v>
      </c>
      <c r="AA1355">
        <v>2.0491803278688001E-3</v>
      </c>
      <c r="AB1355">
        <v>0.1764705882352941</v>
      </c>
      <c r="AC1355">
        <v>5.2631578947368004E-3</v>
      </c>
      <c r="AD1355">
        <v>0</v>
      </c>
      <c r="AE1355">
        <v>0</v>
      </c>
      <c r="AF1355" t="b">
        <v>0</v>
      </c>
    </row>
    <row r="1356" spans="1:35" x14ac:dyDescent="0.3">
      <c r="A1356" t="s">
        <v>2820</v>
      </c>
      <c r="B1356" t="s">
        <v>2800</v>
      </c>
      <c r="C1356" t="s">
        <v>479</v>
      </c>
      <c r="D1356">
        <v>652</v>
      </c>
      <c r="E1356">
        <v>10458</v>
      </c>
      <c r="F1356">
        <v>12</v>
      </c>
      <c r="G1356">
        <v>120</v>
      </c>
      <c r="H1356">
        <v>60</v>
      </c>
      <c r="I1356">
        <v>1</v>
      </c>
      <c r="J1356">
        <v>1</v>
      </c>
      <c r="K1356" t="s">
        <v>86</v>
      </c>
      <c r="P1356">
        <v>0</v>
      </c>
      <c r="R1356">
        <v>0</v>
      </c>
      <c r="T1356">
        <v>0</v>
      </c>
      <c r="U1356" t="b">
        <v>0</v>
      </c>
      <c r="V1356">
        <v>6.0365339578454336</v>
      </c>
      <c r="Y1356">
        <v>0</v>
      </c>
      <c r="Z1356">
        <v>342</v>
      </c>
      <c r="AA1356">
        <v>4.4171624214795799E-2</v>
      </c>
      <c r="AB1356">
        <v>4.8937760853802894</v>
      </c>
      <c r="AC1356">
        <v>2.6615197408284001E-2</v>
      </c>
      <c r="AD1356">
        <v>6.03412412097784E-2</v>
      </c>
      <c r="AE1356">
        <v>0</v>
      </c>
      <c r="AF1356" t="b">
        <v>0</v>
      </c>
    </row>
    <row r="1357" spans="1:35" x14ac:dyDescent="0.3">
      <c r="A1357" t="s">
        <v>2821</v>
      </c>
      <c r="B1357" t="s">
        <v>2822</v>
      </c>
      <c r="C1357" t="s">
        <v>479</v>
      </c>
      <c r="D1357">
        <v>77</v>
      </c>
      <c r="E1357">
        <v>592</v>
      </c>
      <c r="F1357">
        <v>14</v>
      </c>
      <c r="G1357">
        <v>240</v>
      </c>
      <c r="H1357">
        <v>60</v>
      </c>
      <c r="I1357">
        <v>1</v>
      </c>
      <c r="J1357">
        <v>1</v>
      </c>
      <c r="K1357" t="s">
        <v>86</v>
      </c>
      <c r="P1357">
        <v>0</v>
      </c>
      <c r="R1357">
        <v>0</v>
      </c>
      <c r="T1357">
        <v>0</v>
      </c>
      <c r="U1357" t="b">
        <v>0</v>
      </c>
      <c r="Y1357">
        <v>0</v>
      </c>
      <c r="Z1357">
        <v>0</v>
      </c>
      <c r="AE1357">
        <v>0</v>
      </c>
      <c r="AF1357" t="b">
        <v>0</v>
      </c>
    </row>
    <row r="1358" spans="1:35" x14ac:dyDescent="0.3">
      <c r="A1358" t="s">
        <v>2823</v>
      </c>
      <c r="B1358" t="s">
        <v>2824</v>
      </c>
      <c r="C1358" t="s">
        <v>479</v>
      </c>
      <c r="D1358">
        <v>1123</v>
      </c>
      <c r="E1358">
        <v>23881</v>
      </c>
      <c r="F1358">
        <v>199</v>
      </c>
      <c r="G1358">
        <v>77</v>
      </c>
      <c r="H1358">
        <v>1</v>
      </c>
      <c r="I1358">
        <v>0.20585402621330759</v>
      </c>
      <c r="J1358">
        <v>0.47884338505839058</v>
      </c>
      <c r="K1358" t="s">
        <v>432</v>
      </c>
      <c r="L1358">
        <v>0.53227483602623582</v>
      </c>
      <c r="M1358">
        <v>0.99957246686618217</v>
      </c>
      <c r="N1358">
        <v>2.1263806446765302E-2</v>
      </c>
      <c r="O1358" t="s">
        <v>433</v>
      </c>
      <c r="P1358">
        <v>13026</v>
      </c>
      <c r="Q1358">
        <v>0.99969292184861036</v>
      </c>
      <c r="R1358">
        <v>5</v>
      </c>
      <c r="S1358">
        <v>0</v>
      </c>
      <c r="T1358">
        <v>0</v>
      </c>
      <c r="U1358" t="b">
        <v>0</v>
      </c>
      <c r="V1358">
        <v>6.4463508283275726</v>
      </c>
      <c r="Y1358">
        <v>0</v>
      </c>
      <c r="Z1358">
        <v>549</v>
      </c>
      <c r="AA1358">
        <v>5.7689019478719003E-2</v>
      </c>
      <c r="AB1358">
        <v>4.6177984487949972</v>
      </c>
      <c r="AC1358">
        <v>5.1689247669886397E-2</v>
      </c>
      <c r="AD1358">
        <v>6.7122906344203995E-2</v>
      </c>
      <c r="AE1358">
        <v>0</v>
      </c>
      <c r="AF1358" t="b">
        <v>0</v>
      </c>
    </row>
    <row r="1359" spans="1:35" x14ac:dyDescent="0.3">
      <c r="A1359" t="s">
        <v>2825</v>
      </c>
      <c r="B1359" t="s">
        <v>2826</v>
      </c>
      <c r="C1359" t="s">
        <v>479</v>
      </c>
      <c r="D1359">
        <v>2085</v>
      </c>
      <c r="E1359">
        <v>40886</v>
      </c>
      <c r="F1359">
        <v>14</v>
      </c>
      <c r="G1359">
        <v>60</v>
      </c>
      <c r="H1359">
        <v>60</v>
      </c>
      <c r="I1359">
        <v>1</v>
      </c>
      <c r="J1359">
        <v>1</v>
      </c>
      <c r="K1359" t="s">
        <v>86</v>
      </c>
      <c r="P1359">
        <v>0</v>
      </c>
      <c r="R1359">
        <v>0</v>
      </c>
      <c r="T1359">
        <v>1</v>
      </c>
      <c r="U1359" t="b">
        <v>1</v>
      </c>
      <c r="V1359">
        <v>10.360869856710121</v>
      </c>
      <c r="W1359">
        <v>9.1476466795615714</v>
      </c>
      <c r="X1359" t="b">
        <v>1</v>
      </c>
      <c r="Y1359">
        <v>0</v>
      </c>
      <c r="Z1359">
        <v>809</v>
      </c>
      <c r="AA1359">
        <v>2.26684279975106E-2</v>
      </c>
      <c r="AB1359">
        <v>1.9217409396305001</v>
      </c>
      <c r="AC1359">
        <v>-1.9411119506422801E-2</v>
      </c>
      <c r="AD1359">
        <v>6.5908299017193903E-2</v>
      </c>
      <c r="AE1359">
        <v>1</v>
      </c>
      <c r="AF1359" t="b">
        <v>1</v>
      </c>
      <c r="AG1359">
        <v>2.0940143093584201E-2</v>
      </c>
      <c r="AH1359">
        <v>1.9278515437529999</v>
      </c>
      <c r="AI1359" t="b">
        <v>1</v>
      </c>
    </row>
    <row r="1360" spans="1:35" x14ac:dyDescent="0.3">
      <c r="A1360" t="s">
        <v>2827</v>
      </c>
      <c r="B1360" t="s">
        <v>2800</v>
      </c>
      <c r="C1360" t="s">
        <v>479</v>
      </c>
      <c r="D1360">
        <v>1476</v>
      </c>
      <c r="E1360">
        <v>34301</v>
      </c>
      <c r="F1360">
        <v>14</v>
      </c>
      <c r="G1360">
        <v>60</v>
      </c>
      <c r="H1360">
        <v>60</v>
      </c>
      <c r="I1360">
        <v>1</v>
      </c>
      <c r="J1360">
        <v>1</v>
      </c>
      <c r="K1360" t="s">
        <v>86</v>
      </c>
      <c r="P1360">
        <v>0</v>
      </c>
      <c r="R1360">
        <v>0</v>
      </c>
      <c r="T1360">
        <v>1</v>
      </c>
      <c r="U1360" t="b">
        <v>1</v>
      </c>
      <c r="V1360">
        <v>8.3161735564904564</v>
      </c>
      <c r="W1360">
        <v>6.7027919863597614</v>
      </c>
      <c r="X1360" t="b">
        <v>1</v>
      </c>
      <c r="Y1360">
        <v>0</v>
      </c>
      <c r="Z1360">
        <v>831</v>
      </c>
      <c r="AA1360">
        <v>2.5508183509036698E-2</v>
      </c>
      <c r="AB1360">
        <v>2.341111325776748</v>
      </c>
      <c r="AC1360">
        <v>-1.87555751474149E-2</v>
      </c>
      <c r="AD1360">
        <v>5.6352118044559599E-2</v>
      </c>
      <c r="AE1360">
        <v>1</v>
      </c>
      <c r="AF1360" t="b">
        <v>1</v>
      </c>
      <c r="AG1360">
        <v>4.7103533338836E-3</v>
      </c>
      <c r="AH1360">
        <v>0.37997211826206923</v>
      </c>
      <c r="AI1360" t="b">
        <v>1</v>
      </c>
    </row>
    <row r="1361" spans="1:35" x14ac:dyDescent="0.3">
      <c r="A1361" t="s">
        <v>2828</v>
      </c>
      <c r="B1361" t="s">
        <v>2785</v>
      </c>
      <c r="C1361" t="s">
        <v>479</v>
      </c>
      <c r="D1361">
        <v>1221</v>
      </c>
      <c r="E1361">
        <v>38711</v>
      </c>
      <c r="F1361">
        <v>308</v>
      </c>
      <c r="G1361">
        <v>49</v>
      </c>
      <c r="H1361">
        <v>1</v>
      </c>
      <c r="I1361">
        <v>3.4641316421688897E-2</v>
      </c>
      <c r="J1361">
        <v>0.19951417409596309</v>
      </c>
      <c r="K1361" t="s">
        <v>432</v>
      </c>
      <c r="L1361">
        <v>0.80571972353000099</v>
      </c>
      <c r="M1361">
        <v>0.9532095901005414</v>
      </c>
      <c r="N1361">
        <v>1.7778330328836901E-2</v>
      </c>
      <c r="O1361" t="s">
        <v>433</v>
      </c>
      <c r="P1361">
        <v>31602</v>
      </c>
      <c r="Q1361">
        <v>0.94044680716410356</v>
      </c>
      <c r="R1361">
        <v>323</v>
      </c>
      <c r="S1361">
        <v>0.3467492260061919</v>
      </c>
      <c r="T1361">
        <v>0</v>
      </c>
      <c r="U1361" t="b">
        <v>0</v>
      </c>
      <c r="V1361">
        <v>2.9604289940828399</v>
      </c>
      <c r="Y1361">
        <v>0</v>
      </c>
      <c r="Z1361">
        <v>1954</v>
      </c>
      <c r="AA1361">
        <v>-5.0138680636367004E-3</v>
      </c>
      <c r="AB1361">
        <v>-0.33656540917288108</v>
      </c>
      <c r="AC1361">
        <v>1.7482841883314001E-3</v>
      </c>
      <c r="AD1361">
        <v>-3.4000424023373603E-2</v>
      </c>
      <c r="AE1361">
        <v>0</v>
      </c>
      <c r="AF1361" t="b">
        <v>0</v>
      </c>
    </row>
    <row r="1362" spans="1:35" x14ac:dyDescent="0.3">
      <c r="A1362" t="s">
        <v>2829</v>
      </c>
      <c r="B1362" t="s">
        <v>2830</v>
      </c>
      <c r="C1362" t="s">
        <v>479</v>
      </c>
      <c r="D1362">
        <v>1644</v>
      </c>
      <c r="E1362">
        <v>46287</v>
      </c>
      <c r="F1362">
        <v>377</v>
      </c>
      <c r="G1362">
        <v>69</v>
      </c>
      <c r="H1362">
        <v>1</v>
      </c>
      <c r="I1362">
        <v>7.2007259057618705E-2</v>
      </c>
      <c r="J1362">
        <v>0.335646556215484</v>
      </c>
      <c r="K1362" t="s">
        <v>432</v>
      </c>
      <c r="L1362">
        <v>0.67694071063874128</v>
      </c>
      <c r="M1362">
        <v>1</v>
      </c>
      <c r="N1362">
        <v>1.8594341655635199E-2</v>
      </c>
      <c r="O1362" t="s">
        <v>433</v>
      </c>
      <c r="P1362">
        <v>31879</v>
      </c>
      <c r="Q1362">
        <v>0.98560180683208398</v>
      </c>
      <c r="R1362">
        <v>0</v>
      </c>
      <c r="T1362">
        <v>0</v>
      </c>
      <c r="U1362" t="b">
        <v>0</v>
      </c>
      <c r="V1362">
        <v>9.392699494193204</v>
      </c>
      <c r="Y1362">
        <v>0</v>
      </c>
      <c r="Z1362">
        <v>1126</v>
      </c>
      <c r="AA1362">
        <v>7.3627194911475402E-2</v>
      </c>
      <c r="AB1362">
        <v>5.4394626132352553</v>
      </c>
      <c r="AC1362">
        <v>3.6252003684711299E-2</v>
      </c>
      <c r="AD1362">
        <v>0.1128798379799133</v>
      </c>
      <c r="AE1362">
        <v>0</v>
      </c>
      <c r="AF1362" t="b">
        <v>0</v>
      </c>
    </row>
    <row r="1363" spans="1:35" x14ac:dyDescent="0.3">
      <c r="A1363" t="s">
        <v>2831</v>
      </c>
      <c r="B1363" t="s">
        <v>2832</v>
      </c>
      <c r="C1363" t="s">
        <v>479</v>
      </c>
      <c r="D1363">
        <v>556</v>
      </c>
      <c r="E1363">
        <v>9208</v>
      </c>
      <c r="F1363">
        <v>14</v>
      </c>
      <c r="G1363">
        <v>60</v>
      </c>
      <c r="H1363">
        <v>60</v>
      </c>
      <c r="I1363">
        <v>1</v>
      </c>
      <c r="J1363">
        <v>1</v>
      </c>
      <c r="K1363" t="s">
        <v>86</v>
      </c>
      <c r="P1363">
        <v>0</v>
      </c>
      <c r="R1363">
        <v>0</v>
      </c>
      <c r="T1363">
        <v>0</v>
      </c>
      <c r="U1363" t="b">
        <v>0</v>
      </c>
      <c r="V1363">
        <v>9.8506387921022061</v>
      </c>
      <c r="Y1363">
        <v>0</v>
      </c>
      <c r="Z1363">
        <v>352</v>
      </c>
      <c r="AA1363">
        <v>4.9111949345679001E-2</v>
      </c>
      <c r="AB1363">
        <v>4.6864293377077466</v>
      </c>
      <c r="AC1363">
        <v>3.5496250686379099E-2</v>
      </c>
      <c r="AD1363">
        <v>7.7976529263717301E-2</v>
      </c>
      <c r="AE1363">
        <v>0</v>
      </c>
      <c r="AF1363" t="b">
        <v>0</v>
      </c>
    </row>
    <row r="1364" spans="1:35" x14ac:dyDescent="0.3">
      <c r="A1364" t="s">
        <v>2833</v>
      </c>
      <c r="B1364" t="s">
        <v>2832</v>
      </c>
      <c r="C1364" t="s">
        <v>479</v>
      </c>
      <c r="D1364">
        <v>303</v>
      </c>
      <c r="E1364">
        <v>3718</v>
      </c>
      <c r="F1364">
        <v>12</v>
      </c>
      <c r="G1364">
        <v>60</v>
      </c>
      <c r="H1364">
        <v>60</v>
      </c>
      <c r="I1364">
        <v>1</v>
      </c>
      <c r="J1364">
        <v>1</v>
      </c>
      <c r="K1364" t="s">
        <v>86</v>
      </c>
      <c r="P1364">
        <v>0</v>
      </c>
      <c r="R1364">
        <v>0</v>
      </c>
      <c r="T1364">
        <v>0</v>
      </c>
      <c r="U1364" t="b">
        <v>0</v>
      </c>
      <c r="V1364">
        <v>16.19047619047619</v>
      </c>
      <c r="Y1364">
        <v>0</v>
      </c>
      <c r="Z1364">
        <v>201</v>
      </c>
      <c r="AA1364">
        <v>3.9042964310070399E-2</v>
      </c>
      <c r="AB1364">
        <v>3.4179104477611939</v>
      </c>
      <c r="AC1364">
        <v>1.39002452984464E-2</v>
      </c>
      <c r="AD1364">
        <v>6.1611374407582901E-2</v>
      </c>
      <c r="AE1364">
        <v>0</v>
      </c>
      <c r="AF1364" t="b">
        <v>0</v>
      </c>
    </row>
    <row r="1365" spans="1:35" x14ac:dyDescent="0.3">
      <c r="A1365" t="s">
        <v>2834</v>
      </c>
      <c r="B1365" t="s">
        <v>2835</v>
      </c>
      <c r="C1365" t="s">
        <v>479</v>
      </c>
      <c r="D1365">
        <v>259</v>
      </c>
      <c r="E1365">
        <v>4863</v>
      </c>
      <c r="F1365">
        <v>328</v>
      </c>
      <c r="G1365">
        <v>77</v>
      </c>
      <c r="H1365">
        <v>1</v>
      </c>
      <c r="I1365">
        <v>8.4515731030228206E-2</v>
      </c>
      <c r="J1365">
        <v>0.36762983209683719</v>
      </c>
      <c r="K1365" t="s">
        <v>432</v>
      </c>
      <c r="L1365">
        <v>0.6401796173369777</v>
      </c>
      <c r="M1365">
        <v>1</v>
      </c>
      <c r="N1365">
        <v>1.21988411100945E-2</v>
      </c>
      <c r="O1365" t="s">
        <v>433</v>
      </c>
      <c r="P1365">
        <v>3239</v>
      </c>
      <c r="Q1365">
        <v>0.42605742513121331</v>
      </c>
      <c r="R1365">
        <v>0</v>
      </c>
      <c r="T1365">
        <v>0</v>
      </c>
      <c r="U1365" t="b">
        <v>0</v>
      </c>
      <c r="V1365">
        <v>6.3627118644067799</v>
      </c>
      <c r="Y1365">
        <v>0</v>
      </c>
      <c r="Z1365">
        <v>59</v>
      </c>
      <c r="AA1365">
        <v>8.2749719416386106E-2</v>
      </c>
      <c r="AB1365">
        <v>6.0589625064201353</v>
      </c>
      <c r="AC1365">
        <v>5.4097222222222199E-2</v>
      </c>
      <c r="AD1365">
        <v>0.1097762345679012</v>
      </c>
      <c r="AE1365">
        <v>0</v>
      </c>
      <c r="AF1365" t="b">
        <v>0</v>
      </c>
    </row>
    <row r="1366" spans="1:35" x14ac:dyDescent="0.3">
      <c r="A1366" t="s">
        <v>2836</v>
      </c>
      <c r="B1366" t="s">
        <v>2837</v>
      </c>
      <c r="C1366" t="s">
        <v>479</v>
      </c>
      <c r="D1366">
        <v>954</v>
      </c>
      <c r="E1366">
        <v>32559</v>
      </c>
      <c r="F1366">
        <v>299</v>
      </c>
      <c r="G1366">
        <v>56</v>
      </c>
      <c r="H1366">
        <v>1</v>
      </c>
      <c r="I1366">
        <v>7.3835191498510394E-2</v>
      </c>
      <c r="J1366">
        <v>0.31937360178970919</v>
      </c>
      <c r="K1366" t="s">
        <v>432</v>
      </c>
      <c r="L1366">
        <v>0.69222967934377333</v>
      </c>
      <c r="M1366">
        <v>0.99990308199263422</v>
      </c>
      <c r="N1366">
        <v>1.6805274270694101E-2</v>
      </c>
      <c r="O1366" t="s">
        <v>433</v>
      </c>
      <c r="P1366">
        <v>22817</v>
      </c>
      <c r="Q1366">
        <v>0.9984222290397512</v>
      </c>
      <c r="R1366">
        <v>0</v>
      </c>
      <c r="T1366">
        <v>0</v>
      </c>
      <c r="U1366" t="b">
        <v>0</v>
      </c>
      <c r="V1366">
        <v>10.61100702576112</v>
      </c>
      <c r="Y1366">
        <v>0</v>
      </c>
      <c r="Z1366">
        <v>911</v>
      </c>
      <c r="AA1366">
        <v>4.3572242654303102E-2</v>
      </c>
      <c r="AB1366">
        <v>2.986512882262204</v>
      </c>
      <c r="AC1366">
        <v>7.5743774323585603E-2</v>
      </c>
      <c r="AD1366">
        <v>5.8291700425617501E-2</v>
      </c>
      <c r="AE1366">
        <v>0</v>
      </c>
      <c r="AF1366" t="b">
        <v>0</v>
      </c>
    </row>
    <row r="1367" spans="1:35" x14ac:dyDescent="0.3">
      <c r="A1367" t="s">
        <v>2838</v>
      </c>
      <c r="B1367" t="s">
        <v>2832</v>
      </c>
      <c r="C1367" t="s">
        <v>479</v>
      </c>
      <c r="D1367">
        <v>229</v>
      </c>
      <c r="E1367">
        <v>5432</v>
      </c>
      <c r="F1367">
        <v>15</v>
      </c>
      <c r="G1367">
        <v>60</v>
      </c>
      <c r="H1367">
        <v>60</v>
      </c>
      <c r="I1367">
        <v>1</v>
      </c>
      <c r="J1367">
        <v>1</v>
      </c>
      <c r="K1367" t="s">
        <v>86</v>
      </c>
      <c r="P1367">
        <v>0</v>
      </c>
      <c r="R1367">
        <v>0</v>
      </c>
      <c r="T1367">
        <v>0</v>
      </c>
      <c r="U1367" t="b">
        <v>0</v>
      </c>
      <c r="V1367">
        <v>2.5155279503105592</v>
      </c>
      <c r="Y1367">
        <v>0</v>
      </c>
      <c r="Z1367">
        <v>172</v>
      </c>
      <c r="AA1367">
        <v>3.7097216806042999E-2</v>
      </c>
      <c r="AB1367">
        <v>3.555509413067552</v>
      </c>
      <c r="AC1367">
        <v>3.5608308605341199E-2</v>
      </c>
      <c r="AD1367">
        <v>4.2766151046405798E-2</v>
      </c>
      <c r="AE1367">
        <v>0</v>
      </c>
      <c r="AF1367" t="b">
        <v>0</v>
      </c>
    </row>
    <row r="1368" spans="1:35" x14ac:dyDescent="0.3">
      <c r="A1368" t="s">
        <v>2839</v>
      </c>
      <c r="B1368" t="s">
        <v>2840</v>
      </c>
      <c r="C1368" t="s">
        <v>479</v>
      </c>
      <c r="D1368">
        <v>2130</v>
      </c>
      <c r="E1368">
        <v>44213</v>
      </c>
      <c r="F1368">
        <v>11</v>
      </c>
      <c r="G1368">
        <v>60</v>
      </c>
      <c r="H1368">
        <v>60</v>
      </c>
      <c r="I1368">
        <v>1</v>
      </c>
      <c r="J1368">
        <v>1</v>
      </c>
      <c r="K1368" t="s">
        <v>86</v>
      </c>
      <c r="P1368">
        <v>0</v>
      </c>
      <c r="R1368">
        <v>0</v>
      </c>
      <c r="T1368">
        <v>1</v>
      </c>
      <c r="U1368" t="b">
        <v>1</v>
      </c>
      <c r="V1368">
        <v>7.6274772036474161</v>
      </c>
      <c r="W1368">
        <v>0</v>
      </c>
      <c r="X1368" t="b">
        <v>1</v>
      </c>
      <c r="Y1368">
        <v>0</v>
      </c>
      <c r="Z1368">
        <v>1405</v>
      </c>
      <c r="AA1368">
        <v>6.0065238555614001E-3</v>
      </c>
      <c r="AB1368">
        <v>0.50015571616995114</v>
      </c>
      <c r="AC1368">
        <v>-3.2196929154854802E-2</v>
      </c>
      <c r="AD1368">
        <v>4.4358205979726201E-2</v>
      </c>
      <c r="AE1368">
        <v>1</v>
      </c>
      <c r="AF1368" t="b">
        <v>1</v>
      </c>
      <c r="AG1368">
        <v>0</v>
      </c>
      <c r="AH1368">
        <v>0</v>
      </c>
      <c r="AI1368" t="b">
        <v>1</v>
      </c>
    </row>
    <row r="1369" spans="1:35" x14ac:dyDescent="0.3">
      <c r="A1369" t="s">
        <v>2841</v>
      </c>
      <c r="B1369" t="s">
        <v>2842</v>
      </c>
      <c r="C1369" t="s">
        <v>479</v>
      </c>
      <c r="D1369">
        <v>2571</v>
      </c>
      <c r="E1369">
        <v>67832</v>
      </c>
      <c r="F1369">
        <v>19</v>
      </c>
      <c r="G1369">
        <v>60</v>
      </c>
      <c r="H1369">
        <v>60</v>
      </c>
      <c r="I1369">
        <v>1</v>
      </c>
      <c r="J1369">
        <v>1</v>
      </c>
      <c r="K1369" t="s">
        <v>432</v>
      </c>
      <c r="L1369">
        <v>0.61749607124148764</v>
      </c>
      <c r="M1369">
        <v>1</v>
      </c>
      <c r="N1369">
        <v>1</v>
      </c>
      <c r="O1369" t="s">
        <v>433</v>
      </c>
      <c r="P1369">
        <v>0</v>
      </c>
      <c r="R1369">
        <v>0</v>
      </c>
      <c r="T1369">
        <v>0</v>
      </c>
      <c r="U1369" t="b">
        <v>0</v>
      </c>
      <c r="V1369">
        <v>10.78800705467372</v>
      </c>
      <c r="Y1369">
        <v>0</v>
      </c>
      <c r="Z1369">
        <v>2011</v>
      </c>
      <c r="AA1369">
        <v>1.7192378401736999E-3</v>
      </c>
      <c r="AB1369">
        <v>0.16205619299785581</v>
      </c>
      <c r="AC1369">
        <v>-5.2080263864648299E-2</v>
      </c>
      <c r="AD1369">
        <v>3.8906344083992198E-2</v>
      </c>
      <c r="AE1369">
        <v>0</v>
      </c>
      <c r="AF1369" t="b">
        <v>0</v>
      </c>
    </row>
    <row r="1370" spans="1:35" x14ac:dyDescent="0.3">
      <c r="A1370" t="s">
        <v>2843</v>
      </c>
      <c r="B1370" t="s">
        <v>2844</v>
      </c>
      <c r="C1370" t="s">
        <v>479</v>
      </c>
      <c r="D1370">
        <v>211</v>
      </c>
      <c r="E1370">
        <v>4614</v>
      </c>
      <c r="F1370">
        <v>9</v>
      </c>
      <c r="G1370">
        <v>60</v>
      </c>
      <c r="H1370">
        <v>60</v>
      </c>
      <c r="I1370">
        <v>1</v>
      </c>
      <c r="J1370">
        <v>1</v>
      </c>
      <c r="K1370" t="s">
        <v>432</v>
      </c>
      <c r="L1370">
        <v>0.33093525179856109</v>
      </c>
      <c r="M1370">
        <v>1</v>
      </c>
      <c r="N1370">
        <v>1</v>
      </c>
      <c r="O1370" t="s">
        <v>433</v>
      </c>
      <c r="P1370">
        <v>0</v>
      </c>
      <c r="R1370">
        <v>0</v>
      </c>
      <c r="T1370">
        <v>0</v>
      </c>
      <c r="U1370" t="b">
        <v>0</v>
      </c>
      <c r="V1370">
        <v>3.272397094430993</v>
      </c>
      <c r="Y1370">
        <v>0</v>
      </c>
      <c r="Z1370">
        <v>143</v>
      </c>
      <c r="AA1370">
        <v>1.5135625360705699E-2</v>
      </c>
      <c r="AB1370">
        <v>1.5283050283050279</v>
      </c>
      <c r="AC1370">
        <v>3.02038332826285E-2</v>
      </c>
      <c r="AD1370">
        <v>4.6787479406918998E-3</v>
      </c>
      <c r="AE1370">
        <v>0</v>
      </c>
      <c r="AF1370" t="b">
        <v>0</v>
      </c>
    </row>
    <row r="1371" spans="1:35" x14ac:dyDescent="0.3">
      <c r="A1371" t="s">
        <v>2845</v>
      </c>
      <c r="B1371" t="s">
        <v>2774</v>
      </c>
      <c r="C1371" t="s">
        <v>479</v>
      </c>
      <c r="D1371">
        <v>1863</v>
      </c>
      <c r="E1371">
        <v>27777</v>
      </c>
      <c r="F1371">
        <v>97</v>
      </c>
      <c r="G1371">
        <v>180</v>
      </c>
      <c r="H1371">
        <v>60</v>
      </c>
      <c r="I1371">
        <v>0.9960038881088672</v>
      </c>
      <c r="J1371">
        <v>0.99802701979668285</v>
      </c>
      <c r="K1371" t="s">
        <v>432</v>
      </c>
      <c r="L1371">
        <v>2.4077046548956001E-3</v>
      </c>
      <c r="M1371">
        <v>1</v>
      </c>
      <c r="N1371">
        <v>0.1805555555555555</v>
      </c>
      <c r="O1371" t="s">
        <v>433</v>
      </c>
      <c r="P1371">
        <v>59</v>
      </c>
      <c r="Q1371">
        <v>1</v>
      </c>
      <c r="R1371">
        <v>0</v>
      </c>
      <c r="T1371">
        <v>0</v>
      </c>
      <c r="U1371" t="b">
        <v>0</v>
      </c>
      <c r="V1371">
        <v>17.380951842275369</v>
      </c>
      <c r="Y1371">
        <v>0</v>
      </c>
      <c r="Z1371">
        <v>378</v>
      </c>
      <c r="AA1371">
        <v>7.1553007656187897E-2</v>
      </c>
      <c r="AB1371">
        <v>10.430910561310091</v>
      </c>
      <c r="AC1371">
        <v>0.1093609492713444</v>
      </c>
      <c r="AD1371">
        <v>7.8892154989202407E-2</v>
      </c>
      <c r="AE1371">
        <v>0</v>
      </c>
      <c r="AF1371" t="b">
        <v>0</v>
      </c>
    </row>
    <row r="1372" spans="1:35" x14ac:dyDescent="0.3">
      <c r="A1372" t="s">
        <v>2846</v>
      </c>
      <c r="B1372" t="s">
        <v>2847</v>
      </c>
      <c r="C1372" t="s">
        <v>479</v>
      </c>
      <c r="D1372">
        <v>2142</v>
      </c>
      <c r="E1372">
        <v>48097</v>
      </c>
      <c r="F1372">
        <v>242</v>
      </c>
      <c r="G1372">
        <v>69</v>
      </c>
      <c r="H1372">
        <v>1</v>
      </c>
      <c r="I1372">
        <v>4.4909245898912598E-2</v>
      </c>
      <c r="J1372">
        <v>0.31169012122056572</v>
      </c>
      <c r="K1372" t="s">
        <v>432</v>
      </c>
      <c r="L1372">
        <v>0.69822249646688828</v>
      </c>
      <c r="M1372">
        <v>1</v>
      </c>
      <c r="N1372">
        <v>1.4196932550316401E-2</v>
      </c>
      <c r="O1372" t="s">
        <v>433</v>
      </c>
      <c r="P1372">
        <v>34580</v>
      </c>
      <c r="Q1372">
        <v>1</v>
      </c>
      <c r="R1372">
        <v>0</v>
      </c>
      <c r="T1372">
        <v>0</v>
      </c>
      <c r="U1372" t="b">
        <v>0</v>
      </c>
      <c r="V1372">
        <v>5.0682166248091791</v>
      </c>
      <c r="Y1372">
        <v>0</v>
      </c>
      <c r="Z1372">
        <v>1259</v>
      </c>
      <c r="AA1372">
        <v>7.0792928281934002E-3</v>
      </c>
      <c r="AB1372">
        <v>0.57921319862578102</v>
      </c>
      <c r="AC1372">
        <v>-1.2115629277610699E-2</v>
      </c>
      <c r="AD1372">
        <v>2.80790403197787E-2</v>
      </c>
      <c r="AE1372">
        <v>0</v>
      </c>
      <c r="AF1372" t="b">
        <v>0</v>
      </c>
    </row>
    <row r="1373" spans="1:35" x14ac:dyDescent="0.3">
      <c r="A1373" t="s">
        <v>2848</v>
      </c>
      <c r="B1373" t="s">
        <v>2708</v>
      </c>
      <c r="C1373" t="s">
        <v>479</v>
      </c>
      <c r="D1373">
        <v>422</v>
      </c>
      <c r="E1373">
        <v>7238</v>
      </c>
      <c r="F1373">
        <v>4</v>
      </c>
      <c r="G1373">
        <v>60</v>
      </c>
      <c r="H1373">
        <v>60</v>
      </c>
      <c r="I1373">
        <v>1</v>
      </c>
      <c r="J1373">
        <v>1</v>
      </c>
      <c r="K1373" t="s">
        <v>432</v>
      </c>
      <c r="L1373">
        <v>0.7080550918196995</v>
      </c>
      <c r="M1373">
        <v>1</v>
      </c>
      <c r="N1373">
        <v>1</v>
      </c>
      <c r="O1373" t="s">
        <v>518</v>
      </c>
      <c r="P1373">
        <v>0</v>
      </c>
      <c r="R1373">
        <v>0</v>
      </c>
      <c r="T1373">
        <v>0</v>
      </c>
      <c r="U1373" t="b">
        <v>0</v>
      </c>
      <c r="V1373">
        <v>3.2323897300855831</v>
      </c>
      <c r="Y1373">
        <v>0</v>
      </c>
      <c r="Z1373">
        <v>240</v>
      </c>
      <c r="AA1373">
        <v>4.2726410005000902E-2</v>
      </c>
      <c r="AB1373">
        <v>3.3121184371184369</v>
      </c>
      <c r="AC1373">
        <v>2.7370816494683502E-2</v>
      </c>
      <c r="AD1373">
        <v>5.7984535216002601E-2</v>
      </c>
      <c r="AE1373">
        <v>0</v>
      </c>
      <c r="AF1373" t="b">
        <v>0</v>
      </c>
    </row>
    <row r="1374" spans="1:35" x14ac:dyDescent="0.3">
      <c r="A1374" t="s">
        <v>2849</v>
      </c>
      <c r="B1374" t="s">
        <v>2850</v>
      </c>
      <c r="C1374" t="s">
        <v>479</v>
      </c>
      <c r="D1374">
        <v>2342</v>
      </c>
      <c r="E1374">
        <v>53086</v>
      </c>
      <c r="F1374">
        <v>222</v>
      </c>
      <c r="G1374">
        <v>58</v>
      </c>
      <c r="H1374">
        <v>1</v>
      </c>
      <c r="I1374">
        <v>4.5285009230305498E-2</v>
      </c>
      <c r="J1374">
        <v>0.31284995898569851</v>
      </c>
      <c r="K1374" t="s">
        <v>86</v>
      </c>
      <c r="P1374">
        <v>0</v>
      </c>
      <c r="R1374">
        <v>0</v>
      </c>
      <c r="T1374">
        <v>1</v>
      </c>
      <c r="U1374" t="b">
        <v>1</v>
      </c>
      <c r="V1374">
        <v>6.7243069621509992</v>
      </c>
      <c r="W1374">
        <v>4.6923944111444111</v>
      </c>
      <c r="X1374" t="b">
        <v>1</v>
      </c>
      <c r="Y1374">
        <v>0</v>
      </c>
      <c r="Z1374">
        <v>1222</v>
      </c>
      <c r="AA1374">
        <v>1.2792460622204601E-2</v>
      </c>
      <c r="AB1374">
        <v>0.84211068999747174</v>
      </c>
      <c r="AC1374">
        <v>-2.1512476186933499E-2</v>
      </c>
      <c r="AD1374">
        <v>4.3733718601484298E-2</v>
      </c>
      <c r="AE1374">
        <v>1</v>
      </c>
      <c r="AF1374" t="b">
        <v>1</v>
      </c>
      <c r="AG1374">
        <v>1.4609655954728301E-2</v>
      </c>
      <c r="AH1374">
        <v>1.5555374521678871</v>
      </c>
      <c r="AI1374" t="b">
        <v>0</v>
      </c>
    </row>
    <row r="1375" spans="1:35" x14ac:dyDescent="0.3">
      <c r="A1375" t="s">
        <v>2851</v>
      </c>
      <c r="B1375" t="s">
        <v>2852</v>
      </c>
      <c r="C1375" t="s">
        <v>479</v>
      </c>
      <c r="D1375">
        <v>417</v>
      </c>
      <c r="E1375">
        <v>5467</v>
      </c>
      <c r="F1375">
        <v>18</v>
      </c>
      <c r="G1375">
        <v>60</v>
      </c>
      <c r="H1375">
        <v>60</v>
      </c>
      <c r="I1375">
        <v>1</v>
      </c>
      <c r="J1375">
        <v>1</v>
      </c>
      <c r="K1375" t="s">
        <v>86</v>
      </c>
      <c r="P1375">
        <v>0</v>
      </c>
      <c r="R1375">
        <v>0</v>
      </c>
      <c r="T1375">
        <v>0</v>
      </c>
      <c r="U1375" t="b">
        <v>0</v>
      </c>
      <c r="V1375">
        <v>5.4545454545454541</v>
      </c>
      <c r="Y1375">
        <v>0</v>
      </c>
      <c r="Z1375">
        <v>240</v>
      </c>
      <c r="AA1375">
        <v>2.3289259036661802E-2</v>
      </c>
      <c r="AB1375">
        <v>2.260416666666667</v>
      </c>
      <c r="AC1375">
        <v>7.6719576719576701E-2</v>
      </c>
      <c r="AD1375">
        <v>-1.33843212237093E-2</v>
      </c>
      <c r="AE1375">
        <v>0</v>
      </c>
      <c r="AF1375" t="b">
        <v>0</v>
      </c>
    </row>
    <row r="1376" spans="1:35" x14ac:dyDescent="0.3">
      <c r="A1376" t="s">
        <v>2853</v>
      </c>
      <c r="B1376" t="s">
        <v>2800</v>
      </c>
      <c r="C1376" t="s">
        <v>479</v>
      </c>
      <c r="D1376">
        <v>118</v>
      </c>
      <c r="E1376">
        <v>2626</v>
      </c>
      <c r="F1376">
        <v>7</v>
      </c>
      <c r="G1376">
        <v>60</v>
      </c>
      <c r="H1376">
        <v>60</v>
      </c>
      <c r="I1376">
        <v>1</v>
      </c>
      <c r="J1376">
        <v>1</v>
      </c>
      <c r="K1376" t="s">
        <v>86</v>
      </c>
      <c r="P1376">
        <v>0</v>
      </c>
      <c r="R1376">
        <v>0</v>
      </c>
      <c r="T1376">
        <v>0</v>
      </c>
      <c r="U1376" t="b">
        <v>0</v>
      </c>
      <c r="V1376">
        <v>0.29268292682926828</v>
      </c>
      <c r="Y1376">
        <v>0</v>
      </c>
      <c r="Z1376">
        <v>149</v>
      </c>
      <c r="AA1376">
        <v>-3.0776515151514998E-3</v>
      </c>
      <c r="AB1376">
        <v>-0.21812080536912751</v>
      </c>
      <c r="AC1376">
        <v>0</v>
      </c>
      <c r="AD1376">
        <v>-8.4745762711860002E-4</v>
      </c>
      <c r="AE1376">
        <v>0</v>
      </c>
      <c r="AF1376" t="b">
        <v>0</v>
      </c>
    </row>
    <row r="1377" spans="1:35" x14ac:dyDescent="0.3">
      <c r="A1377" t="s">
        <v>2854</v>
      </c>
      <c r="B1377" t="s">
        <v>2800</v>
      </c>
      <c r="C1377" t="s">
        <v>479</v>
      </c>
      <c r="D1377">
        <v>1772</v>
      </c>
      <c r="E1377">
        <v>34931</v>
      </c>
      <c r="F1377">
        <v>28</v>
      </c>
      <c r="G1377">
        <v>60</v>
      </c>
      <c r="H1377">
        <v>60</v>
      </c>
      <c r="I1377">
        <v>1</v>
      </c>
      <c r="J1377">
        <v>1</v>
      </c>
      <c r="K1377" t="s">
        <v>86</v>
      </c>
      <c r="P1377">
        <v>0</v>
      </c>
      <c r="R1377">
        <v>0</v>
      </c>
      <c r="T1377">
        <v>1</v>
      </c>
      <c r="U1377" t="b">
        <v>1</v>
      </c>
      <c r="V1377">
        <v>8.9617064137412985</v>
      </c>
      <c r="W1377">
        <v>10.422750424448219</v>
      </c>
      <c r="X1377" t="b">
        <v>0</v>
      </c>
      <c r="Y1377">
        <v>0</v>
      </c>
      <c r="Z1377">
        <v>732</v>
      </c>
      <c r="AA1377">
        <v>4.7891434185814402E-2</v>
      </c>
      <c r="AB1377">
        <v>4.50685621525722</v>
      </c>
      <c r="AC1377">
        <v>1.99222753508571E-2</v>
      </c>
      <c r="AD1377">
        <v>8.2789287921047006E-2</v>
      </c>
      <c r="AE1377">
        <v>1</v>
      </c>
      <c r="AF1377" t="b">
        <v>1</v>
      </c>
      <c r="AG1377">
        <v>9.2582263754429999E-4</v>
      </c>
      <c r="AH1377">
        <v>8.8474498710375105E-2</v>
      </c>
      <c r="AI1377" t="b">
        <v>1</v>
      </c>
    </row>
    <row r="1378" spans="1:35" x14ac:dyDescent="0.3">
      <c r="A1378" t="s">
        <v>2855</v>
      </c>
      <c r="B1378" t="s">
        <v>2856</v>
      </c>
      <c r="C1378" t="s">
        <v>479</v>
      </c>
      <c r="D1378">
        <v>94285</v>
      </c>
      <c r="E1378">
        <v>1879333</v>
      </c>
      <c r="F1378">
        <v>99</v>
      </c>
      <c r="G1378">
        <v>60</v>
      </c>
      <c r="H1378">
        <v>60</v>
      </c>
      <c r="I1378">
        <v>0.99986378145863442</v>
      </c>
      <c r="J1378">
        <v>0.99988615587961482</v>
      </c>
      <c r="K1378" t="s">
        <v>432</v>
      </c>
      <c r="L1378">
        <v>7.6256265044547999E-3</v>
      </c>
      <c r="M1378">
        <v>0.99988528107594676</v>
      </c>
      <c r="N1378">
        <v>1</v>
      </c>
      <c r="O1378" t="s">
        <v>518</v>
      </c>
      <c r="P1378">
        <v>0</v>
      </c>
      <c r="R1378">
        <v>236</v>
      </c>
      <c r="S1378">
        <v>0</v>
      </c>
      <c r="T1378">
        <v>3</v>
      </c>
      <c r="U1378" t="b">
        <v>1</v>
      </c>
      <c r="V1378">
        <v>11.86245563234197</v>
      </c>
      <c r="W1378">
        <v>6.2176050959841236</v>
      </c>
      <c r="X1378" t="b">
        <v>1</v>
      </c>
      <c r="Y1378">
        <v>0</v>
      </c>
      <c r="Z1378">
        <v>32526</v>
      </c>
      <c r="AA1378">
        <v>3.9108831777978401E-2</v>
      </c>
      <c r="AB1378">
        <v>4.1980584757366044</v>
      </c>
      <c r="AC1378">
        <v>1.64062256756939E-2</v>
      </c>
      <c r="AD1378">
        <v>6.0707475155673998E-2</v>
      </c>
      <c r="AE1378">
        <v>3</v>
      </c>
      <c r="AF1378" t="b">
        <v>1</v>
      </c>
      <c r="AG1378">
        <v>2.2990899632082998E-3</v>
      </c>
      <c r="AH1378">
        <v>0.51701030127123981</v>
      </c>
      <c r="AI1378" t="b">
        <v>1</v>
      </c>
    </row>
    <row r="1379" spans="1:35" x14ac:dyDescent="0.3">
      <c r="A1379" t="s">
        <v>2857</v>
      </c>
      <c r="B1379" t="s">
        <v>2858</v>
      </c>
      <c r="C1379" t="s">
        <v>479</v>
      </c>
      <c r="D1379">
        <v>566</v>
      </c>
      <c r="E1379">
        <v>8279</v>
      </c>
      <c r="F1379">
        <v>48</v>
      </c>
      <c r="G1379">
        <v>300</v>
      </c>
      <c r="H1379">
        <v>60</v>
      </c>
      <c r="I1379">
        <v>1</v>
      </c>
      <c r="J1379">
        <v>1</v>
      </c>
      <c r="K1379" t="s">
        <v>86</v>
      </c>
      <c r="P1379">
        <v>0</v>
      </c>
      <c r="R1379">
        <v>0</v>
      </c>
      <c r="T1379">
        <v>0</v>
      </c>
      <c r="U1379" t="b">
        <v>0</v>
      </c>
      <c r="V1379">
        <v>59.262278733482923</v>
      </c>
      <c r="Y1379">
        <v>0</v>
      </c>
      <c r="Z1379">
        <v>259</v>
      </c>
      <c r="AA1379">
        <v>0.1177149316169518</v>
      </c>
      <c r="AB1379">
        <v>40.213716936406009</v>
      </c>
      <c r="AC1379">
        <v>0.13153400140187249</v>
      </c>
      <c r="AD1379">
        <v>0.1095092352785786</v>
      </c>
      <c r="AE1379">
        <v>0</v>
      </c>
      <c r="AF1379" t="b">
        <v>0</v>
      </c>
    </row>
    <row r="1380" spans="1:35" x14ac:dyDescent="0.3">
      <c r="A1380" t="s">
        <v>2859</v>
      </c>
      <c r="B1380" t="s">
        <v>2705</v>
      </c>
      <c r="C1380" t="s">
        <v>479</v>
      </c>
      <c r="D1380">
        <v>532</v>
      </c>
      <c r="E1380">
        <v>3604</v>
      </c>
      <c r="F1380">
        <v>31</v>
      </c>
      <c r="G1380">
        <v>180</v>
      </c>
      <c r="H1380">
        <v>60</v>
      </c>
      <c r="I1380">
        <v>1</v>
      </c>
      <c r="J1380">
        <v>1</v>
      </c>
      <c r="K1380" t="s">
        <v>86</v>
      </c>
      <c r="P1380">
        <v>0</v>
      </c>
      <c r="R1380">
        <v>0</v>
      </c>
      <c r="T1380">
        <v>0</v>
      </c>
      <c r="U1380" t="b">
        <v>0</v>
      </c>
      <c r="Y1380">
        <v>0</v>
      </c>
      <c r="Z1380">
        <v>0</v>
      </c>
      <c r="AE1380">
        <v>0</v>
      </c>
      <c r="AF1380" t="b">
        <v>0</v>
      </c>
    </row>
    <row r="1381" spans="1:35" x14ac:dyDescent="0.3">
      <c r="A1381" t="s">
        <v>2860</v>
      </c>
      <c r="B1381" t="s">
        <v>2705</v>
      </c>
      <c r="C1381" t="s">
        <v>479</v>
      </c>
      <c r="D1381">
        <v>571</v>
      </c>
      <c r="E1381">
        <v>4258</v>
      </c>
      <c r="F1381">
        <v>35</v>
      </c>
      <c r="G1381">
        <v>180</v>
      </c>
      <c r="H1381">
        <v>60</v>
      </c>
      <c r="I1381">
        <v>1</v>
      </c>
      <c r="J1381">
        <v>1</v>
      </c>
      <c r="K1381" t="s">
        <v>86</v>
      </c>
      <c r="P1381">
        <v>0</v>
      </c>
      <c r="R1381">
        <v>0</v>
      </c>
      <c r="T1381">
        <v>0</v>
      </c>
      <c r="U1381" t="b">
        <v>0</v>
      </c>
      <c r="V1381">
        <v>100</v>
      </c>
      <c r="Y1381">
        <v>0</v>
      </c>
      <c r="Z1381">
        <v>0</v>
      </c>
      <c r="AE1381">
        <v>0</v>
      </c>
      <c r="AF1381" t="b">
        <v>0</v>
      </c>
    </row>
    <row r="1382" spans="1:35" x14ac:dyDescent="0.3">
      <c r="A1382" t="s">
        <v>2861</v>
      </c>
      <c r="B1382" t="s">
        <v>2862</v>
      </c>
      <c r="C1382" t="s">
        <v>479</v>
      </c>
      <c r="D1382">
        <v>220</v>
      </c>
      <c r="E1382">
        <v>5299</v>
      </c>
      <c r="F1382">
        <v>8</v>
      </c>
      <c r="G1382">
        <v>60</v>
      </c>
      <c r="H1382">
        <v>60</v>
      </c>
      <c r="I1382">
        <v>1</v>
      </c>
      <c r="J1382">
        <v>1</v>
      </c>
      <c r="K1382" t="s">
        <v>432</v>
      </c>
      <c r="L1382">
        <v>0.57317859445519015</v>
      </c>
      <c r="M1382">
        <v>1</v>
      </c>
      <c r="N1382">
        <v>1</v>
      </c>
      <c r="O1382" t="s">
        <v>433</v>
      </c>
      <c r="P1382">
        <v>0</v>
      </c>
      <c r="R1382">
        <v>0</v>
      </c>
      <c r="T1382">
        <v>0</v>
      </c>
      <c r="U1382" t="b">
        <v>0</v>
      </c>
      <c r="V1382">
        <v>0</v>
      </c>
      <c r="Y1382">
        <v>0</v>
      </c>
      <c r="Z1382">
        <v>168</v>
      </c>
      <c r="AA1382">
        <v>0</v>
      </c>
      <c r="AB1382">
        <v>0</v>
      </c>
      <c r="AC1382">
        <v>0</v>
      </c>
      <c r="AD1382">
        <v>0</v>
      </c>
      <c r="AE1382">
        <v>0</v>
      </c>
      <c r="AF1382" t="b">
        <v>0</v>
      </c>
    </row>
    <row r="1383" spans="1:35" x14ac:dyDescent="0.3">
      <c r="A1383" t="s">
        <v>2863</v>
      </c>
      <c r="B1383" t="s">
        <v>2864</v>
      </c>
      <c r="C1383" t="s">
        <v>479</v>
      </c>
      <c r="D1383">
        <v>579</v>
      </c>
      <c r="E1383">
        <v>15559</v>
      </c>
      <c r="F1383">
        <v>11</v>
      </c>
      <c r="G1383">
        <v>60</v>
      </c>
      <c r="H1383">
        <v>60</v>
      </c>
      <c r="I1383">
        <v>1</v>
      </c>
      <c r="J1383">
        <v>1</v>
      </c>
      <c r="K1383" t="s">
        <v>432</v>
      </c>
      <c r="L1383">
        <v>0.73536429720881191</v>
      </c>
      <c r="M1383">
        <v>1</v>
      </c>
      <c r="N1383">
        <v>1</v>
      </c>
      <c r="O1383" t="s">
        <v>433</v>
      </c>
      <c r="P1383">
        <v>0</v>
      </c>
      <c r="R1383">
        <v>0</v>
      </c>
      <c r="T1383">
        <v>0</v>
      </c>
      <c r="U1383" t="b">
        <v>0</v>
      </c>
      <c r="V1383">
        <v>5.7397051347229278</v>
      </c>
      <c r="Y1383">
        <v>0</v>
      </c>
      <c r="Z1383">
        <v>538</v>
      </c>
      <c r="AA1383">
        <v>2.59784170855848E-2</v>
      </c>
      <c r="AB1383">
        <v>2.1982873074880511</v>
      </c>
      <c r="AC1383">
        <v>9.6506015633622995E-3</v>
      </c>
      <c r="AD1383">
        <v>3.9963873017499797E-2</v>
      </c>
      <c r="AE1383">
        <v>0</v>
      </c>
      <c r="AF1383" t="b">
        <v>0</v>
      </c>
    </row>
    <row r="1384" spans="1:35" x14ac:dyDescent="0.3">
      <c r="A1384" t="s">
        <v>2865</v>
      </c>
      <c r="B1384" t="s">
        <v>2866</v>
      </c>
      <c r="C1384" t="s">
        <v>479</v>
      </c>
      <c r="D1384">
        <v>3560</v>
      </c>
      <c r="E1384">
        <v>75022</v>
      </c>
      <c r="F1384">
        <v>18</v>
      </c>
      <c r="G1384">
        <v>60</v>
      </c>
      <c r="H1384">
        <v>60</v>
      </c>
      <c r="I1384">
        <v>1</v>
      </c>
      <c r="J1384">
        <v>1</v>
      </c>
      <c r="K1384" t="s">
        <v>86</v>
      </c>
      <c r="P1384">
        <v>0</v>
      </c>
      <c r="R1384">
        <v>0</v>
      </c>
      <c r="T1384">
        <v>1</v>
      </c>
      <c r="U1384" t="b">
        <v>1</v>
      </c>
      <c r="V1384">
        <v>7.1128698898015648</v>
      </c>
      <c r="W1384">
        <v>1.240308026281141</v>
      </c>
      <c r="X1384" t="b">
        <v>1</v>
      </c>
      <c r="Y1384">
        <v>0</v>
      </c>
      <c r="Z1384">
        <v>1668</v>
      </c>
      <c r="AA1384">
        <v>4.0781239479014603E-2</v>
      </c>
      <c r="AB1384">
        <v>3.245878864321349</v>
      </c>
      <c r="AC1384">
        <v>2.3156991710435001E-2</v>
      </c>
      <c r="AD1384">
        <v>7.0403259002097401E-2</v>
      </c>
      <c r="AE1384">
        <v>1</v>
      </c>
      <c r="AF1384" t="b">
        <v>1</v>
      </c>
      <c r="AG1384">
        <v>2.3094293204427501E-2</v>
      </c>
      <c r="AH1384">
        <v>2.1158796297538851</v>
      </c>
      <c r="AI1384" t="b">
        <v>1</v>
      </c>
    </row>
    <row r="1385" spans="1:35" x14ac:dyDescent="0.3">
      <c r="A1385" t="s">
        <v>2867</v>
      </c>
      <c r="B1385" t="s">
        <v>2868</v>
      </c>
      <c r="C1385" t="s">
        <v>479</v>
      </c>
      <c r="D1385">
        <v>4330</v>
      </c>
      <c r="E1385">
        <v>69534</v>
      </c>
      <c r="F1385">
        <v>41</v>
      </c>
      <c r="G1385">
        <v>120</v>
      </c>
      <c r="H1385">
        <v>60</v>
      </c>
      <c r="I1385">
        <v>1</v>
      </c>
      <c r="J1385">
        <v>1</v>
      </c>
      <c r="K1385" t="s">
        <v>432</v>
      </c>
      <c r="L1385">
        <v>2.4532988083599699E-2</v>
      </c>
      <c r="M1385">
        <v>1</v>
      </c>
      <c r="N1385">
        <v>1</v>
      </c>
      <c r="O1385" t="s">
        <v>433</v>
      </c>
      <c r="P1385">
        <v>0</v>
      </c>
      <c r="R1385">
        <v>0</v>
      </c>
      <c r="T1385">
        <v>0</v>
      </c>
      <c r="U1385" t="b">
        <v>0</v>
      </c>
      <c r="V1385">
        <v>9.9127459366980339</v>
      </c>
      <c r="Y1385">
        <v>0</v>
      </c>
      <c r="Z1385">
        <v>1422</v>
      </c>
      <c r="AA1385">
        <v>1.9239906688836499E-2</v>
      </c>
      <c r="AB1385">
        <v>3.316865975093823</v>
      </c>
      <c r="AC1385">
        <v>2.4550477053354999E-2</v>
      </c>
      <c r="AD1385">
        <v>1.7919727212893501E-2</v>
      </c>
      <c r="AE1385">
        <v>0</v>
      </c>
      <c r="AF1385" t="b">
        <v>0</v>
      </c>
    </row>
    <row r="1386" spans="1:35" x14ac:dyDescent="0.3">
      <c r="A1386" t="s">
        <v>2869</v>
      </c>
      <c r="B1386" t="s">
        <v>2870</v>
      </c>
      <c r="C1386" t="s">
        <v>479</v>
      </c>
      <c r="D1386">
        <v>127</v>
      </c>
      <c r="E1386">
        <v>917</v>
      </c>
      <c r="F1386">
        <v>8</v>
      </c>
      <c r="G1386">
        <v>120</v>
      </c>
      <c r="H1386">
        <v>60</v>
      </c>
      <c r="I1386">
        <v>1</v>
      </c>
      <c r="J1386">
        <v>1</v>
      </c>
      <c r="K1386" t="s">
        <v>86</v>
      </c>
      <c r="P1386">
        <v>0</v>
      </c>
      <c r="R1386">
        <v>0</v>
      </c>
      <c r="T1386">
        <v>0</v>
      </c>
      <c r="U1386" t="b">
        <v>0</v>
      </c>
      <c r="V1386">
        <v>0</v>
      </c>
      <c r="Y1386">
        <v>0</v>
      </c>
      <c r="Z1386">
        <v>45</v>
      </c>
      <c r="AA1386">
        <v>0</v>
      </c>
      <c r="AB1386">
        <v>0</v>
      </c>
      <c r="AC1386">
        <v>0</v>
      </c>
      <c r="AD1386">
        <v>0</v>
      </c>
      <c r="AE1386">
        <v>0</v>
      </c>
      <c r="AF1386" t="b">
        <v>0</v>
      </c>
    </row>
    <row r="1387" spans="1:35" x14ac:dyDescent="0.3">
      <c r="A1387" t="s">
        <v>2871</v>
      </c>
      <c r="B1387" t="s">
        <v>2870</v>
      </c>
      <c r="C1387" t="s">
        <v>479</v>
      </c>
      <c r="D1387">
        <v>505</v>
      </c>
      <c r="E1387">
        <v>12190</v>
      </c>
      <c r="F1387">
        <v>21</v>
      </c>
      <c r="G1387">
        <v>60</v>
      </c>
      <c r="H1387">
        <v>60</v>
      </c>
      <c r="I1387">
        <v>1</v>
      </c>
      <c r="J1387">
        <v>1</v>
      </c>
      <c r="K1387" t="s">
        <v>86</v>
      </c>
      <c r="P1387">
        <v>0</v>
      </c>
      <c r="R1387">
        <v>0</v>
      </c>
      <c r="T1387">
        <v>0</v>
      </c>
      <c r="U1387" t="b">
        <v>0</v>
      </c>
      <c r="V1387">
        <v>7.6395911780527159</v>
      </c>
      <c r="Y1387">
        <v>0</v>
      </c>
      <c r="Z1387">
        <v>268</v>
      </c>
      <c r="AA1387">
        <v>2.7328697633867399E-2</v>
      </c>
      <c r="AB1387">
        <v>2.5509983603448498</v>
      </c>
      <c r="AC1387">
        <v>-3.6557001421124E-3</v>
      </c>
      <c r="AD1387">
        <v>6.4955280211988098E-2</v>
      </c>
      <c r="AE1387">
        <v>0</v>
      </c>
      <c r="AF1387" t="b">
        <v>0</v>
      </c>
    </row>
    <row r="1388" spans="1:35" x14ac:dyDescent="0.3">
      <c r="A1388" t="s">
        <v>2872</v>
      </c>
      <c r="B1388" t="s">
        <v>2870</v>
      </c>
      <c r="C1388" t="s">
        <v>479</v>
      </c>
      <c r="D1388">
        <v>445</v>
      </c>
      <c r="E1388">
        <v>8819</v>
      </c>
      <c r="F1388">
        <v>7</v>
      </c>
      <c r="G1388">
        <v>60</v>
      </c>
      <c r="H1388">
        <v>60</v>
      </c>
      <c r="I1388">
        <v>1</v>
      </c>
      <c r="J1388">
        <v>1</v>
      </c>
      <c r="K1388" t="s">
        <v>86</v>
      </c>
      <c r="P1388">
        <v>0</v>
      </c>
      <c r="R1388">
        <v>0</v>
      </c>
      <c r="T1388">
        <v>0</v>
      </c>
      <c r="U1388" t="b">
        <v>0</v>
      </c>
      <c r="V1388">
        <v>15.657753357753361</v>
      </c>
      <c r="Y1388">
        <v>0</v>
      </c>
      <c r="Z1388">
        <v>265</v>
      </c>
      <c r="AA1388">
        <v>8.1793779537937705E-2</v>
      </c>
      <c r="AB1388">
        <v>7.4642513609217271</v>
      </c>
      <c r="AC1388">
        <v>5.7527141916090797E-2</v>
      </c>
      <c r="AD1388">
        <v>0.1175080551690217</v>
      </c>
      <c r="AE1388">
        <v>0</v>
      </c>
      <c r="AF1388" t="b">
        <v>0</v>
      </c>
    </row>
    <row r="1389" spans="1:35" x14ac:dyDescent="0.3">
      <c r="A1389" t="s">
        <v>2873</v>
      </c>
      <c r="B1389" t="s">
        <v>2874</v>
      </c>
      <c r="C1389" t="s">
        <v>479</v>
      </c>
      <c r="D1389">
        <v>1805</v>
      </c>
      <c r="E1389">
        <v>44679</v>
      </c>
      <c r="F1389">
        <v>36</v>
      </c>
      <c r="G1389">
        <v>60</v>
      </c>
      <c r="H1389">
        <v>5</v>
      </c>
      <c r="I1389">
        <v>0.99315114483314304</v>
      </c>
      <c r="J1389">
        <v>0.99563061153002341</v>
      </c>
      <c r="K1389" t="s">
        <v>86</v>
      </c>
      <c r="P1389">
        <v>0</v>
      </c>
      <c r="R1389">
        <v>0</v>
      </c>
      <c r="T1389">
        <v>0</v>
      </c>
      <c r="U1389" t="b">
        <v>0</v>
      </c>
      <c r="V1389">
        <v>3.7106537530266341</v>
      </c>
      <c r="Y1389">
        <v>0</v>
      </c>
      <c r="Z1389">
        <v>1911</v>
      </c>
      <c r="AA1389">
        <v>2.7100908124053601E-2</v>
      </c>
      <c r="AB1389">
        <v>2.3283670803294041</v>
      </c>
      <c r="AC1389">
        <v>3.9897034786926001E-2</v>
      </c>
      <c r="AD1389">
        <v>2.92195748170129E-2</v>
      </c>
      <c r="AE1389">
        <v>0</v>
      </c>
      <c r="AF1389" t="b">
        <v>0</v>
      </c>
    </row>
    <row r="1390" spans="1:35" x14ac:dyDescent="0.3">
      <c r="A1390" t="s">
        <v>2875</v>
      </c>
      <c r="B1390" t="s">
        <v>2876</v>
      </c>
      <c r="C1390" t="s">
        <v>479</v>
      </c>
      <c r="D1390">
        <v>465</v>
      </c>
      <c r="E1390">
        <v>7821</v>
      </c>
      <c r="F1390">
        <v>24</v>
      </c>
      <c r="G1390">
        <v>60</v>
      </c>
      <c r="H1390">
        <v>60</v>
      </c>
      <c r="I1390">
        <v>0.83748881217235649</v>
      </c>
      <c r="J1390">
        <v>0.79497052099626997</v>
      </c>
      <c r="K1390" t="s">
        <v>86</v>
      </c>
      <c r="P1390">
        <v>0</v>
      </c>
      <c r="R1390">
        <v>0</v>
      </c>
      <c r="T1390">
        <v>0</v>
      </c>
      <c r="U1390" t="b">
        <v>0</v>
      </c>
      <c r="V1390">
        <v>0</v>
      </c>
      <c r="Y1390">
        <v>0</v>
      </c>
      <c r="Z1390">
        <v>236</v>
      </c>
      <c r="AA1390">
        <v>0</v>
      </c>
      <c r="AB1390">
        <v>0</v>
      </c>
      <c r="AC1390">
        <v>0</v>
      </c>
      <c r="AD1390">
        <v>0</v>
      </c>
      <c r="AE1390">
        <v>0</v>
      </c>
      <c r="AF1390" t="b">
        <v>0</v>
      </c>
    </row>
    <row r="1391" spans="1:35" x14ac:dyDescent="0.3">
      <c r="A1391" t="s">
        <v>2877</v>
      </c>
      <c r="B1391" t="s">
        <v>2763</v>
      </c>
      <c r="C1391" t="s">
        <v>479</v>
      </c>
      <c r="D1391">
        <v>56</v>
      </c>
      <c r="E1391">
        <v>858</v>
      </c>
      <c r="F1391">
        <v>6</v>
      </c>
      <c r="G1391">
        <v>60</v>
      </c>
      <c r="H1391">
        <v>60</v>
      </c>
      <c r="I1391">
        <v>1</v>
      </c>
      <c r="J1391">
        <v>1</v>
      </c>
      <c r="K1391" t="s">
        <v>86</v>
      </c>
      <c r="P1391">
        <v>0</v>
      </c>
      <c r="R1391">
        <v>0</v>
      </c>
      <c r="T1391">
        <v>0</v>
      </c>
      <c r="U1391" t="b">
        <v>0</v>
      </c>
      <c r="V1391">
        <v>2.2222222222222219</v>
      </c>
      <c r="Y1391">
        <v>0</v>
      </c>
      <c r="Z1391">
        <v>46</v>
      </c>
      <c r="AA1391">
        <v>8.1967213114753999E-3</v>
      </c>
      <c r="AB1391">
        <v>0.65217391304347827</v>
      </c>
      <c r="AC1391">
        <v>2.94117647058823E-2</v>
      </c>
      <c r="AD1391">
        <v>0</v>
      </c>
      <c r="AE1391">
        <v>0</v>
      </c>
      <c r="AF1391" t="b">
        <v>0</v>
      </c>
    </row>
    <row r="1392" spans="1:35" x14ac:dyDescent="0.3">
      <c r="A1392" t="s">
        <v>2878</v>
      </c>
      <c r="B1392" t="s">
        <v>2879</v>
      </c>
      <c r="C1392" t="s">
        <v>479</v>
      </c>
      <c r="D1392">
        <v>956</v>
      </c>
      <c r="E1392">
        <v>27918</v>
      </c>
      <c r="F1392">
        <v>10</v>
      </c>
      <c r="G1392">
        <v>60</v>
      </c>
      <c r="H1392">
        <v>60</v>
      </c>
      <c r="I1392">
        <v>1</v>
      </c>
      <c r="J1392">
        <v>1</v>
      </c>
      <c r="K1392" t="s">
        <v>432</v>
      </c>
      <c r="L1392">
        <v>0.59506046486573838</v>
      </c>
      <c r="M1392">
        <v>1</v>
      </c>
      <c r="N1392">
        <v>1</v>
      </c>
      <c r="O1392" t="s">
        <v>433</v>
      </c>
      <c r="P1392">
        <v>0</v>
      </c>
      <c r="R1392">
        <v>0</v>
      </c>
      <c r="T1392">
        <v>0</v>
      </c>
      <c r="U1392" t="b">
        <v>0</v>
      </c>
      <c r="V1392">
        <v>5.6803921568627453</v>
      </c>
      <c r="Y1392">
        <v>0</v>
      </c>
      <c r="Z1392">
        <v>1151</v>
      </c>
      <c r="AA1392">
        <v>1.6148603974278801E-2</v>
      </c>
      <c r="AB1392">
        <v>1.2428689179340791</v>
      </c>
      <c r="AC1392">
        <v>2.3977468901362299E-2</v>
      </c>
      <c r="AD1392">
        <v>1.48197476145674E-2</v>
      </c>
      <c r="AE1392">
        <v>0</v>
      </c>
      <c r="AF1392" t="b">
        <v>0</v>
      </c>
    </row>
    <row r="1393" spans="1:35" x14ac:dyDescent="0.3">
      <c r="A1393" t="s">
        <v>2880</v>
      </c>
      <c r="B1393" t="s">
        <v>2698</v>
      </c>
      <c r="C1393" t="s">
        <v>479</v>
      </c>
      <c r="D1393">
        <v>225</v>
      </c>
      <c r="E1393">
        <v>3213</v>
      </c>
      <c r="F1393">
        <v>9</v>
      </c>
      <c r="G1393">
        <v>60</v>
      </c>
      <c r="H1393">
        <v>60</v>
      </c>
      <c r="I1393">
        <v>1</v>
      </c>
      <c r="J1393">
        <v>1</v>
      </c>
      <c r="K1393" t="s">
        <v>86</v>
      </c>
      <c r="P1393">
        <v>0</v>
      </c>
      <c r="R1393">
        <v>0</v>
      </c>
      <c r="T1393">
        <v>0</v>
      </c>
      <c r="U1393" t="b">
        <v>0</v>
      </c>
      <c r="V1393">
        <v>6.6114982578397212</v>
      </c>
      <c r="Y1393">
        <v>0</v>
      </c>
      <c r="Z1393">
        <v>123</v>
      </c>
      <c r="AA1393">
        <v>2.8512000174468598E-2</v>
      </c>
      <c r="AB1393">
        <v>2.2086368915637209</v>
      </c>
      <c r="AC1393">
        <v>4.0720771850170201E-2</v>
      </c>
      <c r="AD1393">
        <v>4.3447293447293402E-2</v>
      </c>
      <c r="AE1393">
        <v>0</v>
      </c>
      <c r="AF1393" t="b">
        <v>0</v>
      </c>
    </row>
    <row r="1394" spans="1:35" x14ac:dyDescent="0.3">
      <c r="A1394" t="s">
        <v>2881</v>
      </c>
      <c r="B1394" t="s">
        <v>2882</v>
      </c>
      <c r="C1394" t="s">
        <v>479</v>
      </c>
      <c r="D1394">
        <v>212</v>
      </c>
      <c r="E1394">
        <v>3768</v>
      </c>
      <c r="F1394">
        <v>12</v>
      </c>
      <c r="G1394">
        <v>60</v>
      </c>
      <c r="H1394">
        <v>30</v>
      </c>
      <c r="I1394">
        <v>0.73726114649681529</v>
      </c>
      <c r="J1394">
        <v>0.87562814070351758</v>
      </c>
      <c r="K1394" t="s">
        <v>86</v>
      </c>
      <c r="P1394">
        <v>0</v>
      </c>
      <c r="R1394">
        <v>0</v>
      </c>
      <c r="T1394">
        <v>0</v>
      </c>
      <c r="U1394" t="b">
        <v>0</v>
      </c>
      <c r="V1394">
        <v>0.43478260869565211</v>
      </c>
      <c r="Y1394">
        <v>0</v>
      </c>
      <c r="Z1394">
        <v>177</v>
      </c>
      <c r="AA1394">
        <v>1.736111111111E-4</v>
      </c>
      <c r="AB1394">
        <v>1.1299435028248501E-2</v>
      </c>
      <c r="AC1394">
        <v>2.7548209366390999E-3</v>
      </c>
      <c r="AD1394">
        <v>-2.9673590504451001E-3</v>
      </c>
      <c r="AE1394">
        <v>0</v>
      </c>
      <c r="AF1394" t="b">
        <v>0</v>
      </c>
    </row>
    <row r="1395" spans="1:35" x14ac:dyDescent="0.3">
      <c r="A1395" t="s">
        <v>2883</v>
      </c>
      <c r="B1395" t="s">
        <v>2884</v>
      </c>
      <c r="C1395" t="s">
        <v>479</v>
      </c>
      <c r="D1395">
        <v>479</v>
      </c>
      <c r="E1395">
        <v>11119</v>
      </c>
      <c r="F1395">
        <v>9</v>
      </c>
      <c r="G1395">
        <v>60</v>
      </c>
      <c r="H1395">
        <v>60</v>
      </c>
      <c r="I1395">
        <v>1</v>
      </c>
      <c r="J1395">
        <v>1</v>
      </c>
      <c r="K1395" t="s">
        <v>432</v>
      </c>
      <c r="L1395">
        <v>0.68769912192089522</v>
      </c>
      <c r="M1395">
        <v>1</v>
      </c>
      <c r="N1395">
        <v>1</v>
      </c>
      <c r="O1395" t="s">
        <v>433</v>
      </c>
      <c r="P1395">
        <v>0</v>
      </c>
      <c r="R1395">
        <v>0</v>
      </c>
      <c r="T1395">
        <v>0</v>
      </c>
      <c r="U1395" t="b">
        <v>0</v>
      </c>
      <c r="V1395">
        <v>0.84375</v>
      </c>
      <c r="Y1395">
        <v>0</v>
      </c>
      <c r="Z1395">
        <v>304</v>
      </c>
      <c r="AA1395">
        <v>1.20369614944143E-2</v>
      </c>
      <c r="AB1395">
        <v>0.93597274436090239</v>
      </c>
      <c r="AC1395">
        <v>1.20052522978803E-2</v>
      </c>
      <c r="AD1395">
        <v>1.6692710271101498E-2</v>
      </c>
      <c r="AE1395">
        <v>0</v>
      </c>
      <c r="AF1395" t="b">
        <v>0</v>
      </c>
    </row>
    <row r="1396" spans="1:35" x14ac:dyDescent="0.3">
      <c r="A1396" t="s">
        <v>2885</v>
      </c>
      <c r="B1396" t="s">
        <v>2886</v>
      </c>
      <c r="C1396" t="s">
        <v>479</v>
      </c>
      <c r="D1396">
        <v>90</v>
      </c>
      <c r="E1396">
        <v>2142</v>
      </c>
      <c r="F1396">
        <v>7</v>
      </c>
      <c r="G1396">
        <v>60</v>
      </c>
      <c r="H1396">
        <v>30</v>
      </c>
      <c r="I1396">
        <v>0.72829131652661061</v>
      </c>
      <c r="J1396">
        <v>0.81451612903225812</v>
      </c>
      <c r="K1396" t="s">
        <v>86</v>
      </c>
      <c r="P1396">
        <v>0</v>
      </c>
      <c r="R1396">
        <v>0</v>
      </c>
      <c r="T1396">
        <v>0</v>
      </c>
      <c r="U1396" t="b">
        <v>0</v>
      </c>
      <c r="Y1396">
        <v>0</v>
      </c>
      <c r="Z1396">
        <v>53</v>
      </c>
      <c r="AA1396">
        <v>0</v>
      </c>
      <c r="AB1396">
        <v>0</v>
      </c>
      <c r="AC1396">
        <v>0</v>
      </c>
      <c r="AD1396">
        <v>0</v>
      </c>
      <c r="AE1396">
        <v>0</v>
      </c>
      <c r="AF1396" t="b">
        <v>0</v>
      </c>
    </row>
    <row r="1397" spans="1:35" x14ac:dyDescent="0.3">
      <c r="A1397" t="s">
        <v>2887</v>
      </c>
      <c r="B1397" t="s">
        <v>2888</v>
      </c>
      <c r="C1397" t="s">
        <v>479</v>
      </c>
      <c r="D1397">
        <v>233</v>
      </c>
      <c r="E1397">
        <v>4664</v>
      </c>
      <c r="F1397">
        <v>18</v>
      </c>
      <c r="G1397">
        <v>60</v>
      </c>
      <c r="H1397">
        <v>60</v>
      </c>
      <c r="I1397">
        <v>0.921097770154374</v>
      </c>
      <c r="J1397">
        <v>0.96222176842965079</v>
      </c>
      <c r="K1397" t="s">
        <v>86</v>
      </c>
      <c r="P1397">
        <v>0</v>
      </c>
      <c r="R1397">
        <v>0</v>
      </c>
      <c r="T1397">
        <v>0</v>
      </c>
      <c r="U1397" t="b">
        <v>0</v>
      </c>
      <c r="V1397">
        <v>5.1127819548872182</v>
      </c>
      <c r="Y1397">
        <v>0</v>
      </c>
      <c r="Z1397">
        <v>143</v>
      </c>
      <c r="AA1397">
        <v>2.1161565244299602E-2</v>
      </c>
      <c r="AB1397">
        <v>1.950140768322586</v>
      </c>
      <c r="AC1397">
        <v>1.03008406701977E-2</v>
      </c>
      <c r="AD1397">
        <v>2.6244755927021999E-2</v>
      </c>
      <c r="AE1397">
        <v>0</v>
      </c>
      <c r="AF1397" t="b">
        <v>0</v>
      </c>
    </row>
    <row r="1398" spans="1:35" x14ac:dyDescent="0.3">
      <c r="A1398" t="s">
        <v>2889</v>
      </c>
      <c r="B1398" t="s">
        <v>2890</v>
      </c>
      <c r="C1398" t="s">
        <v>479</v>
      </c>
      <c r="D1398">
        <v>220</v>
      </c>
      <c r="E1398">
        <v>2613</v>
      </c>
      <c r="F1398">
        <v>16</v>
      </c>
      <c r="G1398">
        <v>60</v>
      </c>
      <c r="H1398">
        <v>60</v>
      </c>
      <c r="I1398">
        <v>1</v>
      </c>
      <c r="J1398">
        <v>1</v>
      </c>
      <c r="K1398" t="s">
        <v>86</v>
      </c>
      <c r="P1398">
        <v>0</v>
      </c>
      <c r="R1398">
        <v>0</v>
      </c>
      <c r="T1398">
        <v>0</v>
      </c>
      <c r="U1398" t="b">
        <v>0</v>
      </c>
      <c r="V1398">
        <v>8.8888888888888893</v>
      </c>
      <c r="Y1398">
        <v>0</v>
      </c>
      <c r="Z1398">
        <v>126</v>
      </c>
      <c r="AA1398">
        <v>2.05837173579109E-2</v>
      </c>
      <c r="AB1398">
        <v>2.126984126984127</v>
      </c>
      <c r="AC1398">
        <v>3.3333333333333298E-2</v>
      </c>
      <c r="AD1398">
        <v>0</v>
      </c>
      <c r="AE1398">
        <v>0</v>
      </c>
      <c r="AF1398" t="b">
        <v>0</v>
      </c>
    </row>
    <row r="1399" spans="1:35" x14ac:dyDescent="0.3">
      <c r="A1399" t="s">
        <v>2891</v>
      </c>
      <c r="B1399" t="s">
        <v>2832</v>
      </c>
      <c r="C1399" t="s">
        <v>479</v>
      </c>
      <c r="D1399">
        <v>497</v>
      </c>
      <c r="E1399">
        <v>10652</v>
      </c>
      <c r="F1399">
        <v>10</v>
      </c>
      <c r="G1399">
        <v>60</v>
      </c>
      <c r="H1399">
        <v>60</v>
      </c>
      <c r="I1399">
        <v>1</v>
      </c>
      <c r="J1399">
        <v>1</v>
      </c>
      <c r="K1399" t="s">
        <v>86</v>
      </c>
      <c r="P1399">
        <v>0</v>
      </c>
      <c r="R1399">
        <v>0</v>
      </c>
      <c r="T1399">
        <v>0</v>
      </c>
      <c r="U1399" t="b">
        <v>0</v>
      </c>
      <c r="V1399">
        <v>9.9835164835164836</v>
      </c>
      <c r="Y1399">
        <v>0</v>
      </c>
      <c r="Z1399">
        <v>387</v>
      </c>
      <c r="AA1399">
        <v>4.5257431932794398E-2</v>
      </c>
      <c r="AB1399">
        <v>4.3867048111234164</v>
      </c>
      <c r="AC1399">
        <v>4.4981607987388303E-2</v>
      </c>
      <c r="AD1399">
        <v>8.2459274829217E-2</v>
      </c>
      <c r="AE1399">
        <v>0</v>
      </c>
      <c r="AF1399" t="b">
        <v>0</v>
      </c>
    </row>
    <row r="1400" spans="1:35" x14ac:dyDescent="0.3">
      <c r="A1400" t="s">
        <v>2892</v>
      </c>
      <c r="B1400" t="s">
        <v>2749</v>
      </c>
      <c r="C1400" t="s">
        <v>479</v>
      </c>
      <c r="D1400">
        <v>127</v>
      </c>
      <c r="E1400">
        <v>1155</v>
      </c>
      <c r="F1400">
        <v>22</v>
      </c>
      <c r="G1400">
        <v>120</v>
      </c>
      <c r="H1400">
        <v>60</v>
      </c>
      <c r="I1400">
        <v>1</v>
      </c>
      <c r="J1400">
        <v>1</v>
      </c>
      <c r="K1400" t="s">
        <v>86</v>
      </c>
      <c r="P1400">
        <v>0</v>
      </c>
      <c r="R1400">
        <v>0</v>
      </c>
      <c r="T1400">
        <v>0</v>
      </c>
      <c r="U1400" t="b">
        <v>0</v>
      </c>
      <c r="Y1400">
        <v>0</v>
      </c>
      <c r="Z1400">
        <v>0</v>
      </c>
      <c r="AE1400">
        <v>0</v>
      </c>
      <c r="AF1400" t="b">
        <v>0</v>
      </c>
    </row>
    <row r="1401" spans="1:35" x14ac:dyDescent="0.3">
      <c r="A1401" t="s">
        <v>2893</v>
      </c>
      <c r="B1401" t="s">
        <v>2894</v>
      </c>
      <c r="C1401" t="s">
        <v>479</v>
      </c>
      <c r="D1401">
        <v>1713</v>
      </c>
      <c r="E1401">
        <v>61916</v>
      </c>
      <c r="F1401">
        <v>270</v>
      </c>
      <c r="G1401">
        <v>78</v>
      </c>
      <c r="H1401">
        <v>1</v>
      </c>
      <c r="I1401">
        <v>4.2606111505911197E-2</v>
      </c>
      <c r="J1401">
        <v>0.28551446667400082</v>
      </c>
      <c r="K1401" t="s">
        <v>432</v>
      </c>
      <c r="L1401">
        <v>0.72564396737336745</v>
      </c>
      <c r="M1401">
        <v>1</v>
      </c>
      <c r="N1401">
        <v>1.5377284934592301E-2</v>
      </c>
      <c r="O1401" t="s">
        <v>433</v>
      </c>
      <c r="P1401">
        <v>45462</v>
      </c>
      <c r="Q1401">
        <v>1</v>
      </c>
      <c r="R1401">
        <v>0</v>
      </c>
      <c r="T1401">
        <v>1</v>
      </c>
      <c r="U1401" t="b">
        <v>1</v>
      </c>
      <c r="V1401">
        <v>6.3090118002426383</v>
      </c>
      <c r="W1401">
        <v>6.6018809744064129</v>
      </c>
      <c r="X1401" t="b">
        <v>0</v>
      </c>
      <c r="Y1401">
        <v>0</v>
      </c>
      <c r="Z1401">
        <v>1201</v>
      </c>
      <c r="AA1401">
        <v>8.7584594617883704E-2</v>
      </c>
      <c r="AB1401">
        <v>7.4094121180584764</v>
      </c>
      <c r="AC1401">
        <v>6.7270671742903604E-2</v>
      </c>
      <c r="AD1401">
        <v>0.1051220492411185</v>
      </c>
      <c r="AE1401">
        <v>1</v>
      </c>
      <c r="AF1401" t="b">
        <v>1</v>
      </c>
      <c r="AG1401">
        <v>5.2558161679345697E-2</v>
      </c>
      <c r="AH1401">
        <v>5.5353808577183301</v>
      </c>
      <c r="AI1401" t="b">
        <v>1</v>
      </c>
    </row>
    <row r="1402" spans="1:35" x14ac:dyDescent="0.3">
      <c r="A1402" t="s">
        <v>2895</v>
      </c>
      <c r="B1402" t="s">
        <v>2896</v>
      </c>
      <c r="C1402" t="s">
        <v>479</v>
      </c>
      <c r="D1402">
        <v>380</v>
      </c>
      <c r="E1402">
        <v>9517</v>
      </c>
      <c r="F1402">
        <v>9</v>
      </c>
      <c r="G1402">
        <v>60</v>
      </c>
      <c r="H1402">
        <v>60</v>
      </c>
      <c r="I1402">
        <v>1</v>
      </c>
      <c r="J1402">
        <v>1</v>
      </c>
      <c r="K1402" t="s">
        <v>86</v>
      </c>
      <c r="P1402">
        <v>0</v>
      </c>
      <c r="R1402">
        <v>0</v>
      </c>
      <c r="T1402">
        <v>0</v>
      </c>
      <c r="U1402" t="b">
        <v>0</v>
      </c>
      <c r="V1402">
        <v>1.916666666666667</v>
      </c>
      <c r="Y1402">
        <v>0</v>
      </c>
      <c r="Z1402">
        <v>400</v>
      </c>
      <c r="AA1402">
        <v>1.44307206153416E-2</v>
      </c>
      <c r="AB1402">
        <v>1.2637445887445891</v>
      </c>
      <c r="AC1402">
        <v>1.0254398406614899E-2</v>
      </c>
      <c r="AD1402">
        <v>2.72676202411304E-2</v>
      </c>
      <c r="AE1402">
        <v>0</v>
      </c>
      <c r="AF1402" t="b">
        <v>0</v>
      </c>
    </row>
    <row r="1403" spans="1:35" x14ac:dyDescent="0.3">
      <c r="A1403" t="s">
        <v>2897</v>
      </c>
      <c r="B1403" t="s">
        <v>2774</v>
      </c>
      <c r="C1403" t="s">
        <v>479</v>
      </c>
      <c r="D1403">
        <v>1657</v>
      </c>
      <c r="E1403">
        <v>1071</v>
      </c>
      <c r="F1403">
        <v>27</v>
      </c>
      <c r="G1403">
        <v>240</v>
      </c>
      <c r="H1403">
        <v>60</v>
      </c>
      <c r="I1403">
        <v>1</v>
      </c>
      <c r="J1403">
        <v>1</v>
      </c>
      <c r="K1403" t="s">
        <v>86</v>
      </c>
      <c r="P1403">
        <v>0</v>
      </c>
      <c r="R1403">
        <v>0</v>
      </c>
      <c r="T1403">
        <v>0</v>
      </c>
      <c r="U1403" t="b">
        <v>0</v>
      </c>
      <c r="Y1403">
        <v>0.69857993586807143</v>
      </c>
      <c r="Z1403">
        <v>0</v>
      </c>
      <c r="AE1403">
        <v>0</v>
      </c>
      <c r="AF1403" t="b">
        <v>0</v>
      </c>
    </row>
    <row r="1404" spans="1:35" x14ac:dyDescent="0.3">
      <c r="A1404" t="s">
        <v>2898</v>
      </c>
      <c r="B1404" t="s">
        <v>2774</v>
      </c>
      <c r="C1404" t="s">
        <v>479</v>
      </c>
      <c r="D1404">
        <v>312</v>
      </c>
      <c r="E1404">
        <v>6226</v>
      </c>
      <c r="F1404">
        <v>35</v>
      </c>
      <c r="G1404">
        <v>60</v>
      </c>
      <c r="H1404">
        <v>60</v>
      </c>
      <c r="I1404">
        <v>0.9972695149373596</v>
      </c>
      <c r="J1404">
        <v>0.99845505617977515</v>
      </c>
      <c r="K1404" t="s">
        <v>86</v>
      </c>
      <c r="P1404">
        <v>0</v>
      </c>
      <c r="R1404">
        <v>0</v>
      </c>
      <c r="T1404">
        <v>0</v>
      </c>
      <c r="U1404" t="b">
        <v>0</v>
      </c>
      <c r="V1404">
        <v>0.65909090909090906</v>
      </c>
      <c r="Y1404">
        <v>0</v>
      </c>
      <c r="Z1404">
        <v>195</v>
      </c>
      <c r="AA1404">
        <v>-1.2631926121371999E-2</v>
      </c>
      <c r="AB1404">
        <v>-0.982051282051282</v>
      </c>
      <c r="AC1404">
        <v>-1.5444015444015399E-2</v>
      </c>
      <c r="AD1404">
        <v>-8.8184931506849005E-3</v>
      </c>
      <c r="AE1404">
        <v>0</v>
      </c>
      <c r="AF1404" t="b">
        <v>0</v>
      </c>
    </row>
    <row r="1405" spans="1:35" x14ac:dyDescent="0.3">
      <c r="A1405" t="s">
        <v>2899</v>
      </c>
      <c r="B1405" t="s">
        <v>2774</v>
      </c>
      <c r="C1405" t="s">
        <v>479</v>
      </c>
      <c r="D1405">
        <v>586</v>
      </c>
      <c r="E1405">
        <v>9840</v>
      </c>
      <c r="F1405">
        <v>12</v>
      </c>
      <c r="G1405">
        <v>60</v>
      </c>
      <c r="H1405">
        <v>60</v>
      </c>
      <c r="I1405">
        <v>1</v>
      </c>
      <c r="J1405">
        <v>1</v>
      </c>
      <c r="K1405" t="s">
        <v>86</v>
      </c>
      <c r="P1405">
        <v>0</v>
      </c>
      <c r="R1405">
        <v>0</v>
      </c>
      <c r="T1405">
        <v>0</v>
      </c>
      <c r="U1405" t="b">
        <v>0</v>
      </c>
      <c r="V1405">
        <v>6.325660121868653</v>
      </c>
      <c r="Y1405">
        <v>0</v>
      </c>
      <c r="Z1405">
        <v>322</v>
      </c>
      <c r="AA1405">
        <v>2.7179246657376799E-2</v>
      </c>
      <c r="AB1405">
        <v>2.5670561322735241</v>
      </c>
      <c r="AC1405">
        <v>1.2608580720121399E-2</v>
      </c>
      <c r="AD1405">
        <v>5.5204913792292497E-2</v>
      </c>
      <c r="AE1405">
        <v>0</v>
      </c>
      <c r="AF1405" t="b">
        <v>0</v>
      </c>
    </row>
    <row r="1406" spans="1:35" x14ac:dyDescent="0.3">
      <c r="A1406" t="s">
        <v>2900</v>
      </c>
      <c r="B1406" t="s">
        <v>2901</v>
      </c>
      <c r="C1406" t="s">
        <v>479</v>
      </c>
      <c r="D1406">
        <v>333</v>
      </c>
      <c r="E1406">
        <v>4996</v>
      </c>
      <c r="F1406">
        <v>101</v>
      </c>
      <c r="G1406">
        <v>60</v>
      </c>
      <c r="H1406">
        <v>1</v>
      </c>
      <c r="I1406">
        <v>0.73118494795836675</v>
      </c>
      <c r="J1406">
        <v>0.83517060367454066</v>
      </c>
      <c r="K1406" t="s">
        <v>432</v>
      </c>
      <c r="L1406">
        <v>0.1664041994750656</v>
      </c>
      <c r="M1406">
        <v>1</v>
      </c>
      <c r="N1406">
        <v>9.4637223974762992E-3</v>
      </c>
      <c r="O1406" t="s">
        <v>433</v>
      </c>
      <c r="P1406">
        <v>942</v>
      </c>
      <c r="Q1406">
        <v>1</v>
      </c>
      <c r="R1406">
        <v>0</v>
      </c>
      <c r="T1406">
        <v>0</v>
      </c>
      <c r="U1406" t="b">
        <v>0</v>
      </c>
      <c r="V1406">
        <v>2.603991596638656</v>
      </c>
      <c r="Y1406">
        <v>0</v>
      </c>
      <c r="Z1406">
        <v>146</v>
      </c>
      <c r="AA1406">
        <v>0.15144811296281341</v>
      </c>
      <c r="AB1406">
        <v>12.593088418430879</v>
      </c>
      <c r="AC1406">
        <v>0.1507865855730352</v>
      </c>
      <c r="AD1406">
        <v>0.1444773137654155</v>
      </c>
      <c r="AE1406">
        <v>0</v>
      </c>
      <c r="AF1406" t="b">
        <v>0</v>
      </c>
    </row>
    <row r="1407" spans="1:35" x14ac:dyDescent="0.3">
      <c r="A1407" t="s">
        <v>2902</v>
      </c>
      <c r="B1407" t="s">
        <v>2903</v>
      </c>
      <c r="C1407" t="s">
        <v>479</v>
      </c>
      <c r="D1407">
        <v>206</v>
      </c>
      <c r="E1407">
        <v>3012</v>
      </c>
      <c r="F1407">
        <v>12</v>
      </c>
      <c r="G1407">
        <v>60</v>
      </c>
      <c r="H1407">
        <v>60</v>
      </c>
      <c r="I1407">
        <v>1</v>
      </c>
      <c r="J1407">
        <v>1</v>
      </c>
      <c r="K1407" t="s">
        <v>86</v>
      </c>
      <c r="P1407">
        <v>0</v>
      </c>
      <c r="R1407">
        <v>0</v>
      </c>
      <c r="T1407">
        <v>0</v>
      </c>
      <c r="U1407" t="b">
        <v>0</v>
      </c>
      <c r="V1407">
        <v>0.7407407407407407</v>
      </c>
      <c r="Y1407">
        <v>0</v>
      </c>
      <c r="Z1407">
        <v>135</v>
      </c>
      <c r="AA1407">
        <v>-3.8749449581682001E-3</v>
      </c>
      <c r="AB1407">
        <v>-0.3259259259259259</v>
      </c>
      <c r="AC1407">
        <v>-1.66112956810631E-2</v>
      </c>
      <c r="AD1407">
        <v>-1.1848341232227401E-2</v>
      </c>
      <c r="AE1407">
        <v>0</v>
      </c>
      <c r="AF1407" t="b">
        <v>0</v>
      </c>
    </row>
    <row r="1408" spans="1:35" x14ac:dyDescent="0.3">
      <c r="A1408" t="s">
        <v>2904</v>
      </c>
      <c r="B1408" t="s">
        <v>2905</v>
      </c>
      <c r="C1408" t="s">
        <v>479</v>
      </c>
      <c r="D1408">
        <v>90</v>
      </c>
      <c r="E1408">
        <v>2073</v>
      </c>
      <c r="F1408">
        <v>5</v>
      </c>
      <c r="G1408">
        <v>60</v>
      </c>
      <c r="H1408">
        <v>60</v>
      </c>
      <c r="I1408">
        <v>1</v>
      </c>
      <c r="J1408">
        <v>1</v>
      </c>
      <c r="K1408" t="s">
        <v>86</v>
      </c>
      <c r="P1408">
        <v>0</v>
      </c>
      <c r="R1408">
        <v>0</v>
      </c>
      <c r="T1408">
        <v>0</v>
      </c>
      <c r="U1408" t="b">
        <v>0</v>
      </c>
      <c r="V1408">
        <v>0.7142857142857143</v>
      </c>
      <c r="Y1408">
        <v>0</v>
      </c>
      <c r="Z1408">
        <v>115</v>
      </c>
      <c r="AA1408">
        <v>1.4569597069597E-2</v>
      </c>
      <c r="AB1408">
        <v>0.98819875776397537</v>
      </c>
      <c r="AC1408">
        <v>1.20967741935483E-2</v>
      </c>
      <c r="AD1408">
        <v>1.16666666666666E-2</v>
      </c>
      <c r="AE1408">
        <v>0</v>
      </c>
      <c r="AF1408" t="b">
        <v>0</v>
      </c>
    </row>
    <row r="1409" spans="1:35" x14ac:dyDescent="0.3">
      <c r="A1409" t="s">
        <v>2906</v>
      </c>
      <c r="B1409" t="s">
        <v>2905</v>
      </c>
      <c r="C1409" t="s">
        <v>479</v>
      </c>
      <c r="D1409">
        <v>307</v>
      </c>
      <c r="E1409">
        <v>4543</v>
      </c>
      <c r="F1409">
        <v>27</v>
      </c>
      <c r="G1409">
        <v>180</v>
      </c>
      <c r="H1409">
        <v>60</v>
      </c>
      <c r="I1409">
        <v>1</v>
      </c>
      <c r="J1409">
        <v>1</v>
      </c>
      <c r="K1409" t="s">
        <v>86</v>
      </c>
      <c r="P1409">
        <v>0</v>
      </c>
      <c r="R1409">
        <v>0</v>
      </c>
      <c r="T1409">
        <v>0</v>
      </c>
      <c r="U1409" t="b">
        <v>0</v>
      </c>
      <c r="V1409">
        <v>46.094047619047608</v>
      </c>
      <c r="Y1409">
        <v>0</v>
      </c>
      <c r="Z1409">
        <v>31</v>
      </c>
      <c r="AA1409">
        <v>8.2832006702974401E-2</v>
      </c>
      <c r="AB1409">
        <v>10.35400083787181</v>
      </c>
      <c r="AC1409">
        <v>-6.1643835616438297E-2</v>
      </c>
      <c r="AD1409">
        <v>9.4316644113667095E-2</v>
      </c>
      <c r="AE1409">
        <v>0</v>
      </c>
      <c r="AF1409" t="b">
        <v>0</v>
      </c>
    </row>
    <row r="1410" spans="1:35" x14ac:dyDescent="0.3">
      <c r="A1410" t="s">
        <v>2907</v>
      </c>
      <c r="B1410" t="s">
        <v>2905</v>
      </c>
      <c r="C1410" t="s">
        <v>479</v>
      </c>
      <c r="D1410">
        <v>182</v>
      </c>
      <c r="E1410">
        <v>974</v>
      </c>
      <c r="F1410">
        <v>30</v>
      </c>
      <c r="G1410">
        <v>300</v>
      </c>
      <c r="H1410">
        <v>60</v>
      </c>
      <c r="I1410">
        <v>1</v>
      </c>
      <c r="J1410">
        <v>1</v>
      </c>
      <c r="K1410" t="s">
        <v>86</v>
      </c>
      <c r="P1410">
        <v>0</v>
      </c>
      <c r="R1410">
        <v>0</v>
      </c>
      <c r="T1410">
        <v>0</v>
      </c>
      <c r="U1410" t="b">
        <v>0</v>
      </c>
      <c r="Y1410">
        <v>0</v>
      </c>
      <c r="Z1410">
        <v>1</v>
      </c>
      <c r="AA1410">
        <v>0</v>
      </c>
      <c r="AB1410">
        <v>0</v>
      </c>
      <c r="AC1410">
        <v>0</v>
      </c>
      <c r="AE1410">
        <v>0</v>
      </c>
      <c r="AF1410" t="b">
        <v>0</v>
      </c>
    </row>
    <row r="1411" spans="1:35" x14ac:dyDescent="0.3">
      <c r="A1411" t="s">
        <v>2908</v>
      </c>
      <c r="B1411" t="s">
        <v>2905</v>
      </c>
      <c r="C1411" t="s">
        <v>479</v>
      </c>
      <c r="D1411">
        <v>378</v>
      </c>
      <c r="E1411">
        <v>6234</v>
      </c>
      <c r="F1411">
        <v>22</v>
      </c>
      <c r="G1411">
        <v>60</v>
      </c>
      <c r="H1411">
        <v>60</v>
      </c>
      <c r="I1411">
        <v>1</v>
      </c>
      <c r="J1411">
        <v>1</v>
      </c>
      <c r="K1411" t="s">
        <v>86</v>
      </c>
      <c r="P1411">
        <v>0</v>
      </c>
      <c r="R1411">
        <v>0</v>
      </c>
      <c r="T1411">
        <v>0</v>
      </c>
      <c r="U1411" t="b">
        <v>0</v>
      </c>
      <c r="V1411">
        <v>1.517857142857143</v>
      </c>
      <c r="Y1411">
        <v>0</v>
      </c>
      <c r="Z1411">
        <v>179</v>
      </c>
      <c r="AA1411">
        <v>-1.6171989187775001E-3</v>
      </c>
      <c r="AB1411">
        <v>-0.12995477520617191</v>
      </c>
      <c r="AC1411">
        <v>2.1679551683232998E-3</v>
      </c>
      <c r="AD1411">
        <v>-1.1175913957213599E-2</v>
      </c>
      <c r="AE1411">
        <v>0</v>
      </c>
      <c r="AF1411" t="b">
        <v>0</v>
      </c>
    </row>
    <row r="1412" spans="1:35" x14ac:dyDescent="0.3">
      <c r="A1412" t="s">
        <v>2909</v>
      </c>
      <c r="B1412" t="s">
        <v>2910</v>
      </c>
      <c r="C1412" t="s">
        <v>479</v>
      </c>
      <c r="D1412">
        <v>275</v>
      </c>
      <c r="E1412">
        <v>7069</v>
      </c>
      <c r="F1412">
        <v>127</v>
      </c>
      <c r="G1412">
        <v>54</v>
      </c>
      <c r="H1412">
        <v>1</v>
      </c>
      <c r="I1412">
        <v>4.3429056443627101E-2</v>
      </c>
      <c r="J1412">
        <v>0.3337418300653594</v>
      </c>
      <c r="K1412" t="s">
        <v>86</v>
      </c>
      <c r="P1412">
        <v>0</v>
      </c>
      <c r="R1412">
        <v>0</v>
      </c>
      <c r="T1412">
        <v>0</v>
      </c>
      <c r="U1412" t="b">
        <v>0</v>
      </c>
      <c r="V1412">
        <v>8.8823809523809523</v>
      </c>
      <c r="Y1412">
        <v>0</v>
      </c>
      <c r="Z1412">
        <v>372</v>
      </c>
      <c r="AA1412">
        <v>-4.828038049232E-4</v>
      </c>
      <c r="AB1412">
        <v>-3.0091525857654899E-2</v>
      </c>
      <c r="AC1412">
        <v>-6.4942152368478501E-2</v>
      </c>
      <c r="AD1412">
        <v>5.7752415537254298E-2</v>
      </c>
      <c r="AE1412">
        <v>0</v>
      </c>
      <c r="AF1412" t="b">
        <v>0</v>
      </c>
    </row>
    <row r="1413" spans="1:35" x14ac:dyDescent="0.3">
      <c r="A1413" t="s">
        <v>2911</v>
      </c>
      <c r="B1413" t="s">
        <v>2912</v>
      </c>
      <c r="C1413" t="s">
        <v>479</v>
      </c>
      <c r="D1413">
        <v>463</v>
      </c>
      <c r="E1413">
        <v>6702</v>
      </c>
      <c r="F1413">
        <v>17</v>
      </c>
      <c r="G1413">
        <v>60</v>
      </c>
      <c r="H1413">
        <v>60</v>
      </c>
      <c r="I1413">
        <v>0.99985079080871397</v>
      </c>
      <c r="J1413">
        <v>0.99965381952457877</v>
      </c>
      <c r="K1413" t="s">
        <v>86</v>
      </c>
      <c r="P1413">
        <v>0</v>
      </c>
      <c r="R1413">
        <v>0</v>
      </c>
      <c r="T1413">
        <v>0</v>
      </c>
      <c r="U1413" t="b">
        <v>0</v>
      </c>
      <c r="V1413">
        <v>12.968503937007871</v>
      </c>
      <c r="Y1413">
        <v>0</v>
      </c>
      <c r="Z1413">
        <v>254</v>
      </c>
      <c r="AA1413">
        <v>4.25772553749156E-2</v>
      </c>
      <c r="AB1413">
        <v>3.418797082182909</v>
      </c>
      <c r="AC1413">
        <v>1.5060191240372999E-3</v>
      </c>
      <c r="AD1413">
        <v>7.9766320320115006E-2</v>
      </c>
      <c r="AE1413">
        <v>0</v>
      </c>
      <c r="AF1413" t="b">
        <v>0</v>
      </c>
    </row>
    <row r="1414" spans="1:35" x14ac:dyDescent="0.3">
      <c r="A1414" t="s">
        <v>2913</v>
      </c>
      <c r="B1414" t="s">
        <v>2914</v>
      </c>
      <c r="C1414" t="s">
        <v>479</v>
      </c>
      <c r="D1414">
        <v>670</v>
      </c>
      <c r="E1414">
        <v>6095</v>
      </c>
      <c r="F1414">
        <v>15</v>
      </c>
      <c r="G1414">
        <v>120</v>
      </c>
      <c r="H1414">
        <v>60</v>
      </c>
      <c r="I1414">
        <v>1</v>
      </c>
      <c r="J1414">
        <v>1</v>
      </c>
      <c r="K1414" t="s">
        <v>86</v>
      </c>
      <c r="P1414">
        <v>0</v>
      </c>
      <c r="R1414">
        <v>0</v>
      </c>
      <c r="T1414">
        <v>0</v>
      </c>
      <c r="U1414" t="b">
        <v>0</v>
      </c>
      <c r="V1414">
        <v>11.91776082193851</v>
      </c>
      <c r="Y1414">
        <v>0</v>
      </c>
      <c r="Z1414">
        <v>89</v>
      </c>
      <c r="AA1414">
        <v>1.8675933345941399E-2</v>
      </c>
      <c r="AB1414">
        <v>2.8460349359516401</v>
      </c>
      <c r="AC1414">
        <v>-1.88722617784381E-2</v>
      </c>
      <c r="AD1414">
        <v>3.05218716853916E-2</v>
      </c>
      <c r="AE1414">
        <v>0</v>
      </c>
      <c r="AF1414" t="b">
        <v>0</v>
      </c>
    </row>
    <row r="1415" spans="1:35" x14ac:dyDescent="0.3">
      <c r="A1415" t="s">
        <v>2915</v>
      </c>
      <c r="B1415" t="s">
        <v>2905</v>
      </c>
      <c r="C1415" t="s">
        <v>479</v>
      </c>
      <c r="D1415">
        <v>7706</v>
      </c>
      <c r="E1415">
        <v>162480</v>
      </c>
      <c r="F1415">
        <v>36</v>
      </c>
      <c r="G1415">
        <v>60</v>
      </c>
      <c r="H1415">
        <v>60</v>
      </c>
      <c r="I1415">
        <v>1</v>
      </c>
      <c r="J1415">
        <v>1</v>
      </c>
      <c r="K1415" t="s">
        <v>86</v>
      </c>
      <c r="P1415">
        <v>0</v>
      </c>
      <c r="R1415">
        <v>0</v>
      </c>
      <c r="T1415">
        <v>1</v>
      </c>
      <c r="U1415" t="b">
        <v>1</v>
      </c>
      <c r="V1415">
        <v>6.9831868929222427</v>
      </c>
      <c r="W1415">
        <v>18.057330057330059</v>
      </c>
      <c r="X1415" t="b">
        <v>0</v>
      </c>
      <c r="Y1415">
        <v>0</v>
      </c>
      <c r="Z1415">
        <v>5166</v>
      </c>
      <c r="AA1415">
        <v>9.2651805466568999E-3</v>
      </c>
      <c r="AB1415">
        <v>0.83095924439739777</v>
      </c>
      <c r="AC1415">
        <v>-1.93636131140681E-2</v>
      </c>
      <c r="AD1415">
        <v>3.4329740086685899E-2</v>
      </c>
      <c r="AE1415">
        <v>2</v>
      </c>
      <c r="AF1415" t="b">
        <v>1</v>
      </c>
      <c r="AG1415">
        <v>9.7251112751346996E-3</v>
      </c>
      <c r="AH1415">
        <v>3.7874564459930311</v>
      </c>
      <c r="AI1415" t="b">
        <v>0</v>
      </c>
    </row>
    <row r="1416" spans="1:35" x14ac:dyDescent="0.3">
      <c r="A1416" t="s">
        <v>2916</v>
      </c>
      <c r="B1416" t="s">
        <v>2917</v>
      </c>
      <c r="C1416" t="s">
        <v>479</v>
      </c>
      <c r="D1416">
        <v>973</v>
      </c>
      <c r="E1416">
        <v>17262</v>
      </c>
      <c r="F1416">
        <v>200</v>
      </c>
      <c r="G1416">
        <v>72</v>
      </c>
      <c r="H1416">
        <v>1</v>
      </c>
      <c r="I1416">
        <v>0.1078669910786699</v>
      </c>
      <c r="J1416">
        <v>0.42747463668768848</v>
      </c>
      <c r="K1416" t="s">
        <v>86</v>
      </c>
      <c r="P1416">
        <v>0</v>
      </c>
      <c r="R1416">
        <v>0</v>
      </c>
      <c r="T1416">
        <v>0</v>
      </c>
      <c r="U1416" t="b">
        <v>0</v>
      </c>
      <c r="V1416">
        <v>6.1160194174757283</v>
      </c>
      <c r="Y1416">
        <v>0</v>
      </c>
      <c r="Z1416">
        <v>670</v>
      </c>
      <c r="AA1416">
        <v>-1.2255957976228599E-2</v>
      </c>
      <c r="AB1416">
        <v>-1.1482571657198519</v>
      </c>
      <c r="AC1416">
        <v>-3.8488131235158103E-2</v>
      </c>
      <c r="AD1416">
        <v>8.0267581689493998E-3</v>
      </c>
      <c r="AE1416">
        <v>0</v>
      </c>
      <c r="AF1416" t="b">
        <v>0</v>
      </c>
    </row>
    <row r="1417" spans="1:35" x14ac:dyDescent="0.3">
      <c r="A1417" t="s">
        <v>2918</v>
      </c>
      <c r="B1417" t="s">
        <v>2919</v>
      </c>
      <c r="C1417" t="s">
        <v>479</v>
      </c>
      <c r="D1417">
        <v>765</v>
      </c>
      <c r="E1417">
        <v>14572</v>
      </c>
      <c r="F1417">
        <v>10</v>
      </c>
      <c r="G1417">
        <v>120</v>
      </c>
      <c r="H1417">
        <v>60</v>
      </c>
      <c r="I1417">
        <v>1</v>
      </c>
      <c r="J1417">
        <v>1</v>
      </c>
      <c r="K1417" t="s">
        <v>86</v>
      </c>
      <c r="P1417">
        <v>0</v>
      </c>
      <c r="R1417">
        <v>0</v>
      </c>
      <c r="T1417">
        <v>0</v>
      </c>
      <c r="U1417" t="b">
        <v>0</v>
      </c>
      <c r="V1417">
        <v>18.263257973449061</v>
      </c>
      <c r="Y1417">
        <v>0</v>
      </c>
      <c r="Z1417">
        <v>301</v>
      </c>
      <c r="AA1417">
        <v>6.6993315785063998E-2</v>
      </c>
      <c r="AB1417">
        <v>7.3412646398048862</v>
      </c>
      <c r="AC1417">
        <v>4.9664133535832697E-2</v>
      </c>
      <c r="AD1417">
        <v>8.5461460722856E-2</v>
      </c>
      <c r="AE1417">
        <v>0</v>
      </c>
      <c r="AF1417" t="b">
        <v>0</v>
      </c>
    </row>
    <row r="1418" spans="1:35" x14ac:dyDescent="0.3">
      <c r="A1418" t="s">
        <v>2920</v>
      </c>
      <c r="B1418" t="s">
        <v>2921</v>
      </c>
      <c r="C1418" t="s">
        <v>479</v>
      </c>
      <c r="D1418">
        <v>276</v>
      </c>
      <c r="E1418">
        <v>276</v>
      </c>
      <c r="F1418">
        <v>253</v>
      </c>
      <c r="G1418">
        <v>1244</v>
      </c>
      <c r="H1418">
        <v>1</v>
      </c>
      <c r="I1418">
        <v>1.8115942028985501E-2</v>
      </c>
      <c r="J1418">
        <v>0.50905797101449279</v>
      </c>
      <c r="K1418" t="s">
        <v>86</v>
      </c>
      <c r="P1418">
        <v>0</v>
      </c>
      <c r="R1418">
        <v>0</v>
      </c>
      <c r="T1418">
        <v>0</v>
      </c>
      <c r="U1418" t="b">
        <v>0</v>
      </c>
      <c r="Y1418">
        <v>0</v>
      </c>
      <c r="Z1418">
        <v>0</v>
      </c>
      <c r="AE1418">
        <v>0</v>
      </c>
      <c r="AF1418" t="b">
        <v>0</v>
      </c>
    </row>
    <row r="1419" spans="1:35" x14ac:dyDescent="0.3">
      <c r="A1419" t="s">
        <v>2922</v>
      </c>
      <c r="B1419" t="s">
        <v>2923</v>
      </c>
      <c r="C1419" t="s">
        <v>479</v>
      </c>
      <c r="D1419">
        <v>7390</v>
      </c>
      <c r="E1419">
        <v>150880</v>
      </c>
      <c r="F1419">
        <v>18</v>
      </c>
      <c r="G1419">
        <v>60</v>
      </c>
      <c r="H1419">
        <v>60</v>
      </c>
      <c r="I1419">
        <v>1</v>
      </c>
      <c r="J1419">
        <v>1</v>
      </c>
      <c r="K1419" t="s">
        <v>86</v>
      </c>
      <c r="P1419">
        <v>0</v>
      </c>
      <c r="R1419">
        <v>0</v>
      </c>
      <c r="T1419">
        <v>2</v>
      </c>
      <c r="U1419" t="b">
        <v>1</v>
      </c>
      <c r="V1419">
        <v>6.9762352493444926</v>
      </c>
      <c r="W1419">
        <v>2.7749999999999999</v>
      </c>
      <c r="X1419" t="b">
        <v>1</v>
      </c>
      <c r="Y1419">
        <v>0</v>
      </c>
      <c r="Z1419">
        <v>3797</v>
      </c>
      <c r="AA1419">
        <v>2.6888988519224898E-2</v>
      </c>
      <c r="AB1419">
        <v>2.193402507298162</v>
      </c>
      <c r="AC1419">
        <v>8.6154798424151E-3</v>
      </c>
      <c r="AD1419">
        <v>4.2939081877741703E-2</v>
      </c>
      <c r="AE1419">
        <v>2</v>
      </c>
      <c r="AF1419" t="b">
        <v>1</v>
      </c>
      <c r="AG1419">
        <v>4.6288113124171E-3</v>
      </c>
      <c r="AH1419">
        <v>0.5068548387096774</v>
      </c>
      <c r="AI1419" t="b">
        <v>1</v>
      </c>
    </row>
    <row r="1420" spans="1:35" x14ac:dyDescent="0.3">
      <c r="A1420" t="s">
        <v>2924</v>
      </c>
      <c r="B1420" t="s">
        <v>2925</v>
      </c>
      <c r="C1420" t="s">
        <v>479</v>
      </c>
      <c r="D1420">
        <v>250</v>
      </c>
      <c r="E1420">
        <v>2446</v>
      </c>
      <c r="F1420">
        <v>25</v>
      </c>
      <c r="G1420">
        <v>180</v>
      </c>
      <c r="H1420">
        <v>60</v>
      </c>
      <c r="I1420">
        <v>0.99918233851185601</v>
      </c>
      <c r="J1420">
        <v>0.99964539007092201</v>
      </c>
      <c r="K1420" t="s">
        <v>86</v>
      </c>
      <c r="P1420">
        <v>0</v>
      </c>
      <c r="R1420">
        <v>0</v>
      </c>
      <c r="T1420">
        <v>0</v>
      </c>
      <c r="U1420" t="b">
        <v>0</v>
      </c>
      <c r="V1420">
        <v>50.323076923076933</v>
      </c>
      <c r="Y1420">
        <v>0</v>
      </c>
      <c r="Z1420">
        <v>89</v>
      </c>
      <c r="AA1420">
        <v>5.5223433189381999E-2</v>
      </c>
      <c r="AB1420">
        <v>12.123863028357411</v>
      </c>
      <c r="AC1420">
        <v>0.1374410294884347</v>
      </c>
      <c r="AD1420">
        <v>-6.4307720910467001E-3</v>
      </c>
      <c r="AE1420">
        <v>0</v>
      </c>
      <c r="AF1420" t="b">
        <v>0</v>
      </c>
    </row>
    <row r="1421" spans="1:35" x14ac:dyDescent="0.3">
      <c r="A1421" t="s">
        <v>2926</v>
      </c>
      <c r="B1421" t="s">
        <v>2905</v>
      </c>
      <c r="C1421" t="s">
        <v>479</v>
      </c>
      <c r="D1421">
        <v>144</v>
      </c>
      <c r="E1421">
        <v>3083</v>
      </c>
      <c r="F1421">
        <v>12</v>
      </c>
      <c r="G1421">
        <v>120</v>
      </c>
      <c r="H1421">
        <v>60</v>
      </c>
      <c r="I1421">
        <v>1</v>
      </c>
      <c r="J1421">
        <v>1</v>
      </c>
      <c r="K1421" t="s">
        <v>86</v>
      </c>
      <c r="P1421">
        <v>0</v>
      </c>
      <c r="R1421">
        <v>0</v>
      </c>
      <c r="T1421">
        <v>0</v>
      </c>
      <c r="U1421" t="b">
        <v>0</v>
      </c>
      <c r="Y1421">
        <v>0</v>
      </c>
      <c r="Z1421">
        <v>96</v>
      </c>
      <c r="AA1421">
        <v>1.7361111111111E-3</v>
      </c>
      <c r="AB1421">
        <v>0.20833333333333329</v>
      </c>
      <c r="AD1421">
        <v>0</v>
      </c>
      <c r="AE1421">
        <v>0</v>
      </c>
      <c r="AF1421" t="b">
        <v>0</v>
      </c>
    </row>
    <row r="1422" spans="1:35" x14ac:dyDescent="0.3">
      <c r="A1422" t="s">
        <v>2927</v>
      </c>
      <c r="B1422" t="s">
        <v>2921</v>
      </c>
      <c r="C1422" t="s">
        <v>479</v>
      </c>
      <c r="D1422">
        <v>328</v>
      </c>
      <c r="E1422">
        <v>5606</v>
      </c>
      <c r="F1422">
        <v>22</v>
      </c>
      <c r="G1422">
        <v>60</v>
      </c>
      <c r="H1422">
        <v>60</v>
      </c>
      <c r="I1422">
        <v>1</v>
      </c>
      <c r="J1422">
        <v>1</v>
      </c>
      <c r="K1422" t="s">
        <v>86</v>
      </c>
      <c r="P1422">
        <v>0</v>
      </c>
      <c r="R1422">
        <v>0</v>
      </c>
      <c r="T1422">
        <v>0</v>
      </c>
      <c r="U1422" t="b">
        <v>0</v>
      </c>
      <c r="V1422">
        <v>0</v>
      </c>
      <c r="Y1422">
        <v>0</v>
      </c>
      <c r="Z1422">
        <v>272</v>
      </c>
      <c r="AA1422">
        <v>5.9570312499999997E-3</v>
      </c>
      <c r="AB1422">
        <v>0.67279411764705888</v>
      </c>
      <c r="AC1422">
        <v>0</v>
      </c>
      <c r="AD1422">
        <v>8.3333333333333003E-3</v>
      </c>
      <c r="AE1422">
        <v>0</v>
      </c>
      <c r="AF1422" t="b">
        <v>0</v>
      </c>
    </row>
    <row r="1423" spans="1:35" x14ac:dyDescent="0.3">
      <c r="A1423" t="s">
        <v>2928</v>
      </c>
      <c r="B1423" t="s">
        <v>2929</v>
      </c>
      <c r="C1423" t="s">
        <v>479</v>
      </c>
      <c r="D1423">
        <v>640</v>
      </c>
      <c r="E1423">
        <v>11257</v>
      </c>
      <c r="F1423">
        <v>236</v>
      </c>
      <c r="G1423">
        <v>71</v>
      </c>
      <c r="H1423">
        <v>1</v>
      </c>
      <c r="I1423">
        <v>0.59962689881851294</v>
      </c>
      <c r="J1423">
        <v>0.65487692178442414</v>
      </c>
      <c r="K1423" t="s">
        <v>86</v>
      </c>
      <c r="P1423">
        <v>0</v>
      </c>
      <c r="R1423">
        <v>0</v>
      </c>
      <c r="T1423">
        <v>0</v>
      </c>
      <c r="U1423" t="b">
        <v>0</v>
      </c>
      <c r="V1423">
        <v>5.3834461746784017</v>
      </c>
      <c r="Y1423">
        <v>0</v>
      </c>
      <c r="Z1423">
        <v>382</v>
      </c>
      <c r="AA1423">
        <v>2.9972129817794999E-2</v>
      </c>
      <c r="AB1423">
        <v>2.7235434940277869</v>
      </c>
      <c r="AC1423">
        <v>1.9518916549079099E-2</v>
      </c>
      <c r="AD1423">
        <v>4.9872448055025803E-2</v>
      </c>
      <c r="AE1423">
        <v>0</v>
      </c>
      <c r="AF1423" t="b">
        <v>0</v>
      </c>
    </row>
    <row r="1424" spans="1:35" x14ac:dyDescent="0.3">
      <c r="A1424" t="s">
        <v>2930</v>
      </c>
      <c r="B1424" t="s">
        <v>2931</v>
      </c>
      <c r="C1424" t="s">
        <v>479</v>
      </c>
      <c r="D1424">
        <v>269</v>
      </c>
      <c r="E1424">
        <v>4657</v>
      </c>
      <c r="F1424">
        <v>25</v>
      </c>
      <c r="G1424">
        <v>120</v>
      </c>
      <c r="H1424">
        <v>60</v>
      </c>
      <c r="I1424">
        <v>0.99527592870946957</v>
      </c>
      <c r="J1424">
        <v>0.99779249448123619</v>
      </c>
      <c r="K1424" t="s">
        <v>86</v>
      </c>
      <c r="P1424">
        <v>0</v>
      </c>
      <c r="R1424">
        <v>0</v>
      </c>
      <c r="T1424">
        <v>0</v>
      </c>
      <c r="U1424" t="b">
        <v>0</v>
      </c>
      <c r="V1424">
        <v>0.15</v>
      </c>
      <c r="Y1424">
        <v>0</v>
      </c>
      <c r="Z1424">
        <v>145</v>
      </c>
      <c r="AA1424">
        <v>1.6076671982829201E-2</v>
      </c>
      <c r="AB1424">
        <v>1.44639846743295</v>
      </c>
      <c r="AC1424">
        <v>3.1857016972529698E-2</v>
      </c>
      <c r="AD1424">
        <v>7.7946403865392002E-3</v>
      </c>
      <c r="AE1424">
        <v>0</v>
      </c>
      <c r="AF1424" t="b">
        <v>0</v>
      </c>
    </row>
    <row r="1425" spans="1:35" x14ac:dyDescent="0.3">
      <c r="A1425" t="s">
        <v>2932</v>
      </c>
      <c r="B1425" t="s">
        <v>2933</v>
      </c>
      <c r="C1425" t="s">
        <v>479</v>
      </c>
      <c r="D1425">
        <v>225</v>
      </c>
      <c r="E1425">
        <v>4946</v>
      </c>
      <c r="F1425">
        <v>11</v>
      </c>
      <c r="G1425">
        <v>60</v>
      </c>
      <c r="H1425">
        <v>60</v>
      </c>
      <c r="I1425">
        <v>1</v>
      </c>
      <c r="J1425">
        <v>1</v>
      </c>
      <c r="K1425" t="s">
        <v>86</v>
      </c>
      <c r="P1425">
        <v>0</v>
      </c>
      <c r="R1425">
        <v>0</v>
      </c>
      <c r="T1425">
        <v>0</v>
      </c>
      <c r="U1425" t="b">
        <v>0</v>
      </c>
      <c r="V1425">
        <v>0.96875</v>
      </c>
      <c r="Y1425">
        <v>0</v>
      </c>
      <c r="Z1425">
        <v>173</v>
      </c>
      <c r="AA1425">
        <v>1.4846161039931999E-3</v>
      </c>
      <c r="AB1425">
        <v>0.1223506743737957</v>
      </c>
      <c r="AC1425">
        <v>-1.3189486826519801E-2</v>
      </c>
      <c r="AD1425">
        <v>9.7458615061784999E-3</v>
      </c>
      <c r="AE1425">
        <v>0</v>
      </c>
      <c r="AF1425" t="b">
        <v>0</v>
      </c>
    </row>
    <row r="1426" spans="1:35" x14ac:dyDescent="0.3">
      <c r="A1426" t="s">
        <v>2934</v>
      </c>
      <c r="B1426" t="s">
        <v>2935</v>
      </c>
      <c r="C1426" t="s">
        <v>479</v>
      </c>
      <c r="D1426">
        <v>90</v>
      </c>
      <c r="E1426">
        <v>1489</v>
      </c>
      <c r="F1426">
        <v>8</v>
      </c>
      <c r="G1426">
        <v>120</v>
      </c>
      <c r="H1426">
        <v>60</v>
      </c>
      <c r="I1426">
        <v>1</v>
      </c>
      <c r="J1426">
        <v>1</v>
      </c>
      <c r="K1426" t="s">
        <v>86</v>
      </c>
      <c r="P1426">
        <v>0</v>
      </c>
      <c r="R1426">
        <v>0</v>
      </c>
      <c r="T1426">
        <v>0</v>
      </c>
      <c r="U1426" t="b">
        <v>0</v>
      </c>
      <c r="Y1426">
        <v>0</v>
      </c>
      <c r="Z1426">
        <v>51</v>
      </c>
      <c r="AA1426">
        <v>1.7241379310343999E-3</v>
      </c>
      <c r="AB1426">
        <v>0.23529411764705879</v>
      </c>
      <c r="AD1426">
        <v>0</v>
      </c>
      <c r="AE1426">
        <v>0</v>
      </c>
      <c r="AF1426" t="b">
        <v>0</v>
      </c>
    </row>
    <row r="1427" spans="1:35" x14ac:dyDescent="0.3">
      <c r="A1427" t="s">
        <v>2936</v>
      </c>
      <c r="B1427" t="s">
        <v>2905</v>
      </c>
      <c r="C1427" t="s">
        <v>479</v>
      </c>
      <c r="D1427">
        <v>80</v>
      </c>
      <c r="E1427">
        <v>1400</v>
      </c>
      <c r="F1427">
        <v>7</v>
      </c>
      <c r="G1427">
        <v>60</v>
      </c>
      <c r="H1427">
        <v>60</v>
      </c>
      <c r="I1427">
        <v>1</v>
      </c>
      <c r="J1427">
        <v>1</v>
      </c>
      <c r="K1427" t="s">
        <v>86</v>
      </c>
      <c r="P1427">
        <v>0</v>
      </c>
      <c r="R1427">
        <v>0</v>
      </c>
      <c r="T1427">
        <v>0</v>
      </c>
      <c r="U1427" t="b">
        <v>0</v>
      </c>
      <c r="Y1427">
        <v>0</v>
      </c>
      <c r="Z1427">
        <v>67</v>
      </c>
      <c r="AA1427">
        <v>1.2759170653907401E-2</v>
      </c>
      <c r="AB1427">
        <v>0.9552238805970148</v>
      </c>
      <c r="AD1427">
        <v>0</v>
      </c>
      <c r="AE1427">
        <v>0</v>
      </c>
      <c r="AF1427" t="b">
        <v>0</v>
      </c>
    </row>
    <row r="1428" spans="1:35" x14ac:dyDescent="0.3">
      <c r="A1428" t="s">
        <v>2937</v>
      </c>
      <c r="B1428" t="s">
        <v>2832</v>
      </c>
      <c r="C1428" t="s">
        <v>479</v>
      </c>
      <c r="D1428">
        <v>11451</v>
      </c>
      <c r="E1428">
        <v>252602</v>
      </c>
      <c r="F1428">
        <v>39</v>
      </c>
      <c r="G1428">
        <v>60</v>
      </c>
      <c r="H1428">
        <v>60</v>
      </c>
      <c r="I1428">
        <v>1</v>
      </c>
      <c r="J1428">
        <v>1</v>
      </c>
      <c r="K1428" t="s">
        <v>86</v>
      </c>
      <c r="P1428">
        <v>0</v>
      </c>
      <c r="R1428">
        <v>0</v>
      </c>
      <c r="T1428">
        <v>2</v>
      </c>
      <c r="U1428" t="b">
        <v>1</v>
      </c>
      <c r="V1428">
        <v>8.765397626416533</v>
      </c>
      <c r="W1428">
        <v>8.7493412384716756</v>
      </c>
      <c r="X1428" t="b">
        <v>1</v>
      </c>
      <c r="Y1428">
        <v>0</v>
      </c>
      <c r="Z1428">
        <v>7170</v>
      </c>
      <c r="AA1428">
        <v>2.6477032980359499E-2</v>
      </c>
      <c r="AB1428">
        <v>2.5934961757753561</v>
      </c>
      <c r="AC1428">
        <v>-1.6945103635290001E-3</v>
      </c>
      <c r="AD1428">
        <v>5.9700038885596697E-2</v>
      </c>
      <c r="AE1428">
        <v>3</v>
      </c>
      <c r="AF1428" t="b">
        <v>1</v>
      </c>
      <c r="AG1428">
        <v>1.8685239175148902E-2</v>
      </c>
      <c r="AH1428">
        <v>1.926915289937237</v>
      </c>
      <c r="AI1428" t="b">
        <v>1</v>
      </c>
    </row>
    <row r="1429" spans="1:35" x14ac:dyDescent="0.3">
      <c r="A1429" t="s">
        <v>2938</v>
      </c>
      <c r="B1429" t="s">
        <v>2939</v>
      </c>
      <c r="C1429" t="s">
        <v>479</v>
      </c>
      <c r="D1429">
        <v>16974</v>
      </c>
      <c r="E1429">
        <v>354264</v>
      </c>
      <c r="F1429">
        <v>98</v>
      </c>
      <c r="G1429">
        <v>60</v>
      </c>
      <c r="H1429">
        <v>1</v>
      </c>
      <c r="I1429">
        <v>0.99263261296660121</v>
      </c>
      <c r="J1429">
        <v>0.99554638752578517</v>
      </c>
      <c r="K1429" t="s">
        <v>86</v>
      </c>
      <c r="P1429">
        <v>0</v>
      </c>
      <c r="R1429">
        <v>0</v>
      </c>
      <c r="T1429">
        <v>2</v>
      </c>
      <c r="U1429" t="b">
        <v>1</v>
      </c>
      <c r="V1429">
        <v>9.8277169149068957</v>
      </c>
      <c r="W1429">
        <v>3.1074587506453302</v>
      </c>
      <c r="X1429" t="b">
        <v>1</v>
      </c>
      <c r="Y1429">
        <v>0</v>
      </c>
      <c r="Z1429">
        <v>6014</v>
      </c>
      <c r="AA1429">
        <v>8.7869753310537493E-2</v>
      </c>
      <c r="AB1429">
        <v>8.2175761551511357</v>
      </c>
      <c r="AC1429">
        <v>7.6444176749069906E-2</v>
      </c>
      <c r="AD1429">
        <v>0.10223413759517661</v>
      </c>
      <c r="AE1429">
        <v>2</v>
      </c>
      <c r="AF1429" t="b">
        <v>1</v>
      </c>
      <c r="AG1429">
        <v>2.2363519057474801E-2</v>
      </c>
      <c r="AH1429">
        <v>2.280623621379279</v>
      </c>
      <c r="AI1429" t="b">
        <v>1</v>
      </c>
    </row>
    <row r="1430" spans="1:35" x14ac:dyDescent="0.3">
      <c r="A1430" t="s">
        <v>2940</v>
      </c>
      <c r="B1430" t="s">
        <v>2941</v>
      </c>
      <c r="C1430" t="s">
        <v>479</v>
      </c>
      <c r="D1430">
        <v>1022</v>
      </c>
      <c r="E1430">
        <v>31246</v>
      </c>
      <c r="F1430">
        <v>14</v>
      </c>
      <c r="G1430">
        <v>60</v>
      </c>
      <c r="H1430">
        <v>60</v>
      </c>
      <c r="I1430">
        <v>1</v>
      </c>
      <c r="J1430">
        <v>1</v>
      </c>
      <c r="K1430" t="s">
        <v>86</v>
      </c>
      <c r="P1430">
        <v>0</v>
      </c>
      <c r="R1430">
        <v>0</v>
      </c>
      <c r="T1430">
        <v>0</v>
      </c>
      <c r="U1430" t="b">
        <v>0</v>
      </c>
      <c r="V1430">
        <v>10.404878048780491</v>
      </c>
      <c r="Y1430">
        <v>0</v>
      </c>
      <c r="Z1430">
        <v>741</v>
      </c>
      <c r="AA1430">
        <v>2.1676952709165798E-2</v>
      </c>
      <c r="AB1430">
        <v>1.7672386093438719</v>
      </c>
      <c r="AC1430">
        <v>-3.1633699103877999E-3</v>
      </c>
      <c r="AD1430">
        <v>4.7565375112723303E-2</v>
      </c>
      <c r="AE1430">
        <v>0</v>
      </c>
      <c r="AF1430" t="b">
        <v>0</v>
      </c>
    </row>
    <row r="1431" spans="1:35" x14ac:dyDescent="0.3">
      <c r="A1431" t="s">
        <v>2942</v>
      </c>
      <c r="B1431" t="s">
        <v>2708</v>
      </c>
      <c r="C1431" t="s">
        <v>479</v>
      </c>
      <c r="D1431">
        <v>17587</v>
      </c>
      <c r="E1431">
        <v>356125</v>
      </c>
      <c r="F1431">
        <v>349</v>
      </c>
      <c r="G1431">
        <v>60</v>
      </c>
      <c r="H1431">
        <v>1</v>
      </c>
      <c r="I1431">
        <v>0.3433710073710074</v>
      </c>
      <c r="J1431">
        <v>0.51548480687227038</v>
      </c>
      <c r="K1431" t="s">
        <v>432</v>
      </c>
      <c r="L1431">
        <v>0.1047205558939836</v>
      </c>
      <c r="M1431">
        <v>0.48318542737038761</v>
      </c>
      <c r="N1431">
        <v>0.79161942321912748</v>
      </c>
      <c r="O1431" t="s">
        <v>518</v>
      </c>
      <c r="P1431">
        <v>8454</v>
      </c>
      <c r="Q1431">
        <v>6.6359119943222106E-2</v>
      </c>
      <c r="R1431">
        <v>179023</v>
      </c>
      <c r="S1431">
        <v>0.1083938935220614</v>
      </c>
      <c r="T1431">
        <v>3</v>
      </c>
      <c r="U1431" t="b">
        <v>1</v>
      </c>
      <c r="V1431">
        <v>8.597741878476695</v>
      </c>
      <c r="W1431">
        <v>12.04950495049505</v>
      </c>
      <c r="X1431" t="b">
        <v>0</v>
      </c>
      <c r="Y1431">
        <v>0</v>
      </c>
      <c r="Z1431">
        <v>9049</v>
      </c>
      <c r="AA1431">
        <v>2.90072453940023E-2</v>
      </c>
      <c r="AB1431">
        <v>2.3623928821705702</v>
      </c>
      <c r="AC1431">
        <v>-2.1143741701251901E-2</v>
      </c>
      <c r="AD1431">
        <v>6.5932322262202497E-2</v>
      </c>
      <c r="AE1431">
        <v>3</v>
      </c>
      <c r="AF1431" t="b">
        <v>1</v>
      </c>
      <c r="AG1431">
        <v>0</v>
      </c>
      <c r="AH1431">
        <v>0</v>
      </c>
      <c r="AI1431" t="b">
        <v>1</v>
      </c>
    </row>
    <row r="1432" spans="1:35" x14ac:dyDescent="0.3">
      <c r="A1432" t="s">
        <v>2943</v>
      </c>
      <c r="B1432" t="s">
        <v>2832</v>
      </c>
      <c r="C1432" t="s">
        <v>479</v>
      </c>
      <c r="D1432">
        <v>110</v>
      </c>
      <c r="E1432">
        <v>1070</v>
      </c>
      <c r="F1432">
        <v>7</v>
      </c>
      <c r="G1432">
        <v>120</v>
      </c>
      <c r="H1432">
        <v>60</v>
      </c>
      <c r="I1432">
        <v>1</v>
      </c>
      <c r="J1432">
        <v>1</v>
      </c>
      <c r="K1432" t="s">
        <v>86</v>
      </c>
      <c r="P1432">
        <v>0</v>
      </c>
      <c r="R1432">
        <v>0</v>
      </c>
      <c r="T1432">
        <v>0</v>
      </c>
      <c r="U1432" t="b">
        <v>0</v>
      </c>
      <c r="V1432">
        <v>5.46875</v>
      </c>
      <c r="Y1432">
        <v>0</v>
      </c>
      <c r="Z1432">
        <v>54</v>
      </c>
      <c r="AA1432">
        <v>8.2081732448480004E-3</v>
      </c>
      <c r="AB1432">
        <v>0.93253968253968278</v>
      </c>
      <c r="AC1432">
        <v>9.8360655737704007E-3</v>
      </c>
      <c r="AD1432">
        <v>9.8039215686274005E-3</v>
      </c>
      <c r="AE1432">
        <v>0</v>
      </c>
      <c r="AF1432" t="b">
        <v>0</v>
      </c>
    </row>
    <row r="1433" spans="1:35" x14ac:dyDescent="0.3">
      <c r="A1433" t="s">
        <v>2944</v>
      </c>
      <c r="B1433" t="s">
        <v>2945</v>
      </c>
      <c r="C1433" t="s">
        <v>479</v>
      </c>
      <c r="D1433">
        <v>4822</v>
      </c>
      <c r="E1433">
        <v>125984</v>
      </c>
      <c r="F1433">
        <v>26</v>
      </c>
      <c r="G1433">
        <v>60</v>
      </c>
      <c r="H1433">
        <v>60</v>
      </c>
      <c r="I1433">
        <v>1</v>
      </c>
      <c r="J1433">
        <v>1</v>
      </c>
      <c r="K1433" t="s">
        <v>86</v>
      </c>
      <c r="P1433">
        <v>0</v>
      </c>
      <c r="R1433">
        <v>0</v>
      </c>
      <c r="T1433">
        <v>2</v>
      </c>
      <c r="U1433" t="b">
        <v>1</v>
      </c>
      <c r="V1433">
        <v>11.12854290844721</v>
      </c>
      <c r="W1433">
        <v>1.0964912280701599E-2</v>
      </c>
      <c r="X1433" t="b">
        <v>1</v>
      </c>
      <c r="Y1433">
        <v>0</v>
      </c>
      <c r="Z1433">
        <v>3107</v>
      </c>
      <c r="AA1433">
        <v>1.46789274524075E-2</v>
      </c>
      <c r="AB1433">
        <v>1.3150830438927521</v>
      </c>
      <c r="AC1433">
        <v>-1.84223466551027E-2</v>
      </c>
      <c r="AD1433">
        <v>4.5845449446692103E-2</v>
      </c>
      <c r="AE1433">
        <v>2</v>
      </c>
      <c r="AF1433" t="b">
        <v>1</v>
      </c>
      <c r="AG1433">
        <v>1.5226141298591001E-3</v>
      </c>
      <c r="AH1433">
        <v>0.1260964912280701</v>
      </c>
      <c r="AI1433" t="b">
        <v>1</v>
      </c>
    </row>
    <row r="1434" spans="1:35" x14ac:dyDescent="0.3">
      <c r="A1434" t="s">
        <v>2946</v>
      </c>
      <c r="B1434" t="s">
        <v>2698</v>
      </c>
      <c r="C1434" t="s">
        <v>479</v>
      </c>
      <c r="D1434">
        <v>55</v>
      </c>
      <c r="E1434">
        <v>1212</v>
      </c>
      <c r="F1434">
        <v>8</v>
      </c>
      <c r="G1434">
        <v>120</v>
      </c>
      <c r="H1434">
        <v>60</v>
      </c>
      <c r="I1434">
        <v>1</v>
      </c>
      <c r="J1434">
        <v>1</v>
      </c>
      <c r="K1434" t="s">
        <v>86</v>
      </c>
      <c r="P1434">
        <v>0</v>
      </c>
      <c r="R1434">
        <v>0</v>
      </c>
      <c r="T1434">
        <v>0</v>
      </c>
      <c r="U1434" t="b">
        <v>0</v>
      </c>
      <c r="V1434">
        <v>23.666666666666671</v>
      </c>
      <c r="Y1434">
        <v>0</v>
      </c>
      <c r="Z1434">
        <v>43</v>
      </c>
      <c r="AA1434">
        <v>0.1615686274509803</v>
      </c>
      <c r="AB1434">
        <v>19.162790697674421</v>
      </c>
      <c r="AC1434">
        <v>0.23529411764705879</v>
      </c>
      <c r="AD1434">
        <v>8.9558232931726905E-2</v>
      </c>
      <c r="AE1434">
        <v>0</v>
      </c>
      <c r="AF1434" t="b">
        <v>0</v>
      </c>
    </row>
    <row r="1435" spans="1:35" x14ac:dyDescent="0.3">
      <c r="A1435" t="s">
        <v>2947</v>
      </c>
      <c r="B1435" t="s">
        <v>2948</v>
      </c>
      <c r="C1435" t="s">
        <v>479</v>
      </c>
      <c r="D1435">
        <v>6542</v>
      </c>
      <c r="E1435">
        <v>41455</v>
      </c>
      <c r="F1435">
        <v>27</v>
      </c>
      <c r="G1435">
        <v>60</v>
      </c>
      <c r="H1435">
        <v>60</v>
      </c>
      <c r="I1435">
        <v>1</v>
      </c>
      <c r="J1435">
        <v>1</v>
      </c>
      <c r="K1435" t="s">
        <v>86</v>
      </c>
      <c r="P1435">
        <v>0</v>
      </c>
      <c r="R1435">
        <v>0</v>
      </c>
      <c r="T1435">
        <v>0</v>
      </c>
      <c r="U1435" t="b">
        <v>0</v>
      </c>
      <c r="V1435">
        <v>7.9056103627352057</v>
      </c>
      <c r="Y1435">
        <v>0</v>
      </c>
      <c r="Z1435">
        <v>1249</v>
      </c>
      <c r="AA1435">
        <v>9.5197172530992E-3</v>
      </c>
      <c r="AB1435">
        <v>1.8588620007132981</v>
      </c>
      <c r="AC1435">
        <v>3.4452726609753002E-3</v>
      </c>
      <c r="AD1435">
        <v>2.76573879205066E-2</v>
      </c>
      <c r="AE1435">
        <v>0</v>
      </c>
      <c r="AF1435" t="b">
        <v>0</v>
      </c>
    </row>
    <row r="1436" spans="1:35" x14ac:dyDescent="0.3">
      <c r="A1436" t="s">
        <v>2949</v>
      </c>
      <c r="B1436" t="s">
        <v>2950</v>
      </c>
      <c r="C1436" t="s">
        <v>479</v>
      </c>
      <c r="D1436">
        <v>81</v>
      </c>
      <c r="E1436">
        <v>644</v>
      </c>
      <c r="F1436">
        <v>20</v>
      </c>
      <c r="G1436">
        <v>240</v>
      </c>
      <c r="H1436">
        <v>60</v>
      </c>
      <c r="I1436">
        <v>1</v>
      </c>
      <c r="J1436">
        <v>1</v>
      </c>
      <c r="K1436" t="s">
        <v>86</v>
      </c>
      <c r="P1436">
        <v>0</v>
      </c>
      <c r="R1436">
        <v>0</v>
      </c>
      <c r="T1436">
        <v>0</v>
      </c>
      <c r="U1436" t="b">
        <v>0</v>
      </c>
      <c r="Y1436">
        <v>0</v>
      </c>
      <c r="Z1436">
        <v>0</v>
      </c>
      <c r="AE1436">
        <v>0</v>
      </c>
      <c r="AF1436" t="b">
        <v>0</v>
      </c>
    </row>
    <row r="1437" spans="1:35" x14ac:dyDescent="0.3">
      <c r="A1437" t="s">
        <v>2951</v>
      </c>
      <c r="B1437" t="s">
        <v>2952</v>
      </c>
      <c r="C1437" t="s">
        <v>479</v>
      </c>
      <c r="D1437">
        <v>2305</v>
      </c>
      <c r="E1437">
        <v>20333</v>
      </c>
      <c r="F1437">
        <v>49</v>
      </c>
      <c r="G1437">
        <v>120</v>
      </c>
      <c r="H1437">
        <v>60</v>
      </c>
      <c r="I1437">
        <v>1</v>
      </c>
      <c r="J1437">
        <v>1</v>
      </c>
      <c r="K1437" t="s">
        <v>432</v>
      </c>
      <c r="L1437">
        <v>8.6561350357065571E-5</v>
      </c>
      <c r="M1437">
        <v>1</v>
      </c>
      <c r="N1437">
        <v>1</v>
      </c>
      <c r="O1437" t="s">
        <v>518</v>
      </c>
      <c r="P1437">
        <v>0</v>
      </c>
      <c r="R1437">
        <v>0</v>
      </c>
      <c r="T1437">
        <v>0</v>
      </c>
      <c r="U1437" t="b">
        <v>0</v>
      </c>
      <c r="V1437">
        <v>0</v>
      </c>
      <c r="Y1437">
        <v>0</v>
      </c>
      <c r="Z1437">
        <v>0</v>
      </c>
      <c r="AE1437">
        <v>0</v>
      </c>
      <c r="AF1437" t="b">
        <v>0</v>
      </c>
    </row>
    <row r="1438" spans="1:35" x14ac:dyDescent="0.3">
      <c r="A1438" t="s">
        <v>2953</v>
      </c>
      <c r="B1438" t="s">
        <v>2952</v>
      </c>
      <c r="C1438" t="s">
        <v>479</v>
      </c>
      <c r="D1438">
        <v>2165</v>
      </c>
      <c r="E1438">
        <v>54339</v>
      </c>
      <c r="F1438">
        <v>203</v>
      </c>
      <c r="G1438">
        <v>120</v>
      </c>
      <c r="H1438">
        <v>1</v>
      </c>
      <c r="I1438">
        <v>0.96873332229154019</v>
      </c>
      <c r="J1438">
        <v>0.97472397965512958</v>
      </c>
      <c r="K1438" t="s">
        <v>432</v>
      </c>
      <c r="L1438">
        <v>9.5831782657238001E-3</v>
      </c>
      <c r="M1438">
        <v>0.98374823860967597</v>
      </c>
      <c r="N1438">
        <v>4.2071197411003201E-2</v>
      </c>
      <c r="O1438" t="s">
        <v>518</v>
      </c>
      <c r="P1438">
        <v>592</v>
      </c>
      <c r="Q1438">
        <v>0.29054054054054052</v>
      </c>
      <c r="R1438">
        <v>1028</v>
      </c>
      <c r="S1438">
        <v>0.1293774319066148</v>
      </c>
      <c r="T1438">
        <v>0</v>
      </c>
      <c r="U1438" t="b">
        <v>0</v>
      </c>
      <c r="V1438">
        <v>19.771408308809889</v>
      </c>
      <c r="Y1438">
        <v>0</v>
      </c>
      <c r="Z1438">
        <v>1317</v>
      </c>
      <c r="AA1438">
        <v>6.8613511656312395E-2</v>
      </c>
      <c r="AB1438">
        <v>8.2805982697729359</v>
      </c>
      <c r="AC1438">
        <v>4.52631494011888E-2</v>
      </c>
      <c r="AD1438">
        <v>0.10710790987756889</v>
      </c>
      <c r="AE1438">
        <v>0</v>
      </c>
      <c r="AF1438" t="b">
        <v>0</v>
      </c>
    </row>
    <row r="1439" spans="1:35" x14ac:dyDescent="0.3">
      <c r="A1439" t="s">
        <v>2954</v>
      </c>
      <c r="B1439" t="s">
        <v>2832</v>
      </c>
      <c r="C1439" t="s">
        <v>479</v>
      </c>
      <c r="D1439">
        <v>230</v>
      </c>
      <c r="E1439">
        <v>3429</v>
      </c>
      <c r="F1439">
        <v>19</v>
      </c>
      <c r="G1439">
        <v>120</v>
      </c>
      <c r="H1439">
        <v>60</v>
      </c>
      <c r="I1439">
        <v>1</v>
      </c>
      <c r="J1439">
        <v>1</v>
      </c>
      <c r="K1439" t="s">
        <v>86</v>
      </c>
      <c r="P1439">
        <v>0</v>
      </c>
      <c r="R1439">
        <v>0</v>
      </c>
      <c r="T1439">
        <v>0</v>
      </c>
      <c r="U1439" t="b">
        <v>0</v>
      </c>
      <c r="V1439">
        <v>0.44444444444444442</v>
      </c>
      <c r="Y1439">
        <v>0</v>
      </c>
      <c r="Z1439">
        <v>56</v>
      </c>
      <c r="AA1439">
        <v>-8.9605734767024998E-3</v>
      </c>
      <c r="AB1439">
        <v>-0.8928571428571429</v>
      </c>
      <c r="AC1439">
        <v>-8.4388185654007998E-3</v>
      </c>
      <c r="AD1439">
        <v>-1.3157894736842099E-2</v>
      </c>
      <c r="AE1439">
        <v>0</v>
      </c>
      <c r="AF1439" t="b">
        <v>0</v>
      </c>
    </row>
    <row r="1440" spans="1:35" x14ac:dyDescent="0.3">
      <c r="A1440" t="s">
        <v>2955</v>
      </c>
      <c r="B1440" t="s">
        <v>2956</v>
      </c>
      <c r="C1440" t="s">
        <v>479</v>
      </c>
      <c r="D1440">
        <v>1988</v>
      </c>
      <c r="E1440">
        <v>50224</v>
      </c>
      <c r="F1440">
        <v>348</v>
      </c>
      <c r="G1440">
        <v>71</v>
      </c>
      <c r="H1440">
        <v>1</v>
      </c>
      <c r="I1440">
        <v>0.1131331634278432</v>
      </c>
      <c r="J1440">
        <v>0.3556270589136597</v>
      </c>
      <c r="K1440" t="s">
        <v>432</v>
      </c>
      <c r="L1440">
        <v>0.6497931509997702</v>
      </c>
      <c r="M1440">
        <v>1</v>
      </c>
      <c r="N1440">
        <v>8.3414389719101995E-3</v>
      </c>
      <c r="O1440" t="s">
        <v>433</v>
      </c>
      <c r="P1440">
        <v>33644</v>
      </c>
      <c r="Q1440">
        <v>0.99970277018190479</v>
      </c>
      <c r="R1440">
        <v>0</v>
      </c>
      <c r="T1440">
        <v>0</v>
      </c>
      <c r="U1440" t="b">
        <v>0</v>
      </c>
      <c r="V1440">
        <v>5.6150877529795968</v>
      </c>
      <c r="Y1440">
        <v>0</v>
      </c>
      <c r="Z1440">
        <v>1179</v>
      </c>
      <c r="AA1440">
        <v>5.9196812481450103E-2</v>
      </c>
      <c r="AB1440">
        <v>4.7767489131895289</v>
      </c>
      <c r="AC1440">
        <v>4.4280519472754701E-2</v>
      </c>
      <c r="AD1440">
        <v>7.8029241656641796E-2</v>
      </c>
      <c r="AE1440">
        <v>0</v>
      </c>
      <c r="AF1440" t="b">
        <v>0</v>
      </c>
    </row>
    <row r="1441" spans="1:35" x14ac:dyDescent="0.3">
      <c r="A1441" t="s">
        <v>2957</v>
      </c>
      <c r="B1441" t="s">
        <v>2958</v>
      </c>
      <c r="C1441" t="s">
        <v>479</v>
      </c>
      <c r="D1441">
        <v>224</v>
      </c>
      <c r="E1441">
        <v>4325</v>
      </c>
      <c r="F1441">
        <v>7</v>
      </c>
      <c r="G1441">
        <v>60</v>
      </c>
      <c r="H1441">
        <v>60</v>
      </c>
      <c r="I1441">
        <v>1</v>
      </c>
      <c r="J1441">
        <v>1</v>
      </c>
      <c r="K1441" t="s">
        <v>86</v>
      </c>
      <c r="P1441">
        <v>0</v>
      </c>
      <c r="R1441">
        <v>0</v>
      </c>
      <c r="T1441">
        <v>0</v>
      </c>
      <c r="U1441" t="b">
        <v>0</v>
      </c>
      <c r="V1441">
        <v>0</v>
      </c>
      <c r="Y1441">
        <v>0</v>
      </c>
      <c r="Z1441">
        <v>200</v>
      </c>
      <c r="AA1441">
        <v>1.595259799453E-3</v>
      </c>
      <c r="AB1441">
        <v>0.14000000000000001</v>
      </c>
      <c r="AC1441">
        <v>0</v>
      </c>
      <c r="AD1441">
        <v>0</v>
      </c>
      <c r="AE1441">
        <v>0</v>
      </c>
      <c r="AF1441" t="b">
        <v>0</v>
      </c>
    </row>
    <row r="1442" spans="1:35" x14ac:dyDescent="0.3">
      <c r="A1442" t="s">
        <v>2959</v>
      </c>
      <c r="B1442" t="s">
        <v>1286</v>
      </c>
      <c r="C1442" t="s">
        <v>479</v>
      </c>
      <c r="D1442">
        <v>375</v>
      </c>
      <c r="E1442">
        <v>7251</v>
      </c>
      <c r="F1442">
        <v>39</v>
      </c>
      <c r="G1442">
        <v>60</v>
      </c>
      <c r="H1442">
        <v>60</v>
      </c>
      <c r="I1442">
        <v>1</v>
      </c>
      <c r="J1442">
        <v>1</v>
      </c>
      <c r="K1442" t="s">
        <v>86</v>
      </c>
      <c r="P1442">
        <v>0</v>
      </c>
      <c r="R1442">
        <v>0</v>
      </c>
      <c r="T1442">
        <v>0</v>
      </c>
      <c r="U1442" t="b">
        <v>0</v>
      </c>
      <c r="V1442">
        <v>1.52</v>
      </c>
      <c r="Y1442">
        <v>0</v>
      </c>
      <c r="Z1442">
        <v>294</v>
      </c>
      <c r="AA1442">
        <v>1.03367600141793E-2</v>
      </c>
      <c r="AB1442">
        <v>1.0626822157434399</v>
      </c>
      <c r="AC1442">
        <v>8.2442067736184996E-3</v>
      </c>
      <c r="AD1442">
        <v>7.8594544613962009E-3</v>
      </c>
      <c r="AE1442">
        <v>0</v>
      </c>
      <c r="AF1442" t="b">
        <v>0</v>
      </c>
    </row>
    <row r="1443" spans="1:35" x14ac:dyDescent="0.3">
      <c r="A1443" t="s">
        <v>2960</v>
      </c>
      <c r="B1443" t="s">
        <v>2961</v>
      </c>
      <c r="C1443" t="s">
        <v>479</v>
      </c>
      <c r="D1443">
        <v>352</v>
      </c>
      <c r="E1443">
        <v>7193</v>
      </c>
      <c r="F1443">
        <v>14</v>
      </c>
      <c r="G1443">
        <v>60</v>
      </c>
      <c r="H1443">
        <v>60</v>
      </c>
      <c r="I1443">
        <v>1</v>
      </c>
      <c r="J1443">
        <v>1</v>
      </c>
      <c r="K1443" t="s">
        <v>86</v>
      </c>
      <c r="P1443">
        <v>0</v>
      </c>
      <c r="R1443">
        <v>0</v>
      </c>
      <c r="T1443">
        <v>0</v>
      </c>
      <c r="U1443" t="b">
        <v>0</v>
      </c>
      <c r="V1443">
        <v>0.46693121693121692</v>
      </c>
      <c r="Y1443">
        <v>0</v>
      </c>
      <c r="Z1443">
        <v>230</v>
      </c>
      <c r="AA1443">
        <v>2.2522522522522002E-3</v>
      </c>
      <c r="AB1443">
        <v>0.17391304347826081</v>
      </c>
      <c r="AC1443">
        <v>6.7417876241404997E-3</v>
      </c>
      <c r="AD1443">
        <v>0</v>
      </c>
      <c r="AE1443">
        <v>0</v>
      </c>
      <c r="AF1443" t="b">
        <v>0</v>
      </c>
    </row>
    <row r="1444" spans="1:35" x14ac:dyDescent="0.3">
      <c r="A1444" t="s">
        <v>2962</v>
      </c>
      <c r="B1444" t="s">
        <v>2963</v>
      </c>
      <c r="C1444" t="s">
        <v>479</v>
      </c>
      <c r="D1444">
        <v>151</v>
      </c>
      <c r="E1444">
        <v>3936</v>
      </c>
      <c r="F1444">
        <v>15</v>
      </c>
      <c r="G1444">
        <v>60</v>
      </c>
      <c r="H1444">
        <v>60</v>
      </c>
      <c r="I1444">
        <v>1</v>
      </c>
      <c r="J1444">
        <v>1</v>
      </c>
      <c r="K1444" t="s">
        <v>86</v>
      </c>
      <c r="P1444">
        <v>0</v>
      </c>
      <c r="R1444">
        <v>0</v>
      </c>
      <c r="T1444">
        <v>0</v>
      </c>
      <c r="U1444" t="b">
        <v>0</v>
      </c>
      <c r="V1444">
        <v>12.90322580645161</v>
      </c>
      <c r="Y1444">
        <v>0</v>
      </c>
      <c r="Z1444">
        <v>246</v>
      </c>
      <c r="AA1444">
        <v>3.2413950307727299E-2</v>
      </c>
      <c r="AB1444">
        <v>2.8902439024390238</v>
      </c>
      <c r="AC1444">
        <v>5.9093516924842202E-2</v>
      </c>
      <c r="AD1444">
        <v>0.13165266106442569</v>
      </c>
      <c r="AE1444">
        <v>0</v>
      </c>
      <c r="AF1444" t="b">
        <v>0</v>
      </c>
    </row>
    <row r="1445" spans="1:35" x14ac:dyDescent="0.3">
      <c r="A1445" t="s">
        <v>2964</v>
      </c>
      <c r="B1445" t="s">
        <v>2965</v>
      </c>
      <c r="C1445" t="s">
        <v>479</v>
      </c>
      <c r="D1445">
        <v>695</v>
      </c>
      <c r="E1445">
        <v>9473</v>
      </c>
      <c r="F1445">
        <v>15</v>
      </c>
      <c r="G1445">
        <v>60</v>
      </c>
      <c r="H1445">
        <v>60</v>
      </c>
      <c r="I1445">
        <v>1</v>
      </c>
      <c r="J1445">
        <v>1</v>
      </c>
      <c r="K1445" t="s">
        <v>86</v>
      </c>
      <c r="P1445">
        <v>0</v>
      </c>
      <c r="R1445">
        <v>0</v>
      </c>
      <c r="T1445">
        <v>0</v>
      </c>
      <c r="U1445" t="b">
        <v>0</v>
      </c>
      <c r="V1445">
        <v>1.5415584415584409</v>
      </c>
      <c r="Y1445">
        <v>0</v>
      </c>
      <c r="Z1445">
        <v>460</v>
      </c>
      <c r="AA1445">
        <v>5.4029627501714E-2</v>
      </c>
      <c r="AB1445">
        <v>5.3418690005646532</v>
      </c>
      <c r="AC1445">
        <v>2.39533658549935E-2</v>
      </c>
      <c r="AD1445">
        <v>2.9646291856361601E-2</v>
      </c>
      <c r="AE1445">
        <v>0</v>
      </c>
      <c r="AF1445" t="b">
        <v>0</v>
      </c>
    </row>
    <row r="1446" spans="1:35" x14ac:dyDescent="0.3">
      <c r="A1446" t="s">
        <v>2966</v>
      </c>
      <c r="B1446" t="s">
        <v>2967</v>
      </c>
      <c r="C1446" t="s">
        <v>479</v>
      </c>
      <c r="D1446">
        <v>170</v>
      </c>
      <c r="E1446">
        <v>3240</v>
      </c>
      <c r="F1446">
        <v>19</v>
      </c>
      <c r="G1446">
        <v>60</v>
      </c>
      <c r="H1446">
        <v>60</v>
      </c>
      <c r="I1446">
        <v>1</v>
      </c>
      <c r="J1446">
        <v>1</v>
      </c>
      <c r="K1446" t="s">
        <v>86</v>
      </c>
      <c r="P1446">
        <v>0</v>
      </c>
      <c r="R1446">
        <v>0</v>
      </c>
      <c r="T1446">
        <v>0</v>
      </c>
      <c r="U1446" t="b">
        <v>0</v>
      </c>
      <c r="V1446">
        <v>2.6351351351351342</v>
      </c>
      <c r="Y1446">
        <v>0</v>
      </c>
      <c r="Z1446">
        <v>150</v>
      </c>
      <c r="AA1446">
        <v>-5.5274505640928E-3</v>
      </c>
      <c r="AB1446">
        <v>-0.49780219780219781</v>
      </c>
      <c r="AC1446">
        <v>3.2064128256513003E-2</v>
      </c>
      <c r="AD1446">
        <v>4.0611562350692E-3</v>
      </c>
      <c r="AE1446">
        <v>0</v>
      </c>
      <c r="AF1446" t="b">
        <v>0</v>
      </c>
    </row>
    <row r="1447" spans="1:35" x14ac:dyDescent="0.3">
      <c r="A1447" t="s">
        <v>2968</v>
      </c>
      <c r="B1447" t="s">
        <v>2969</v>
      </c>
      <c r="C1447" t="s">
        <v>479</v>
      </c>
      <c r="D1447">
        <v>1126</v>
      </c>
      <c r="E1447">
        <v>32710</v>
      </c>
      <c r="F1447">
        <v>250</v>
      </c>
      <c r="G1447">
        <v>69</v>
      </c>
      <c r="H1447">
        <v>1</v>
      </c>
      <c r="I1447">
        <v>6.3008254356465898E-2</v>
      </c>
      <c r="J1447">
        <v>0.35128265752453008</v>
      </c>
      <c r="K1447" t="s">
        <v>432</v>
      </c>
      <c r="L1447">
        <v>0.65849982267407492</v>
      </c>
      <c r="M1447">
        <v>1</v>
      </c>
      <c r="N1447">
        <v>1.48557066558951E-2</v>
      </c>
      <c r="O1447" t="s">
        <v>433</v>
      </c>
      <c r="P1447">
        <v>21950</v>
      </c>
      <c r="Q1447">
        <v>0.99808656036446475</v>
      </c>
      <c r="R1447">
        <v>0</v>
      </c>
      <c r="T1447">
        <v>0</v>
      </c>
      <c r="U1447" t="b">
        <v>0</v>
      </c>
      <c r="V1447">
        <v>8.4695638779450135</v>
      </c>
      <c r="Y1447">
        <v>0</v>
      </c>
      <c r="Z1447">
        <v>575</v>
      </c>
      <c r="AA1447">
        <v>0.1095526113243827</v>
      </c>
      <c r="AB1447">
        <v>8.5033757860361163</v>
      </c>
      <c r="AC1447">
        <v>7.9435866883364903E-2</v>
      </c>
      <c r="AD1447">
        <v>0.13884315383326681</v>
      </c>
      <c r="AE1447">
        <v>0</v>
      </c>
      <c r="AF1447" t="b">
        <v>0</v>
      </c>
    </row>
    <row r="1448" spans="1:35" x14ac:dyDescent="0.3">
      <c r="A1448" t="s">
        <v>2970</v>
      </c>
      <c r="B1448" t="s">
        <v>2952</v>
      </c>
      <c r="C1448" t="s">
        <v>479</v>
      </c>
      <c r="D1448">
        <v>451</v>
      </c>
      <c r="E1448">
        <v>3860</v>
      </c>
      <c r="F1448">
        <v>54</v>
      </c>
      <c r="G1448">
        <v>300</v>
      </c>
      <c r="H1448">
        <v>60</v>
      </c>
      <c r="I1448">
        <v>1</v>
      </c>
      <c r="J1448">
        <v>1</v>
      </c>
      <c r="K1448" t="s">
        <v>86</v>
      </c>
      <c r="P1448">
        <v>0</v>
      </c>
      <c r="R1448">
        <v>0</v>
      </c>
      <c r="T1448">
        <v>1</v>
      </c>
      <c r="U1448" t="b">
        <v>0</v>
      </c>
      <c r="V1448">
        <v>46.666666666666657</v>
      </c>
      <c r="W1448">
        <v>12.47770700636943</v>
      </c>
      <c r="Y1448">
        <v>0</v>
      </c>
      <c r="Z1448">
        <v>70</v>
      </c>
      <c r="AA1448">
        <v>7.1583407715471101E-2</v>
      </c>
      <c r="AB1448">
        <v>29.787755102040819</v>
      </c>
      <c r="AC1448">
        <v>5.8601134215500901E-2</v>
      </c>
      <c r="AD1448">
        <v>8.5611697525523403E-2</v>
      </c>
      <c r="AE1448">
        <v>1</v>
      </c>
      <c r="AF1448" t="b">
        <v>1</v>
      </c>
      <c r="AG1448">
        <v>2.9559223470530002E-3</v>
      </c>
      <c r="AH1448">
        <v>1.0778542742398169</v>
      </c>
      <c r="AI1448" t="b">
        <v>1</v>
      </c>
    </row>
    <row r="1449" spans="1:35" x14ac:dyDescent="0.3">
      <c r="A1449" t="s">
        <v>2971</v>
      </c>
      <c r="B1449" t="s">
        <v>2785</v>
      </c>
      <c r="C1449" t="s">
        <v>479</v>
      </c>
      <c r="D1449">
        <v>1134</v>
      </c>
      <c r="E1449">
        <v>8363</v>
      </c>
      <c r="F1449">
        <v>164</v>
      </c>
      <c r="G1449">
        <v>180</v>
      </c>
      <c r="H1449">
        <v>6</v>
      </c>
      <c r="I1449">
        <v>0.72581609470285779</v>
      </c>
      <c r="J1449">
        <v>0.77027591973244147</v>
      </c>
      <c r="K1449" t="s">
        <v>86</v>
      </c>
      <c r="P1449">
        <v>0</v>
      </c>
      <c r="R1449">
        <v>0</v>
      </c>
      <c r="T1449">
        <v>0</v>
      </c>
      <c r="U1449" t="b">
        <v>0</v>
      </c>
      <c r="Y1449">
        <v>0</v>
      </c>
      <c r="Z1449">
        <v>0</v>
      </c>
      <c r="AE1449">
        <v>0</v>
      </c>
      <c r="AF1449" t="b">
        <v>0</v>
      </c>
    </row>
    <row r="1450" spans="1:35" x14ac:dyDescent="0.3">
      <c r="A1450" t="s">
        <v>2972</v>
      </c>
      <c r="B1450" t="s">
        <v>2905</v>
      </c>
      <c r="C1450" t="s">
        <v>479</v>
      </c>
      <c r="D1450">
        <v>289</v>
      </c>
      <c r="E1450">
        <v>4317</v>
      </c>
      <c r="F1450">
        <v>6</v>
      </c>
      <c r="G1450">
        <v>60</v>
      </c>
      <c r="H1450">
        <v>60</v>
      </c>
      <c r="I1450">
        <v>1</v>
      </c>
      <c r="J1450">
        <v>1</v>
      </c>
      <c r="K1450" t="s">
        <v>86</v>
      </c>
      <c r="P1450">
        <v>0</v>
      </c>
      <c r="R1450">
        <v>0</v>
      </c>
      <c r="T1450">
        <v>0</v>
      </c>
      <c r="U1450" t="b">
        <v>0</v>
      </c>
      <c r="V1450">
        <v>2.6171875</v>
      </c>
      <c r="Y1450">
        <v>0</v>
      </c>
      <c r="Z1450">
        <v>193</v>
      </c>
      <c r="AA1450">
        <v>1.49451867077766E-2</v>
      </c>
      <c r="AB1450">
        <v>1.162472242783124</v>
      </c>
      <c r="AC1450">
        <v>1.2098456403838101E-2</v>
      </c>
      <c r="AD1450">
        <v>3.4163006344558001E-3</v>
      </c>
      <c r="AE1450">
        <v>0</v>
      </c>
      <c r="AF1450" t="b">
        <v>0</v>
      </c>
    </row>
    <row r="1451" spans="1:35" x14ac:dyDescent="0.3">
      <c r="A1451" t="s">
        <v>2973</v>
      </c>
      <c r="B1451" t="s">
        <v>2974</v>
      </c>
      <c r="C1451" t="s">
        <v>479</v>
      </c>
      <c r="D1451">
        <v>563</v>
      </c>
      <c r="E1451">
        <v>12807</v>
      </c>
      <c r="F1451">
        <v>16</v>
      </c>
      <c r="G1451">
        <v>60</v>
      </c>
      <c r="H1451">
        <v>30</v>
      </c>
      <c r="I1451">
        <v>0.81236823612087139</v>
      </c>
      <c r="J1451">
        <v>0.90703066566940915</v>
      </c>
      <c r="K1451" t="s">
        <v>86</v>
      </c>
      <c r="P1451">
        <v>0</v>
      </c>
      <c r="R1451">
        <v>0</v>
      </c>
      <c r="T1451">
        <v>0</v>
      </c>
      <c r="U1451" t="b">
        <v>0</v>
      </c>
      <c r="V1451">
        <v>4.4681872749099636</v>
      </c>
      <c r="Y1451">
        <v>0</v>
      </c>
      <c r="Z1451">
        <v>373</v>
      </c>
      <c r="AA1451">
        <v>7.9020334970908001E-3</v>
      </c>
      <c r="AB1451">
        <v>0.6046362038319143</v>
      </c>
      <c r="AC1451">
        <v>6.4373897707230999E-3</v>
      </c>
      <c r="AD1451">
        <v>3.3301987079892001E-2</v>
      </c>
      <c r="AE1451">
        <v>0</v>
      </c>
      <c r="AF1451" t="b">
        <v>0</v>
      </c>
    </row>
    <row r="1452" spans="1:35" x14ac:dyDescent="0.3">
      <c r="A1452" t="s">
        <v>2975</v>
      </c>
      <c r="B1452" t="s">
        <v>2832</v>
      </c>
      <c r="C1452" t="s">
        <v>479</v>
      </c>
      <c r="D1452">
        <v>50</v>
      </c>
      <c r="E1452">
        <v>1013</v>
      </c>
      <c r="F1452">
        <v>3</v>
      </c>
      <c r="G1452">
        <v>60</v>
      </c>
      <c r="H1452">
        <v>60</v>
      </c>
      <c r="I1452">
        <v>1</v>
      </c>
      <c r="J1452">
        <v>1</v>
      </c>
      <c r="K1452" t="s">
        <v>86</v>
      </c>
      <c r="P1452">
        <v>0</v>
      </c>
      <c r="R1452">
        <v>0</v>
      </c>
      <c r="T1452">
        <v>0</v>
      </c>
      <c r="U1452" t="b">
        <v>0</v>
      </c>
      <c r="V1452">
        <v>0</v>
      </c>
      <c r="Y1452">
        <v>0</v>
      </c>
      <c r="Z1452">
        <v>80</v>
      </c>
      <c r="AA1452">
        <v>9.6153846153846003E-3</v>
      </c>
      <c r="AB1452">
        <v>0.75</v>
      </c>
      <c r="AC1452">
        <v>0</v>
      </c>
      <c r="AD1452">
        <v>0</v>
      </c>
      <c r="AE1452">
        <v>0</v>
      </c>
      <c r="AF1452" t="b">
        <v>0</v>
      </c>
    </row>
    <row r="1453" spans="1:35" x14ac:dyDescent="0.3">
      <c r="A1453" t="s">
        <v>2976</v>
      </c>
      <c r="B1453" t="s">
        <v>2832</v>
      </c>
      <c r="C1453" t="s">
        <v>479</v>
      </c>
      <c r="D1453">
        <v>97</v>
      </c>
      <c r="E1453">
        <v>1438</v>
      </c>
      <c r="F1453">
        <v>6</v>
      </c>
      <c r="G1453">
        <v>60</v>
      </c>
      <c r="H1453">
        <v>60</v>
      </c>
      <c r="I1453">
        <v>1</v>
      </c>
      <c r="J1453">
        <v>1</v>
      </c>
      <c r="K1453" t="s">
        <v>86</v>
      </c>
      <c r="P1453">
        <v>0</v>
      </c>
      <c r="R1453">
        <v>0</v>
      </c>
      <c r="T1453">
        <v>0</v>
      </c>
      <c r="U1453" t="b">
        <v>0</v>
      </c>
      <c r="Y1453">
        <v>0</v>
      </c>
      <c r="Z1453">
        <v>94</v>
      </c>
      <c r="AA1453">
        <v>5.2154195011337799E-2</v>
      </c>
      <c r="AB1453">
        <v>4.8936170212765964</v>
      </c>
      <c r="AC1453">
        <v>0</v>
      </c>
      <c r="AD1453">
        <v>0.14374999999999999</v>
      </c>
      <c r="AE1453">
        <v>0</v>
      </c>
      <c r="AF1453" t="b">
        <v>0</v>
      </c>
    </row>
    <row r="1454" spans="1:35" x14ac:dyDescent="0.3">
      <c r="A1454" t="s">
        <v>2977</v>
      </c>
      <c r="B1454" t="s">
        <v>2832</v>
      </c>
      <c r="C1454" t="s">
        <v>479</v>
      </c>
      <c r="D1454">
        <v>52</v>
      </c>
      <c r="E1454">
        <v>590</v>
      </c>
      <c r="F1454">
        <v>6</v>
      </c>
      <c r="G1454">
        <v>120</v>
      </c>
      <c r="H1454">
        <v>60</v>
      </c>
      <c r="I1454">
        <v>1</v>
      </c>
      <c r="J1454">
        <v>1</v>
      </c>
      <c r="K1454" t="s">
        <v>86</v>
      </c>
      <c r="P1454">
        <v>0</v>
      </c>
      <c r="R1454">
        <v>0</v>
      </c>
      <c r="T1454">
        <v>0</v>
      </c>
      <c r="U1454" t="b">
        <v>0</v>
      </c>
      <c r="Y1454">
        <v>0</v>
      </c>
      <c r="Z1454">
        <v>38</v>
      </c>
      <c r="AA1454">
        <v>0</v>
      </c>
      <c r="AB1454">
        <v>0</v>
      </c>
      <c r="AE1454">
        <v>0</v>
      </c>
      <c r="AF1454" t="b">
        <v>0</v>
      </c>
    </row>
    <row r="1455" spans="1:35" x14ac:dyDescent="0.3">
      <c r="A1455" t="s">
        <v>2978</v>
      </c>
      <c r="B1455" t="s">
        <v>2832</v>
      </c>
      <c r="C1455" t="s">
        <v>479</v>
      </c>
      <c r="D1455">
        <v>68</v>
      </c>
      <c r="E1455">
        <v>1113</v>
      </c>
      <c r="F1455">
        <v>7</v>
      </c>
      <c r="G1455">
        <v>60</v>
      </c>
      <c r="H1455">
        <v>60</v>
      </c>
      <c r="I1455">
        <v>1</v>
      </c>
      <c r="J1455">
        <v>1</v>
      </c>
      <c r="K1455" t="s">
        <v>86</v>
      </c>
      <c r="P1455">
        <v>0</v>
      </c>
      <c r="R1455">
        <v>0</v>
      </c>
      <c r="T1455">
        <v>0</v>
      </c>
      <c r="U1455" t="b">
        <v>0</v>
      </c>
      <c r="V1455">
        <v>8.3333333333333339</v>
      </c>
      <c r="Y1455">
        <v>0</v>
      </c>
      <c r="Z1455">
        <v>66</v>
      </c>
      <c r="AA1455">
        <v>2.1701662823158101E-2</v>
      </c>
      <c r="AB1455">
        <v>1.9350649350649349</v>
      </c>
      <c r="AC1455">
        <v>0.1041666666666666</v>
      </c>
      <c r="AD1455">
        <v>1.9021739130434701E-2</v>
      </c>
      <c r="AE1455">
        <v>0</v>
      </c>
      <c r="AF1455" t="b">
        <v>0</v>
      </c>
    </row>
    <row r="1456" spans="1:35" x14ac:dyDescent="0.3">
      <c r="A1456" t="s">
        <v>2979</v>
      </c>
      <c r="B1456" t="s">
        <v>2832</v>
      </c>
      <c r="C1456" t="s">
        <v>479</v>
      </c>
      <c r="D1456">
        <v>1686</v>
      </c>
      <c r="E1456">
        <v>28730</v>
      </c>
      <c r="F1456">
        <v>44</v>
      </c>
      <c r="G1456">
        <v>120</v>
      </c>
      <c r="H1456">
        <v>60</v>
      </c>
      <c r="I1456">
        <v>1</v>
      </c>
      <c r="J1456">
        <v>1</v>
      </c>
      <c r="K1456" t="s">
        <v>86</v>
      </c>
      <c r="P1456">
        <v>0</v>
      </c>
      <c r="R1456">
        <v>0</v>
      </c>
      <c r="T1456">
        <v>0</v>
      </c>
      <c r="U1456" t="b">
        <v>0</v>
      </c>
      <c r="V1456">
        <v>30.110670194003529</v>
      </c>
      <c r="Y1456">
        <v>0</v>
      </c>
      <c r="Z1456">
        <v>506</v>
      </c>
      <c r="AA1456">
        <v>5.3341686170977898E-2</v>
      </c>
      <c r="AB1456">
        <v>8.3379591423069677</v>
      </c>
      <c r="AC1456">
        <v>6.4528998783405594E-2</v>
      </c>
      <c r="AD1456">
        <v>5.6535080147869503E-2</v>
      </c>
      <c r="AE1456">
        <v>0</v>
      </c>
      <c r="AF1456" t="b">
        <v>0</v>
      </c>
    </row>
    <row r="1457" spans="1:32" x14ac:dyDescent="0.3">
      <c r="A1457" t="s">
        <v>2980</v>
      </c>
      <c r="B1457" t="s">
        <v>1286</v>
      </c>
      <c r="C1457" t="s">
        <v>479</v>
      </c>
      <c r="D1457">
        <v>338</v>
      </c>
      <c r="E1457">
        <v>8955</v>
      </c>
      <c r="F1457">
        <v>11</v>
      </c>
      <c r="G1457">
        <v>60</v>
      </c>
      <c r="H1457">
        <v>60</v>
      </c>
      <c r="I1457">
        <v>1</v>
      </c>
      <c r="J1457">
        <v>1</v>
      </c>
      <c r="K1457" t="s">
        <v>86</v>
      </c>
      <c r="P1457">
        <v>0</v>
      </c>
      <c r="R1457">
        <v>0</v>
      </c>
      <c r="T1457">
        <v>0</v>
      </c>
      <c r="U1457" t="b">
        <v>0</v>
      </c>
      <c r="V1457">
        <v>6.0526315789473681</v>
      </c>
      <c r="Y1457">
        <v>0</v>
      </c>
      <c r="Z1457">
        <v>526</v>
      </c>
      <c r="AA1457">
        <v>-1.53008914659082E-2</v>
      </c>
      <c r="AB1457">
        <v>-1.4348180336773491</v>
      </c>
      <c r="AC1457">
        <v>-7.1461760059474003E-3</v>
      </c>
      <c r="AD1457">
        <v>-1.8723304663273001E-3</v>
      </c>
      <c r="AE1457">
        <v>0</v>
      </c>
      <c r="AF1457" t="b">
        <v>0</v>
      </c>
    </row>
    <row r="1458" spans="1:32" x14ac:dyDescent="0.3">
      <c r="A1458" t="s">
        <v>2981</v>
      </c>
      <c r="B1458" t="s">
        <v>1286</v>
      </c>
      <c r="C1458" t="s">
        <v>479</v>
      </c>
      <c r="D1458">
        <v>91</v>
      </c>
      <c r="E1458">
        <v>1144</v>
      </c>
      <c r="F1458">
        <v>25</v>
      </c>
      <c r="G1458">
        <v>300</v>
      </c>
      <c r="H1458">
        <v>60</v>
      </c>
      <c r="I1458">
        <v>1</v>
      </c>
      <c r="J1458">
        <v>1</v>
      </c>
      <c r="K1458" t="s">
        <v>86</v>
      </c>
      <c r="P1458">
        <v>0</v>
      </c>
      <c r="R1458">
        <v>0</v>
      </c>
      <c r="T1458">
        <v>0</v>
      </c>
      <c r="U1458" t="b">
        <v>0</v>
      </c>
      <c r="Y1458">
        <v>0</v>
      </c>
      <c r="Z1458">
        <v>7</v>
      </c>
      <c r="AA1458">
        <v>5.2631578947368397E-2</v>
      </c>
      <c r="AB1458">
        <v>25.714285714285719</v>
      </c>
      <c r="AE1458">
        <v>0</v>
      </c>
      <c r="AF1458" t="b">
        <v>0</v>
      </c>
    </row>
    <row r="1459" spans="1:32" x14ac:dyDescent="0.3">
      <c r="A1459" t="s">
        <v>2982</v>
      </c>
      <c r="B1459" t="s">
        <v>1286</v>
      </c>
      <c r="C1459" t="s">
        <v>479</v>
      </c>
      <c r="D1459">
        <v>1285</v>
      </c>
      <c r="E1459">
        <v>24360</v>
      </c>
      <c r="F1459">
        <v>43</v>
      </c>
      <c r="G1459">
        <v>120</v>
      </c>
      <c r="H1459">
        <v>60</v>
      </c>
      <c r="I1459">
        <v>1</v>
      </c>
      <c r="J1459">
        <v>1</v>
      </c>
      <c r="K1459" t="s">
        <v>86</v>
      </c>
      <c r="P1459">
        <v>0</v>
      </c>
      <c r="R1459">
        <v>0</v>
      </c>
      <c r="T1459">
        <v>0</v>
      </c>
      <c r="U1459" t="b">
        <v>0</v>
      </c>
      <c r="V1459">
        <v>28.11123511904762</v>
      </c>
      <c r="Y1459">
        <v>0</v>
      </c>
      <c r="Z1459">
        <v>328</v>
      </c>
      <c r="AA1459">
        <v>5.0183758360376099E-2</v>
      </c>
      <c r="AB1459">
        <v>8.7458968876651806</v>
      </c>
      <c r="AC1459">
        <v>3.62074707931953E-2</v>
      </c>
      <c r="AD1459">
        <v>9.4127035826026106E-2</v>
      </c>
      <c r="AE1459">
        <v>0</v>
      </c>
      <c r="AF1459" t="b">
        <v>0</v>
      </c>
    </row>
    <row r="1460" spans="1:32" x14ac:dyDescent="0.3">
      <c r="A1460" t="s">
        <v>2983</v>
      </c>
      <c r="B1460" t="s">
        <v>1286</v>
      </c>
      <c r="C1460" t="s">
        <v>479</v>
      </c>
      <c r="D1460">
        <v>108</v>
      </c>
      <c r="E1460">
        <v>820</v>
      </c>
      <c r="F1460">
        <v>25</v>
      </c>
      <c r="G1460">
        <v>420</v>
      </c>
      <c r="H1460">
        <v>60</v>
      </c>
      <c r="I1460">
        <v>1</v>
      </c>
      <c r="J1460">
        <v>1</v>
      </c>
      <c r="K1460" t="s">
        <v>86</v>
      </c>
      <c r="P1460">
        <v>0</v>
      </c>
      <c r="R1460">
        <v>0</v>
      </c>
      <c r="T1460">
        <v>0</v>
      </c>
      <c r="U1460" t="b">
        <v>0</v>
      </c>
      <c r="V1460">
        <v>0</v>
      </c>
      <c r="Y1460">
        <v>0</v>
      </c>
      <c r="Z1460">
        <v>5</v>
      </c>
      <c r="AA1460">
        <v>0</v>
      </c>
      <c r="AB1460">
        <v>0</v>
      </c>
      <c r="AC1460">
        <v>0</v>
      </c>
      <c r="AD1460">
        <v>0</v>
      </c>
      <c r="AE1460">
        <v>0</v>
      </c>
      <c r="AF1460" t="b">
        <v>0</v>
      </c>
    </row>
    <row r="1461" spans="1:32" x14ac:dyDescent="0.3">
      <c r="A1461" t="s">
        <v>2984</v>
      </c>
      <c r="B1461" t="s">
        <v>1286</v>
      </c>
      <c r="C1461" t="s">
        <v>479</v>
      </c>
      <c r="D1461">
        <v>2133</v>
      </c>
      <c r="E1461">
        <v>46925</v>
      </c>
      <c r="F1461">
        <v>11</v>
      </c>
      <c r="G1461">
        <v>60</v>
      </c>
      <c r="H1461">
        <v>60</v>
      </c>
      <c r="I1461">
        <v>1</v>
      </c>
      <c r="J1461">
        <v>1</v>
      </c>
      <c r="K1461" t="s">
        <v>86</v>
      </c>
      <c r="P1461">
        <v>0</v>
      </c>
      <c r="R1461">
        <v>0</v>
      </c>
      <c r="T1461">
        <v>0</v>
      </c>
      <c r="U1461" t="b">
        <v>0</v>
      </c>
      <c r="V1461">
        <v>8.8532368611780381</v>
      </c>
      <c r="Y1461">
        <v>0</v>
      </c>
      <c r="Z1461">
        <v>936</v>
      </c>
      <c r="AA1461">
        <v>4.2625671661585297E-2</v>
      </c>
      <c r="AB1461">
        <v>3.605820462308829</v>
      </c>
      <c r="AC1461">
        <v>2.0841154035818502E-2</v>
      </c>
      <c r="AD1461">
        <v>6.9046253864641305E-2</v>
      </c>
      <c r="AE1461">
        <v>0</v>
      </c>
      <c r="AF1461" t="b">
        <v>0</v>
      </c>
    </row>
    <row r="1462" spans="1:32" x14ac:dyDescent="0.3">
      <c r="A1462" t="s">
        <v>2985</v>
      </c>
      <c r="B1462" t="s">
        <v>1286</v>
      </c>
      <c r="C1462" t="s">
        <v>479</v>
      </c>
      <c r="D1462">
        <v>1168</v>
      </c>
      <c r="E1462">
        <v>30253</v>
      </c>
      <c r="F1462">
        <v>201</v>
      </c>
      <c r="G1462">
        <v>70</v>
      </c>
      <c r="H1462">
        <v>1</v>
      </c>
      <c r="I1462">
        <v>7.4703335206425803E-2</v>
      </c>
      <c r="J1462">
        <v>0.36873428598707869</v>
      </c>
      <c r="K1462" t="s">
        <v>86</v>
      </c>
      <c r="P1462">
        <v>0</v>
      </c>
      <c r="R1462">
        <v>0</v>
      </c>
      <c r="T1462">
        <v>0</v>
      </c>
      <c r="U1462" t="b">
        <v>0</v>
      </c>
      <c r="V1462">
        <v>6.2281657745065244</v>
      </c>
      <c r="Y1462">
        <v>0</v>
      </c>
      <c r="Z1462">
        <v>930</v>
      </c>
      <c r="AA1462">
        <v>2.5485313596116999E-3</v>
      </c>
      <c r="AB1462">
        <v>0.20824120920895109</v>
      </c>
      <c r="AC1462">
        <v>-2.8502956462265899E-2</v>
      </c>
      <c r="AD1462">
        <v>2.9896404117690501E-2</v>
      </c>
      <c r="AE1462">
        <v>0</v>
      </c>
      <c r="AF1462" t="b">
        <v>0</v>
      </c>
    </row>
    <row r="1463" spans="1:32" x14ac:dyDescent="0.3">
      <c r="A1463" t="s">
        <v>2986</v>
      </c>
      <c r="B1463" t="s">
        <v>1286</v>
      </c>
      <c r="C1463" t="s">
        <v>479</v>
      </c>
      <c r="D1463">
        <v>648</v>
      </c>
      <c r="E1463">
        <v>13270</v>
      </c>
      <c r="F1463">
        <v>13</v>
      </c>
      <c r="G1463">
        <v>60</v>
      </c>
      <c r="H1463">
        <v>60</v>
      </c>
      <c r="I1463">
        <v>1</v>
      </c>
      <c r="J1463">
        <v>1</v>
      </c>
      <c r="K1463" t="s">
        <v>86</v>
      </c>
      <c r="P1463">
        <v>0</v>
      </c>
      <c r="R1463">
        <v>0</v>
      </c>
      <c r="T1463">
        <v>0</v>
      </c>
      <c r="U1463" t="b">
        <v>0</v>
      </c>
      <c r="V1463">
        <v>3.076586433260394</v>
      </c>
      <c r="Y1463">
        <v>0</v>
      </c>
      <c r="Z1463">
        <v>524</v>
      </c>
      <c r="AA1463">
        <v>3.2766640664937002E-3</v>
      </c>
      <c r="AB1463">
        <v>0.29119163279468618</v>
      </c>
      <c r="AC1463">
        <v>5.0916496945010003E-3</v>
      </c>
      <c r="AD1463">
        <v>-1.3757482139408999E-3</v>
      </c>
      <c r="AE1463">
        <v>0</v>
      </c>
      <c r="AF1463" t="b">
        <v>0</v>
      </c>
    </row>
    <row r="1464" spans="1:32" x14ac:dyDescent="0.3">
      <c r="A1464" t="s">
        <v>2987</v>
      </c>
      <c r="B1464" t="s">
        <v>1286</v>
      </c>
      <c r="C1464" t="s">
        <v>479</v>
      </c>
      <c r="D1464">
        <v>372</v>
      </c>
      <c r="E1464">
        <v>8193</v>
      </c>
      <c r="F1464">
        <v>6</v>
      </c>
      <c r="G1464">
        <v>60</v>
      </c>
      <c r="H1464">
        <v>60</v>
      </c>
      <c r="I1464">
        <v>1</v>
      </c>
      <c r="J1464">
        <v>1</v>
      </c>
      <c r="K1464" t="s">
        <v>86</v>
      </c>
      <c r="P1464">
        <v>0</v>
      </c>
      <c r="R1464">
        <v>0</v>
      </c>
      <c r="T1464">
        <v>0</v>
      </c>
      <c r="U1464" t="b">
        <v>0</v>
      </c>
      <c r="V1464">
        <v>9.6139896373056981</v>
      </c>
      <c r="Y1464">
        <v>0</v>
      </c>
      <c r="Z1464">
        <v>200</v>
      </c>
      <c r="AA1464">
        <v>4.1942922509906298E-2</v>
      </c>
      <c r="AB1464">
        <v>3.4953434065934061</v>
      </c>
      <c r="AC1464">
        <v>3.1205769058496799E-2</v>
      </c>
      <c r="AD1464">
        <v>5.5861710423706697E-2</v>
      </c>
      <c r="AE1464">
        <v>0</v>
      </c>
      <c r="AF1464" t="b">
        <v>0</v>
      </c>
    </row>
    <row r="1465" spans="1:32" x14ac:dyDescent="0.3">
      <c r="A1465" t="s">
        <v>2988</v>
      </c>
      <c r="B1465" t="s">
        <v>1286</v>
      </c>
      <c r="C1465" t="s">
        <v>479</v>
      </c>
      <c r="D1465">
        <v>855</v>
      </c>
      <c r="E1465">
        <v>11109</v>
      </c>
      <c r="F1465">
        <v>273</v>
      </c>
      <c r="G1465">
        <v>86</v>
      </c>
      <c r="H1465">
        <v>1</v>
      </c>
      <c r="I1465">
        <v>0.20622918354487349</v>
      </c>
      <c r="J1465">
        <v>0.47651287194918079</v>
      </c>
      <c r="K1465" t="s">
        <v>86</v>
      </c>
      <c r="P1465">
        <v>0</v>
      </c>
      <c r="R1465">
        <v>0</v>
      </c>
      <c r="T1465">
        <v>0</v>
      </c>
      <c r="U1465" t="b">
        <v>0</v>
      </c>
      <c r="V1465">
        <v>12.11328138528139</v>
      </c>
      <c r="Y1465">
        <v>0</v>
      </c>
      <c r="Z1465">
        <v>327</v>
      </c>
      <c r="AA1465">
        <v>6.0067686775454501E-2</v>
      </c>
      <c r="AB1465">
        <v>6.0582645518020604</v>
      </c>
      <c r="AC1465">
        <v>2.5962439333759201E-2</v>
      </c>
      <c r="AD1465">
        <v>0.1021121612053985</v>
      </c>
      <c r="AE1465">
        <v>0</v>
      </c>
      <c r="AF1465" t="b">
        <v>0</v>
      </c>
    </row>
    <row r="1466" spans="1:32" x14ac:dyDescent="0.3">
      <c r="A1466" t="s">
        <v>2989</v>
      </c>
      <c r="B1466" t="s">
        <v>1286</v>
      </c>
      <c r="C1466" t="s">
        <v>479</v>
      </c>
      <c r="D1466">
        <v>280</v>
      </c>
      <c r="E1466">
        <v>6972</v>
      </c>
      <c r="F1466">
        <v>9</v>
      </c>
      <c r="G1466">
        <v>60</v>
      </c>
      <c r="H1466">
        <v>60</v>
      </c>
      <c r="I1466">
        <v>1</v>
      </c>
      <c r="J1466">
        <v>1</v>
      </c>
      <c r="K1466" t="s">
        <v>86</v>
      </c>
      <c r="P1466">
        <v>0</v>
      </c>
      <c r="R1466">
        <v>0</v>
      </c>
      <c r="T1466">
        <v>0</v>
      </c>
      <c r="U1466" t="b">
        <v>0</v>
      </c>
      <c r="V1466">
        <v>16.032258064516132</v>
      </c>
      <c r="Y1466">
        <v>0</v>
      </c>
      <c r="Z1466">
        <v>272</v>
      </c>
      <c r="AA1466">
        <v>6.8057904980173806E-2</v>
      </c>
      <c r="AB1466">
        <v>5.2404586834733893</v>
      </c>
      <c r="AC1466">
        <v>3.1508529697038802E-2</v>
      </c>
      <c r="AD1466">
        <v>0.12983596409780249</v>
      </c>
      <c r="AE1466">
        <v>0</v>
      </c>
      <c r="AF1466" t="b">
        <v>0</v>
      </c>
    </row>
    <row r="1467" spans="1:32" x14ac:dyDescent="0.3">
      <c r="A1467" t="s">
        <v>2990</v>
      </c>
      <c r="B1467" t="s">
        <v>1286</v>
      </c>
      <c r="C1467" t="s">
        <v>479</v>
      </c>
      <c r="D1467">
        <v>374</v>
      </c>
      <c r="E1467">
        <v>6475</v>
      </c>
      <c r="F1467">
        <v>18</v>
      </c>
      <c r="G1467">
        <v>60</v>
      </c>
      <c r="H1467">
        <v>60</v>
      </c>
      <c r="I1467">
        <v>1</v>
      </c>
      <c r="J1467">
        <v>1</v>
      </c>
      <c r="K1467" t="s">
        <v>86</v>
      </c>
      <c r="P1467">
        <v>0</v>
      </c>
      <c r="R1467">
        <v>0</v>
      </c>
      <c r="T1467">
        <v>0</v>
      </c>
      <c r="U1467" t="b">
        <v>0</v>
      </c>
      <c r="V1467">
        <v>2.307692307692307</v>
      </c>
      <c r="Y1467">
        <v>0</v>
      </c>
      <c r="Z1467">
        <v>205</v>
      </c>
      <c r="AA1467">
        <v>-1.5743232949063E-3</v>
      </c>
      <c r="AB1467">
        <v>-0.15121951219512189</v>
      </c>
      <c r="AC1467">
        <v>0</v>
      </c>
      <c r="AD1467">
        <v>1.1862396204033001E-3</v>
      </c>
      <c r="AE1467">
        <v>0</v>
      </c>
      <c r="AF1467" t="b">
        <v>0</v>
      </c>
    </row>
    <row r="1468" spans="1:32" x14ac:dyDescent="0.3">
      <c r="A1468" t="s">
        <v>2991</v>
      </c>
      <c r="B1468" t="s">
        <v>1286</v>
      </c>
      <c r="C1468" t="s">
        <v>479</v>
      </c>
      <c r="D1468">
        <v>127</v>
      </c>
      <c r="E1468">
        <v>2140</v>
      </c>
      <c r="F1468">
        <v>6</v>
      </c>
      <c r="G1468">
        <v>60</v>
      </c>
      <c r="H1468">
        <v>60</v>
      </c>
      <c r="I1468">
        <v>1</v>
      </c>
      <c r="J1468">
        <v>1</v>
      </c>
      <c r="K1468" t="s">
        <v>86</v>
      </c>
      <c r="P1468">
        <v>0</v>
      </c>
      <c r="R1468">
        <v>0</v>
      </c>
      <c r="T1468">
        <v>0</v>
      </c>
      <c r="U1468" t="b">
        <v>0</v>
      </c>
      <c r="Y1468">
        <v>0</v>
      </c>
      <c r="Z1468">
        <v>88</v>
      </c>
      <c r="AA1468">
        <v>5.75490859851049E-2</v>
      </c>
      <c r="AB1468">
        <v>4.8295454545454541</v>
      </c>
      <c r="AE1468">
        <v>0</v>
      </c>
      <c r="AF1468" t="b">
        <v>0</v>
      </c>
    </row>
    <row r="1469" spans="1:32" x14ac:dyDescent="0.3">
      <c r="A1469" t="s">
        <v>2992</v>
      </c>
      <c r="B1469" t="s">
        <v>1286</v>
      </c>
      <c r="C1469" t="s">
        <v>479</v>
      </c>
      <c r="D1469">
        <v>312</v>
      </c>
      <c r="E1469">
        <v>6855</v>
      </c>
      <c r="F1469">
        <v>20</v>
      </c>
      <c r="G1469">
        <v>60</v>
      </c>
      <c r="H1469">
        <v>60</v>
      </c>
      <c r="I1469">
        <v>1</v>
      </c>
      <c r="J1469">
        <v>1</v>
      </c>
      <c r="K1469" t="s">
        <v>86</v>
      </c>
      <c r="P1469">
        <v>0</v>
      </c>
      <c r="R1469">
        <v>0</v>
      </c>
      <c r="T1469">
        <v>0</v>
      </c>
      <c r="U1469" t="b">
        <v>0</v>
      </c>
      <c r="V1469">
        <v>3.6493506493506489</v>
      </c>
      <c r="Y1469">
        <v>0</v>
      </c>
      <c r="Z1469">
        <v>287</v>
      </c>
      <c r="AA1469">
        <v>5.5721877166937999E-3</v>
      </c>
      <c r="AB1469">
        <v>0.55865272938443677</v>
      </c>
      <c r="AC1469">
        <v>3.6115220607431E-3</v>
      </c>
      <c r="AD1469">
        <v>1.3609952392791599E-2</v>
      </c>
      <c r="AE1469">
        <v>0</v>
      </c>
      <c r="AF1469" t="b">
        <v>0</v>
      </c>
    </row>
    <row r="1470" spans="1:32" x14ac:dyDescent="0.3">
      <c r="A1470" t="s">
        <v>2993</v>
      </c>
      <c r="B1470" t="s">
        <v>1286</v>
      </c>
      <c r="C1470" t="s">
        <v>479</v>
      </c>
      <c r="D1470">
        <v>208</v>
      </c>
      <c r="E1470">
        <v>4315</v>
      </c>
      <c r="F1470">
        <v>17</v>
      </c>
      <c r="G1470">
        <v>60</v>
      </c>
      <c r="H1470">
        <v>30</v>
      </c>
      <c r="I1470">
        <v>0.87439165701042876</v>
      </c>
      <c r="J1470">
        <v>0.93141546800083397</v>
      </c>
      <c r="K1470" t="s">
        <v>86</v>
      </c>
      <c r="P1470">
        <v>0</v>
      </c>
      <c r="R1470">
        <v>0</v>
      </c>
      <c r="T1470">
        <v>0</v>
      </c>
      <c r="U1470" t="b">
        <v>0</v>
      </c>
      <c r="V1470">
        <v>8.4260204081632661</v>
      </c>
      <c r="Y1470">
        <v>0</v>
      </c>
      <c r="Z1470">
        <v>149</v>
      </c>
      <c r="AA1470">
        <v>1.4642277070390701E-2</v>
      </c>
      <c r="AB1470">
        <v>1.003600147056523</v>
      </c>
      <c r="AC1470">
        <v>3.5800273549845399E-2</v>
      </c>
      <c r="AD1470">
        <v>-2.9777256775083302E-2</v>
      </c>
      <c r="AE1470">
        <v>0</v>
      </c>
      <c r="AF1470" t="b">
        <v>0</v>
      </c>
    </row>
    <row r="1471" spans="1:32" x14ac:dyDescent="0.3">
      <c r="A1471" t="s">
        <v>2994</v>
      </c>
      <c r="B1471" t="s">
        <v>1286</v>
      </c>
      <c r="C1471" t="s">
        <v>479</v>
      </c>
      <c r="D1471">
        <v>65</v>
      </c>
      <c r="E1471">
        <v>1117</v>
      </c>
      <c r="F1471">
        <v>11</v>
      </c>
      <c r="G1471">
        <v>120</v>
      </c>
      <c r="H1471">
        <v>60</v>
      </c>
      <c r="I1471">
        <v>1</v>
      </c>
      <c r="J1471">
        <v>1</v>
      </c>
      <c r="K1471" t="s">
        <v>86</v>
      </c>
      <c r="P1471">
        <v>0</v>
      </c>
      <c r="R1471">
        <v>0</v>
      </c>
      <c r="T1471">
        <v>0</v>
      </c>
      <c r="U1471" t="b">
        <v>0</v>
      </c>
      <c r="V1471">
        <v>0</v>
      </c>
      <c r="Y1471">
        <v>0</v>
      </c>
      <c r="Z1471">
        <v>19</v>
      </c>
      <c r="AA1471">
        <v>-2.375296912114E-3</v>
      </c>
      <c r="AB1471">
        <v>-0.22556390977443641</v>
      </c>
      <c r="AC1471">
        <v>-2.375296912114E-3</v>
      </c>
      <c r="AD1471">
        <v>-2.375296912114E-3</v>
      </c>
      <c r="AE1471">
        <v>0</v>
      </c>
      <c r="AF1471" t="b">
        <v>0</v>
      </c>
    </row>
    <row r="1472" spans="1:32" x14ac:dyDescent="0.3">
      <c r="A1472" t="s">
        <v>2995</v>
      </c>
      <c r="B1472" t="s">
        <v>1286</v>
      </c>
      <c r="C1472" t="s">
        <v>479</v>
      </c>
      <c r="D1472">
        <v>190</v>
      </c>
      <c r="E1472">
        <v>4765</v>
      </c>
      <c r="F1472">
        <v>10</v>
      </c>
      <c r="G1472">
        <v>60</v>
      </c>
      <c r="H1472">
        <v>60</v>
      </c>
      <c r="I1472">
        <v>1</v>
      </c>
      <c r="J1472">
        <v>1</v>
      </c>
      <c r="K1472" t="s">
        <v>86</v>
      </c>
      <c r="P1472">
        <v>0</v>
      </c>
      <c r="R1472">
        <v>0</v>
      </c>
      <c r="T1472">
        <v>0</v>
      </c>
      <c r="U1472" t="b">
        <v>0</v>
      </c>
      <c r="V1472">
        <v>0</v>
      </c>
      <c r="Y1472">
        <v>0</v>
      </c>
      <c r="Z1472">
        <v>155</v>
      </c>
      <c r="AA1472">
        <v>0</v>
      </c>
      <c r="AB1472">
        <v>0</v>
      </c>
      <c r="AC1472">
        <v>0</v>
      </c>
      <c r="AD1472">
        <v>0</v>
      </c>
      <c r="AE1472">
        <v>0</v>
      </c>
      <c r="AF1472" t="b">
        <v>0</v>
      </c>
    </row>
    <row r="1473" spans="1:35" x14ac:dyDescent="0.3">
      <c r="A1473" t="s">
        <v>2996</v>
      </c>
      <c r="B1473" t="s">
        <v>1286</v>
      </c>
      <c r="C1473" t="s">
        <v>479</v>
      </c>
      <c r="D1473">
        <v>538</v>
      </c>
      <c r="E1473">
        <v>5080</v>
      </c>
      <c r="F1473">
        <v>5</v>
      </c>
      <c r="G1473">
        <v>60</v>
      </c>
      <c r="H1473">
        <v>60</v>
      </c>
      <c r="I1473">
        <v>1</v>
      </c>
      <c r="J1473">
        <v>1</v>
      </c>
      <c r="K1473" t="s">
        <v>86</v>
      </c>
      <c r="P1473">
        <v>0</v>
      </c>
      <c r="R1473">
        <v>0</v>
      </c>
      <c r="T1473">
        <v>0</v>
      </c>
      <c r="U1473" t="b">
        <v>0</v>
      </c>
      <c r="V1473">
        <v>0.95238095238095244</v>
      </c>
      <c r="Y1473">
        <v>0</v>
      </c>
      <c r="Z1473">
        <v>126</v>
      </c>
      <c r="AA1473">
        <v>0</v>
      </c>
      <c r="AB1473">
        <v>0</v>
      </c>
      <c r="AC1473">
        <v>0</v>
      </c>
      <c r="AD1473">
        <v>0</v>
      </c>
      <c r="AE1473">
        <v>0</v>
      </c>
      <c r="AF1473" t="b">
        <v>0</v>
      </c>
    </row>
    <row r="1474" spans="1:35" x14ac:dyDescent="0.3">
      <c r="A1474" t="s">
        <v>2997</v>
      </c>
      <c r="B1474" t="s">
        <v>1286</v>
      </c>
      <c r="C1474" t="s">
        <v>479</v>
      </c>
      <c r="D1474">
        <v>77</v>
      </c>
      <c r="E1474">
        <v>1780</v>
      </c>
      <c r="F1474">
        <v>5</v>
      </c>
      <c r="G1474">
        <v>60</v>
      </c>
      <c r="H1474">
        <v>60</v>
      </c>
      <c r="I1474">
        <v>1</v>
      </c>
      <c r="J1474">
        <v>1</v>
      </c>
      <c r="K1474" t="s">
        <v>86</v>
      </c>
      <c r="P1474">
        <v>0</v>
      </c>
      <c r="R1474">
        <v>0</v>
      </c>
      <c r="T1474">
        <v>0</v>
      </c>
      <c r="U1474" t="b">
        <v>0</v>
      </c>
      <c r="V1474">
        <v>4.6296296296296298</v>
      </c>
      <c r="Y1474">
        <v>0</v>
      </c>
      <c r="Z1474">
        <v>99</v>
      </c>
      <c r="AA1474">
        <v>0.103463731712664</v>
      </c>
      <c r="AB1474">
        <v>8.5644977917705205</v>
      </c>
      <c r="AC1474">
        <v>0.23922413793103459</v>
      </c>
      <c r="AD1474">
        <v>0.22</v>
      </c>
      <c r="AE1474">
        <v>0</v>
      </c>
      <c r="AF1474" t="b">
        <v>0</v>
      </c>
    </row>
    <row r="1475" spans="1:35" x14ac:dyDescent="0.3">
      <c r="A1475" t="s">
        <v>2998</v>
      </c>
      <c r="B1475" t="s">
        <v>2800</v>
      </c>
      <c r="C1475" t="s">
        <v>479</v>
      </c>
      <c r="D1475">
        <v>190</v>
      </c>
      <c r="E1475">
        <v>2238</v>
      </c>
      <c r="F1475">
        <v>11</v>
      </c>
      <c r="G1475">
        <v>120</v>
      </c>
      <c r="H1475">
        <v>60</v>
      </c>
      <c r="I1475">
        <v>1</v>
      </c>
      <c r="J1475">
        <v>1</v>
      </c>
      <c r="K1475" t="s">
        <v>86</v>
      </c>
      <c r="P1475">
        <v>0</v>
      </c>
      <c r="R1475">
        <v>0</v>
      </c>
      <c r="T1475">
        <v>0</v>
      </c>
      <c r="U1475" t="b">
        <v>0</v>
      </c>
      <c r="V1475">
        <v>0</v>
      </c>
      <c r="Y1475">
        <v>0</v>
      </c>
      <c r="Z1475">
        <v>46</v>
      </c>
      <c r="AA1475">
        <v>1.8973214285714201E-2</v>
      </c>
      <c r="AB1475">
        <v>1.847826086956522</v>
      </c>
      <c r="AC1475">
        <v>0</v>
      </c>
      <c r="AD1475">
        <v>0</v>
      </c>
      <c r="AE1475">
        <v>0</v>
      </c>
      <c r="AF1475" t="b">
        <v>0</v>
      </c>
    </row>
    <row r="1476" spans="1:35" x14ac:dyDescent="0.3">
      <c r="A1476" t="s">
        <v>2999</v>
      </c>
      <c r="B1476" t="s">
        <v>3000</v>
      </c>
      <c r="C1476" t="s">
        <v>479</v>
      </c>
      <c r="D1476">
        <v>52</v>
      </c>
      <c r="E1476">
        <v>954</v>
      </c>
      <c r="F1476">
        <v>8</v>
      </c>
      <c r="G1476">
        <v>60</v>
      </c>
      <c r="H1476">
        <v>60</v>
      </c>
      <c r="I1476">
        <v>1</v>
      </c>
      <c r="J1476">
        <v>1</v>
      </c>
      <c r="K1476" t="s">
        <v>86</v>
      </c>
      <c r="P1476">
        <v>0</v>
      </c>
      <c r="R1476">
        <v>0</v>
      </c>
      <c r="T1476">
        <v>0</v>
      </c>
      <c r="U1476" t="b">
        <v>0</v>
      </c>
      <c r="V1476">
        <v>0.33333333333333331</v>
      </c>
      <c r="Y1476">
        <v>0</v>
      </c>
      <c r="Z1476">
        <v>53</v>
      </c>
      <c r="AA1476">
        <v>-2.6308866087869999E-4</v>
      </c>
      <c r="AB1476">
        <v>-2.0215633423180501E-2</v>
      </c>
      <c r="AC1476">
        <v>-1.8975332068311001E-3</v>
      </c>
      <c r="AD1476">
        <v>2.1978021978020998E-3</v>
      </c>
      <c r="AE1476">
        <v>0</v>
      </c>
      <c r="AF1476" t="b">
        <v>0</v>
      </c>
    </row>
    <row r="1477" spans="1:35" x14ac:dyDescent="0.3">
      <c r="A1477" t="s">
        <v>3001</v>
      </c>
      <c r="B1477" t="s">
        <v>3002</v>
      </c>
      <c r="C1477" t="s">
        <v>479</v>
      </c>
      <c r="D1477">
        <v>1512</v>
      </c>
      <c r="E1477">
        <v>30013</v>
      </c>
      <c r="F1477">
        <v>16</v>
      </c>
      <c r="G1477">
        <v>60</v>
      </c>
      <c r="H1477">
        <v>60</v>
      </c>
      <c r="I1477">
        <v>1</v>
      </c>
      <c r="J1477">
        <v>1</v>
      </c>
      <c r="K1477" t="s">
        <v>86</v>
      </c>
      <c r="P1477">
        <v>0</v>
      </c>
      <c r="R1477">
        <v>0</v>
      </c>
      <c r="T1477">
        <v>1</v>
      </c>
      <c r="U1477" t="b">
        <v>1</v>
      </c>
      <c r="V1477">
        <v>9.887600764564116</v>
      </c>
      <c r="W1477">
        <v>1.333186963309914</v>
      </c>
      <c r="X1477" t="b">
        <v>1</v>
      </c>
      <c r="Y1477">
        <v>0</v>
      </c>
      <c r="Z1477">
        <v>934</v>
      </c>
      <c r="AA1477">
        <v>5.7205532771380303E-2</v>
      </c>
      <c r="AB1477">
        <v>5.3653614292532099</v>
      </c>
      <c r="AC1477">
        <v>3.8905240571084E-2</v>
      </c>
      <c r="AD1477">
        <v>8.2818720853768193E-2</v>
      </c>
      <c r="AE1477">
        <v>1</v>
      </c>
      <c r="AF1477" t="b">
        <v>1</v>
      </c>
      <c r="AG1477">
        <v>9.9627231660645993E-3</v>
      </c>
      <c r="AH1477">
        <v>1.0032828282828281</v>
      </c>
      <c r="AI1477" t="b">
        <v>1</v>
      </c>
    </row>
    <row r="1478" spans="1:35" x14ac:dyDescent="0.3">
      <c r="A1478" t="s">
        <v>3003</v>
      </c>
      <c r="B1478" t="s">
        <v>3004</v>
      </c>
      <c r="C1478" t="s">
        <v>479</v>
      </c>
      <c r="D1478">
        <v>419</v>
      </c>
      <c r="E1478">
        <v>6953</v>
      </c>
      <c r="F1478">
        <v>20</v>
      </c>
      <c r="G1478">
        <v>60</v>
      </c>
      <c r="H1478">
        <v>30</v>
      </c>
      <c r="I1478">
        <v>0.834028476916439</v>
      </c>
      <c r="J1478">
        <v>0.92173087357569183</v>
      </c>
      <c r="K1478" t="s">
        <v>86</v>
      </c>
      <c r="P1478">
        <v>0</v>
      </c>
      <c r="R1478">
        <v>0</v>
      </c>
      <c r="T1478">
        <v>0</v>
      </c>
      <c r="U1478" t="b">
        <v>0</v>
      </c>
      <c r="V1478">
        <v>7.6909620991253638</v>
      </c>
      <c r="Y1478">
        <v>0</v>
      </c>
      <c r="Z1478">
        <v>197</v>
      </c>
      <c r="AA1478">
        <v>5.2386613349480499E-2</v>
      </c>
      <c r="AB1478">
        <v>4.1810347013392697</v>
      </c>
      <c r="AC1478">
        <v>5.41893316329186E-2</v>
      </c>
      <c r="AD1478">
        <v>3.69227804188616E-2</v>
      </c>
      <c r="AE1478">
        <v>0</v>
      </c>
      <c r="AF1478" t="b">
        <v>0</v>
      </c>
    </row>
    <row r="1479" spans="1:35" x14ac:dyDescent="0.3">
      <c r="A1479" t="s">
        <v>3005</v>
      </c>
      <c r="B1479" t="s">
        <v>3006</v>
      </c>
      <c r="C1479" t="s">
        <v>479</v>
      </c>
      <c r="D1479">
        <v>306</v>
      </c>
      <c r="E1479">
        <v>5856</v>
      </c>
      <c r="F1479">
        <v>18</v>
      </c>
      <c r="G1479">
        <v>60</v>
      </c>
      <c r="H1479">
        <v>30</v>
      </c>
      <c r="I1479">
        <v>0.76605191256830596</v>
      </c>
      <c r="J1479">
        <v>0.88639313167615053</v>
      </c>
      <c r="K1479" t="s">
        <v>86</v>
      </c>
      <c r="P1479">
        <v>0</v>
      </c>
      <c r="R1479">
        <v>0</v>
      </c>
      <c r="T1479">
        <v>0</v>
      </c>
      <c r="U1479" t="b">
        <v>0</v>
      </c>
      <c r="V1479">
        <v>2.285714285714286</v>
      </c>
      <c r="Y1479">
        <v>0</v>
      </c>
      <c r="Z1479">
        <v>297</v>
      </c>
      <c r="AA1479">
        <v>3.3734203016714197E-2</v>
      </c>
      <c r="AB1479">
        <v>2.7861952861952859</v>
      </c>
      <c r="AC1479">
        <v>1.5075376884422099E-2</v>
      </c>
      <c r="AD1479">
        <v>3.5650623885917998E-2</v>
      </c>
      <c r="AE1479">
        <v>0</v>
      </c>
      <c r="AF1479" t="b">
        <v>0</v>
      </c>
    </row>
    <row r="1480" spans="1:35" x14ac:dyDescent="0.3">
      <c r="A1480" t="s">
        <v>3007</v>
      </c>
      <c r="B1480" t="s">
        <v>3008</v>
      </c>
      <c r="C1480" t="s">
        <v>479</v>
      </c>
      <c r="D1480">
        <v>1166</v>
      </c>
      <c r="E1480">
        <v>28966</v>
      </c>
      <c r="F1480">
        <v>25</v>
      </c>
      <c r="G1480">
        <v>60</v>
      </c>
      <c r="H1480">
        <v>60</v>
      </c>
      <c r="I1480">
        <v>0.96720292757025483</v>
      </c>
      <c r="J1480">
        <v>0.98425445807512335</v>
      </c>
      <c r="K1480" t="s">
        <v>86</v>
      </c>
      <c r="P1480">
        <v>0</v>
      </c>
      <c r="R1480">
        <v>0</v>
      </c>
      <c r="T1480">
        <v>0</v>
      </c>
      <c r="U1480" t="b">
        <v>0</v>
      </c>
      <c r="V1480">
        <v>12.126257523413919</v>
      </c>
      <c r="Y1480">
        <v>0</v>
      </c>
      <c r="Z1480">
        <v>718</v>
      </c>
      <c r="AA1480">
        <v>6.0853244700747003E-2</v>
      </c>
      <c r="AB1480">
        <v>5.4437300699381357</v>
      </c>
      <c r="AC1480">
        <v>4.6570748318363303E-2</v>
      </c>
      <c r="AD1480">
        <v>9.5276697144698899E-2</v>
      </c>
      <c r="AE1480">
        <v>0</v>
      </c>
      <c r="AF1480" t="b">
        <v>0</v>
      </c>
    </row>
    <row r="1481" spans="1:35" x14ac:dyDescent="0.3">
      <c r="A1481" t="s">
        <v>3009</v>
      </c>
      <c r="B1481" t="s">
        <v>3010</v>
      </c>
      <c r="C1481" t="s">
        <v>479</v>
      </c>
      <c r="D1481">
        <v>129</v>
      </c>
      <c r="E1481">
        <v>1636</v>
      </c>
      <c r="F1481">
        <v>14</v>
      </c>
      <c r="G1481">
        <v>60</v>
      </c>
      <c r="H1481">
        <v>60</v>
      </c>
      <c r="I1481">
        <v>1</v>
      </c>
      <c r="J1481">
        <v>1</v>
      </c>
      <c r="K1481" t="s">
        <v>86</v>
      </c>
      <c r="P1481">
        <v>0</v>
      </c>
      <c r="R1481">
        <v>0</v>
      </c>
      <c r="T1481">
        <v>0</v>
      </c>
      <c r="U1481" t="b">
        <v>0</v>
      </c>
      <c r="Y1481">
        <v>0</v>
      </c>
      <c r="Z1481">
        <v>62</v>
      </c>
      <c r="AA1481">
        <v>-7.3170731707316999E-3</v>
      </c>
      <c r="AB1481">
        <v>-0.58064516129032262</v>
      </c>
      <c r="AC1481">
        <v>-2.1276595744680799E-2</v>
      </c>
      <c r="AE1481">
        <v>0</v>
      </c>
      <c r="AF1481" t="b">
        <v>0</v>
      </c>
    </row>
    <row r="1482" spans="1:35" x14ac:dyDescent="0.3">
      <c r="A1482" t="s">
        <v>3011</v>
      </c>
      <c r="B1482" t="s">
        <v>3012</v>
      </c>
      <c r="C1482" t="s">
        <v>479</v>
      </c>
      <c r="D1482">
        <v>727</v>
      </c>
      <c r="E1482">
        <v>14038</v>
      </c>
      <c r="F1482">
        <v>21</v>
      </c>
      <c r="G1482">
        <v>60</v>
      </c>
      <c r="H1482">
        <v>60</v>
      </c>
      <c r="I1482">
        <v>1</v>
      </c>
      <c r="J1482">
        <v>1</v>
      </c>
      <c r="K1482" t="s">
        <v>432</v>
      </c>
      <c r="L1482">
        <v>0.69724712716252057</v>
      </c>
      <c r="M1482">
        <v>1</v>
      </c>
      <c r="N1482">
        <v>1</v>
      </c>
      <c r="O1482" t="s">
        <v>433</v>
      </c>
      <c r="P1482">
        <v>0</v>
      </c>
      <c r="R1482">
        <v>0</v>
      </c>
      <c r="T1482">
        <v>0</v>
      </c>
      <c r="U1482" t="b">
        <v>0</v>
      </c>
      <c r="V1482">
        <v>4.6337288909173893</v>
      </c>
      <c r="Y1482">
        <v>0</v>
      </c>
      <c r="Z1482">
        <v>425</v>
      </c>
      <c r="AA1482">
        <v>3.96791439282407E-2</v>
      </c>
      <c r="AB1482">
        <v>3.663341952165482</v>
      </c>
      <c r="AC1482">
        <v>1.8163274891469901E-2</v>
      </c>
      <c r="AD1482">
        <v>5.6656946296840503E-2</v>
      </c>
      <c r="AE1482">
        <v>0</v>
      </c>
      <c r="AF1482" t="b">
        <v>0</v>
      </c>
    </row>
    <row r="1483" spans="1:35" x14ac:dyDescent="0.3">
      <c r="A1483" t="s">
        <v>3013</v>
      </c>
      <c r="B1483" t="s">
        <v>3014</v>
      </c>
      <c r="C1483" t="s">
        <v>479</v>
      </c>
      <c r="D1483">
        <v>110</v>
      </c>
      <c r="E1483">
        <v>1337</v>
      </c>
      <c r="F1483">
        <v>5</v>
      </c>
      <c r="G1483">
        <v>60</v>
      </c>
      <c r="H1483">
        <v>60</v>
      </c>
      <c r="I1483">
        <v>1</v>
      </c>
      <c r="J1483">
        <v>1</v>
      </c>
      <c r="K1483" t="s">
        <v>86</v>
      </c>
      <c r="P1483">
        <v>0</v>
      </c>
      <c r="R1483">
        <v>0</v>
      </c>
      <c r="T1483">
        <v>0</v>
      </c>
      <c r="U1483" t="b">
        <v>0</v>
      </c>
      <c r="V1483">
        <v>0</v>
      </c>
      <c r="Y1483">
        <v>0</v>
      </c>
      <c r="Z1483">
        <v>113</v>
      </c>
      <c r="AA1483">
        <v>-1.3615733736762401E-2</v>
      </c>
      <c r="AB1483">
        <v>-1.194690265486726</v>
      </c>
      <c r="AC1483">
        <v>-6.7669172932330796E-2</v>
      </c>
      <c r="AD1483">
        <v>-3.1578947368420998E-2</v>
      </c>
      <c r="AE1483">
        <v>0</v>
      </c>
      <c r="AF1483" t="b">
        <v>0</v>
      </c>
    </row>
    <row r="1484" spans="1:35" x14ac:dyDescent="0.3">
      <c r="A1484" t="s">
        <v>3015</v>
      </c>
      <c r="B1484" t="s">
        <v>3016</v>
      </c>
      <c r="C1484" t="s">
        <v>479</v>
      </c>
      <c r="D1484">
        <v>82</v>
      </c>
      <c r="E1484">
        <v>444</v>
      </c>
      <c r="F1484">
        <v>10</v>
      </c>
      <c r="G1484">
        <v>180</v>
      </c>
      <c r="H1484">
        <v>60</v>
      </c>
      <c r="I1484">
        <v>1</v>
      </c>
      <c r="J1484">
        <v>1</v>
      </c>
      <c r="K1484" t="s">
        <v>86</v>
      </c>
      <c r="P1484">
        <v>0</v>
      </c>
      <c r="R1484">
        <v>0</v>
      </c>
      <c r="T1484">
        <v>0</v>
      </c>
      <c r="U1484" t="b">
        <v>0</v>
      </c>
      <c r="V1484">
        <v>0</v>
      </c>
      <c r="Y1484">
        <v>0</v>
      </c>
      <c r="Z1484">
        <v>4</v>
      </c>
      <c r="AA1484">
        <v>0</v>
      </c>
      <c r="AB1484">
        <v>0</v>
      </c>
      <c r="AC1484">
        <v>0</v>
      </c>
      <c r="AD1484">
        <v>0</v>
      </c>
      <c r="AE1484">
        <v>0</v>
      </c>
      <c r="AF1484" t="b">
        <v>0</v>
      </c>
    </row>
    <row r="1485" spans="1:35" x14ac:dyDescent="0.3">
      <c r="A1485" t="s">
        <v>3017</v>
      </c>
      <c r="B1485" t="s">
        <v>3018</v>
      </c>
      <c r="C1485" t="s">
        <v>479</v>
      </c>
      <c r="D1485">
        <v>188</v>
      </c>
      <c r="E1485">
        <v>2665</v>
      </c>
      <c r="F1485">
        <v>23</v>
      </c>
      <c r="G1485">
        <v>60</v>
      </c>
      <c r="H1485">
        <v>30</v>
      </c>
      <c r="I1485">
        <v>0.69118198874296433</v>
      </c>
      <c r="J1485">
        <v>0.8471784086926043</v>
      </c>
      <c r="K1485" t="s">
        <v>86</v>
      </c>
      <c r="P1485">
        <v>0</v>
      </c>
      <c r="R1485">
        <v>0</v>
      </c>
      <c r="T1485">
        <v>0</v>
      </c>
      <c r="U1485" t="b">
        <v>0</v>
      </c>
      <c r="V1485">
        <v>4.583333333333333</v>
      </c>
      <c r="Y1485">
        <v>0</v>
      </c>
      <c r="Z1485">
        <v>92</v>
      </c>
      <c r="AA1485">
        <v>4.1420118343194999E-3</v>
      </c>
      <c r="AB1485">
        <v>0.30434782608695649</v>
      </c>
      <c r="AC1485">
        <v>2.1551724137931001E-2</v>
      </c>
      <c r="AD1485">
        <v>2.3121387283236899E-2</v>
      </c>
      <c r="AE1485">
        <v>0</v>
      </c>
      <c r="AF1485" t="b">
        <v>0</v>
      </c>
    </row>
    <row r="1486" spans="1:35" x14ac:dyDescent="0.3">
      <c r="A1486" t="s">
        <v>3019</v>
      </c>
      <c r="B1486" t="s">
        <v>3020</v>
      </c>
      <c r="C1486" t="s">
        <v>479</v>
      </c>
      <c r="D1486">
        <v>596</v>
      </c>
      <c r="E1486">
        <v>13487</v>
      </c>
      <c r="F1486">
        <v>15</v>
      </c>
      <c r="G1486">
        <v>60</v>
      </c>
      <c r="H1486">
        <v>60</v>
      </c>
      <c r="I1486">
        <v>1</v>
      </c>
      <c r="J1486">
        <v>1</v>
      </c>
      <c r="K1486" t="s">
        <v>86</v>
      </c>
      <c r="P1486">
        <v>0</v>
      </c>
      <c r="R1486">
        <v>0</v>
      </c>
      <c r="T1486">
        <v>0</v>
      </c>
      <c r="U1486" t="b">
        <v>0</v>
      </c>
      <c r="V1486">
        <v>4.4823232323232327</v>
      </c>
      <c r="Y1486">
        <v>0</v>
      </c>
      <c r="Z1486">
        <v>494</v>
      </c>
      <c r="AA1486">
        <v>-1.5147438327269001E-3</v>
      </c>
      <c r="AB1486">
        <v>-0.17738688437069</v>
      </c>
      <c r="AC1486">
        <v>-3.5904505294817902E-2</v>
      </c>
      <c r="AD1486">
        <v>2.0725329337721601E-2</v>
      </c>
      <c r="AE1486">
        <v>0</v>
      </c>
      <c r="AF1486" t="b">
        <v>0</v>
      </c>
    </row>
    <row r="1487" spans="1:35" x14ac:dyDescent="0.3">
      <c r="A1487" t="s">
        <v>3021</v>
      </c>
      <c r="B1487" t="s">
        <v>3022</v>
      </c>
      <c r="C1487" t="s">
        <v>479</v>
      </c>
      <c r="D1487">
        <v>488</v>
      </c>
      <c r="E1487">
        <v>10271</v>
      </c>
      <c r="F1487">
        <v>24</v>
      </c>
      <c r="G1487">
        <v>60</v>
      </c>
      <c r="H1487">
        <v>60</v>
      </c>
      <c r="I1487">
        <v>1</v>
      </c>
      <c r="J1487">
        <v>1</v>
      </c>
      <c r="K1487" t="s">
        <v>86</v>
      </c>
      <c r="P1487">
        <v>0</v>
      </c>
      <c r="R1487">
        <v>0</v>
      </c>
      <c r="T1487">
        <v>0</v>
      </c>
      <c r="U1487" t="b">
        <v>0</v>
      </c>
      <c r="V1487">
        <v>10.74002100840336</v>
      </c>
      <c r="Y1487">
        <v>0</v>
      </c>
      <c r="Z1487">
        <v>374</v>
      </c>
      <c r="AA1487">
        <v>3.9450768515824103E-2</v>
      </c>
      <c r="AB1487">
        <v>3.4696333078686021</v>
      </c>
      <c r="AC1487">
        <v>-5.5009680038303E-3</v>
      </c>
      <c r="AD1487">
        <v>6.5146754266942705E-2</v>
      </c>
      <c r="AE1487">
        <v>0</v>
      </c>
      <c r="AF1487" t="b">
        <v>0</v>
      </c>
    </row>
    <row r="1488" spans="1:35" x14ac:dyDescent="0.3">
      <c r="A1488" t="s">
        <v>3023</v>
      </c>
      <c r="B1488" t="s">
        <v>3024</v>
      </c>
      <c r="C1488" t="s">
        <v>479</v>
      </c>
      <c r="D1488">
        <v>354</v>
      </c>
      <c r="E1488">
        <v>6032</v>
      </c>
      <c r="F1488">
        <v>13</v>
      </c>
      <c r="G1488">
        <v>60</v>
      </c>
      <c r="H1488">
        <v>60</v>
      </c>
      <c r="I1488">
        <v>1</v>
      </c>
      <c r="J1488">
        <v>1</v>
      </c>
      <c r="K1488" t="s">
        <v>432</v>
      </c>
      <c r="L1488">
        <v>0.77062999112688557</v>
      </c>
      <c r="M1488">
        <v>1</v>
      </c>
      <c r="N1488">
        <v>1</v>
      </c>
      <c r="O1488" t="s">
        <v>433</v>
      </c>
      <c r="P1488">
        <v>0</v>
      </c>
      <c r="R1488">
        <v>0</v>
      </c>
      <c r="T1488">
        <v>0</v>
      </c>
      <c r="U1488" t="b">
        <v>0</v>
      </c>
      <c r="V1488">
        <v>0</v>
      </c>
      <c r="Y1488">
        <v>0</v>
      </c>
      <c r="Z1488">
        <v>164</v>
      </c>
      <c r="AA1488">
        <v>-4.6183102417821E-3</v>
      </c>
      <c r="AB1488">
        <v>-0.51829268292682928</v>
      </c>
      <c r="AC1488">
        <v>0</v>
      </c>
      <c r="AD1488">
        <v>-3.5756853396901002E-3</v>
      </c>
      <c r="AE1488">
        <v>0</v>
      </c>
      <c r="AF1488" t="b">
        <v>0</v>
      </c>
    </row>
    <row r="1489" spans="1:32" x14ac:dyDescent="0.3">
      <c r="A1489" t="s">
        <v>3025</v>
      </c>
      <c r="B1489" t="s">
        <v>3026</v>
      </c>
      <c r="C1489" t="s">
        <v>479</v>
      </c>
      <c r="D1489">
        <v>828</v>
      </c>
      <c r="E1489">
        <v>13568</v>
      </c>
      <c r="F1489">
        <v>21</v>
      </c>
      <c r="G1489">
        <v>60</v>
      </c>
      <c r="H1489">
        <v>60</v>
      </c>
      <c r="I1489">
        <v>1</v>
      </c>
      <c r="J1489">
        <v>1</v>
      </c>
      <c r="K1489" t="s">
        <v>86</v>
      </c>
      <c r="P1489">
        <v>0</v>
      </c>
      <c r="R1489">
        <v>0</v>
      </c>
      <c r="T1489">
        <v>0</v>
      </c>
      <c r="U1489" t="b">
        <v>0</v>
      </c>
      <c r="V1489">
        <v>13.482865043701549</v>
      </c>
      <c r="Y1489">
        <v>0</v>
      </c>
      <c r="Z1489">
        <v>514</v>
      </c>
      <c r="AA1489">
        <v>1.7838730278819701E-2</v>
      </c>
      <c r="AB1489">
        <v>1.7796575899443881</v>
      </c>
      <c r="AC1489">
        <v>-1.7205429724764399E-2</v>
      </c>
      <c r="AD1489">
        <v>7.0507729550092102E-2</v>
      </c>
      <c r="AE1489">
        <v>0</v>
      </c>
      <c r="AF1489" t="b">
        <v>0</v>
      </c>
    </row>
    <row r="1490" spans="1:32" x14ac:dyDescent="0.3">
      <c r="A1490" t="s">
        <v>3027</v>
      </c>
      <c r="B1490" t="s">
        <v>3028</v>
      </c>
      <c r="C1490" t="s">
        <v>479</v>
      </c>
      <c r="D1490">
        <v>96</v>
      </c>
      <c r="E1490">
        <v>1088</v>
      </c>
      <c r="F1490">
        <v>5</v>
      </c>
      <c r="G1490">
        <v>90</v>
      </c>
      <c r="H1490">
        <v>60</v>
      </c>
      <c r="I1490">
        <v>1</v>
      </c>
      <c r="J1490">
        <v>1</v>
      </c>
      <c r="K1490" t="s">
        <v>86</v>
      </c>
      <c r="P1490">
        <v>0</v>
      </c>
      <c r="R1490">
        <v>0</v>
      </c>
      <c r="T1490">
        <v>0</v>
      </c>
      <c r="U1490" t="b">
        <v>0</v>
      </c>
      <c r="Y1490">
        <v>0</v>
      </c>
      <c r="Z1490">
        <v>60</v>
      </c>
      <c r="AA1490">
        <v>0</v>
      </c>
      <c r="AB1490">
        <v>0</v>
      </c>
      <c r="AC1490">
        <v>0</v>
      </c>
      <c r="AE1490">
        <v>0</v>
      </c>
      <c r="AF1490" t="b">
        <v>0</v>
      </c>
    </row>
    <row r="1491" spans="1:32" x14ac:dyDescent="0.3">
      <c r="A1491" t="s">
        <v>3029</v>
      </c>
      <c r="B1491" t="s">
        <v>3030</v>
      </c>
      <c r="C1491" t="s">
        <v>479</v>
      </c>
      <c r="D1491">
        <v>1544</v>
      </c>
      <c r="E1491">
        <v>41665</v>
      </c>
      <c r="F1491">
        <v>11</v>
      </c>
      <c r="G1491">
        <v>60</v>
      </c>
      <c r="H1491">
        <v>60</v>
      </c>
      <c r="I1491">
        <v>1</v>
      </c>
      <c r="J1491">
        <v>1</v>
      </c>
      <c r="K1491" t="s">
        <v>86</v>
      </c>
      <c r="P1491">
        <v>0</v>
      </c>
      <c r="R1491">
        <v>0</v>
      </c>
      <c r="T1491">
        <v>0</v>
      </c>
      <c r="U1491" t="b">
        <v>0</v>
      </c>
      <c r="V1491">
        <v>8.2085553335553332</v>
      </c>
      <c r="Y1491">
        <v>0</v>
      </c>
      <c r="Z1491">
        <v>764</v>
      </c>
      <c r="AA1491">
        <v>2.4382750087442E-2</v>
      </c>
      <c r="AB1491">
        <v>2.24663373890905</v>
      </c>
      <c r="AC1491">
        <v>6.8201210619493E-3</v>
      </c>
      <c r="AD1491">
        <v>4.0507995558815603E-2</v>
      </c>
      <c r="AE1491">
        <v>0</v>
      </c>
      <c r="AF1491" t="b">
        <v>0</v>
      </c>
    </row>
    <row r="1492" spans="1:32" x14ac:dyDescent="0.3">
      <c r="A1492" t="s">
        <v>3031</v>
      </c>
      <c r="B1492" t="s">
        <v>3032</v>
      </c>
      <c r="C1492" t="s">
        <v>479</v>
      </c>
      <c r="D1492">
        <v>70</v>
      </c>
      <c r="E1492">
        <v>868</v>
      </c>
      <c r="F1492">
        <v>7</v>
      </c>
      <c r="G1492">
        <v>60</v>
      </c>
      <c r="H1492">
        <v>60</v>
      </c>
      <c r="I1492">
        <v>1</v>
      </c>
      <c r="J1492">
        <v>1</v>
      </c>
      <c r="K1492" t="s">
        <v>86</v>
      </c>
      <c r="P1492">
        <v>0</v>
      </c>
      <c r="R1492">
        <v>0</v>
      </c>
      <c r="T1492">
        <v>0</v>
      </c>
      <c r="U1492" t="b">
        <v>0</v>
      </c>
      <c r="V1492">
        <v>0</v>
      </c>
      <c r="Y1492">
        <v>0</v>
      </c>
      <c r="Z1492">
        <v>60</v>
      </c>
      <c r="AA1492">
        <v>8.2159624413145008E-3</v>
      </c>
      <c r="AB1492">
        <v>0.58333333333333337</v>
      </c>
      <c r="AC1492">
        <v>0</v>
      </c>
      <c r="AD1492">
        <v>0</v>
      </c>
      <c r="AE1492">
        <v>0</v>
      </c>
      <c r="AF1492" t="b">
        <v>0</v>
      </c>
    </row>
    <row r="1493" spans="1:32" x14ac:dyDescent="0.3">
      <c r="A1493" t="s">
        <v>3033</v>
      </c>
      <c r="B1493" t="s">
        <v>3034</v>
      </c>
      <c r="C1493" t="s">
        <v>479</v>
      </c>
      <c r="D1493">
        <v>470</v>
      </c>
      <c r="E1493">
        <v>12723</v>
      </c>
      <c r="F1493">
        <v>7</v>
      </c>
      <c r="G1493">
        <v>60</v>
      </c>
      <c r="H1493">
        <v>60</v>
      </c>
      <c r="I1493">
        <v>1</v>
      </c>
      <c r="J1493">
        <v>1</v>
      </c>
      <c r="K1493" t="s">
        <v>86</v>
      </c>
      <c r="P1493">
        <v>0</v>
      </c>
      <c r="R1493">
        <v>0</v>
      </c>
      <c r="T1493">
        <v>0</v>
      </c>
      <c r="U1493" t="b">
        <v>0</v>
      </c>
      <c r="V1493">
        <v>4.5432098765432096</v>
      </c>
      <c r="Y1493">
        <v>0</v>
      </c>
      <c r="Z1493">
        <v>338</v>
      </c>
      <c r="AA1493">
        <v>2.5091419542679301E-2</v>
      </c>
      <c r="AB1493">
        <v>1.96666991785335</v>
      </c>
      <c r="AC1493">
        <v>2.124167229892E-4</v>
      </c>
      <c r="AD1493">
        <v>4.1711022936223703E-2</v>
      </c>
      <c r="AE1493">
        <v>0</v>
      </c>
      <c r="AF1493" t="b">
        <v>0</v>
      </c>
    </row>
    <row r="1494" spans="1:32" x14ac:dyDescent="0.3">
      <c r="A1494" t="s">
        <v>3035</v>
      </c>
      <c r="B1494" t="s">
        <v>2832</v>
      </c>
      <c r="C1494" t="s">
        <v>479</v>
      </c>
      <c r="D1494">
        <v>54</v>
      </c>
      <c r="E1494">
        <v>833</v>
      </c>
      <c r="F1494">
        <v>8</v>
      </c>
      <c r="G1494">
        <v>60</v>
      </c>
      <c r="H1494">
        <v>60</v>
      </c>
      <c r="I1494">
        <v>1</v>
      </c>
      <c r="J1494">
        <v>1</v>
      </c>
      <c r="K1494" t="s">
        <v>86</v>
      </c>
      <c r="P1494">
        <v>0</v>
      </c>
      <c r="R1494">
        <v>0</v>
      </c>
      <c r="T1494">
        <v>0</v>
      </c>
      <c r="U1494" t="b">
        <v>0</v>
      </c>
      <c r="V1494">
        <v>0</v>
      </c>
      <c r="Y1494">
        <v>0</v>
      </c>
      <c r="Z1494">
        <v>37</v>
      </c>
      <c r="AA1494">
        <v>0</v>
      </c>
      <c r="AB1494">
        <v>0</v>
      </c>
      <c r="AC1494">
        <v>0</v>
      </c>
      <c r="AD1494">
        <v>0</v>
      </c>
      <c r="AE1494">
        <v>0</v>
      </c>
      <c r="AF1494" t="b">
        <v>0</v>
      </c>
    </row>
    <row r="1495" spans="1:32" x14ac:dyDescent="0.3">
      <c r="A1495" t="s">
        <v>3036</v>
      </c>
      <c r="B1495" t="s">
        <v>2832</v>
      </c>
      <c r="C1495" t="s">
        <v>479</v>
      </c>
      <c r="D1495">
        <v>135</v>
      </c>
      <c r="E1495">
        <v>2778</v>
      </c>
      <c r="F1495">
        <v>8</v>
      </c>
      <c r="G1495">
        <v>60</v>
      </c>
      <c r="H1495">
        <v>60</v>
      </c>
      <c r="I1495">
        <v>1</v>
      </c>
      <c r="J1495">
        <v>1</v>
      </c>
      <c r="K1495" t="s">
        <v>86</v>
      </c>
      <c r="P1495">
        <v>0</v>
      </c>
      <c r="R1495">
        <v>0</v>
      </c>
      <c r="T1495">
        <v>0</v>
      </c>
      <c r="U1495" t="b">
        <v>0</v>
      </c>
      <c r="V1495">
        <v>16.721311475409841</v>
      </c>
      <c r="Y1495">
        <v>0</v>
      </c>
      <c r="Z1495">
        <v>133</v>
      </c>
      <c r="AA1495">
        <v>1.2968750000000001E-3</v>
      </c>
      <c r="AB1495">
        <v>0.1188686000716076</v>
      </c>
      <c r="AC1495">
        <v>-8.1064064221627499E-2</v>
      </c>
      <c r="AD1495">
        <v>8.4838303233935305E-2</v>
      </c>
      <c r="AE1495">
        <v>0</v>
      </c>
      <c r="AF1495" t="b">
        <v>0</v>
      </c>
    </row>
    <row r="1496" spans="1:32" x14ac:dyDescent="0.3">
      <c r="A1496" t="s">
        <v>3037</v>
      </c>
      <c r="B1496" t="s">
        <v>3038</v>
      </c>
      <c r="C1496" t="s">
        <v>479</v>
      </c>
      <c r="D1496">
        <v>1082</v>
      </c>
      <c r="E1496">
        <v>20995</v>
      </c>
      <c r="F1496">
        <v>754</v>
      </c>
      <c r="G1496">
        <v>72</v>
      </c>
      <c r="H1496">
        <v>1</v>
      </c>
      <c r="I1496">
        <v>0.27982853060252438</v>
      </c>
      <c r="J1496">
        <v>0.25032281045460619</v>
      </c>
      <c r="K1496" t="s">
        <v>86</v>
      </c>
      <c r="P1496">
        <v>0</v>
      </c>
      <c r="R1496">
        <v>0</v>
      </c>
      <c r="T1496">
        <v>0</v>
      </c>
      <c r="U1496" t="b">
        <v>0</v>
      </c>
      <c r="V1496">
        <v>19.460670731707321</v>
      </c>
      <c r="Y1496">
        <v>0</v>
      </c>
      <c r="Z1496">
        <v>1013</v>
      </c>
      <c r="AA1496">
        <v>5.9634941075621402E-2</v>
      </c>
      <c r="AB1496">
        <v>7.5686835019757028</v>
      </c>
      <c r="AC1496">
        <v>3.7115343480145301E-2</v>
      </c>
      <c r="AD1496">
        <v>2.81914743512044E-2</v>
      </c>
      <c r="AE1496">
        <v>0</v>
      </c>
      <c r="AF1496" t="b">
        <v>0</v>
      </c>
    </row>
    <row r="1497" spans="1:32" x14ac:dyDescent="0.3">
      <c r="A1497" t="s">
        <v>3039</v>
      </c>
      <c r="B1497" t="s">
        <v>3040</v>
      </c>
      <c r="C1497" t="s">
        <v>479</v>
      </c>
      <c r="D1497">
        <v>252</v>
      </c>
      <c r="E1497">
        <v>7280</v>
      </c>
      <c r="F1497">
        <v>189</v>
      </c>
      <c r="G1497">
        <v>60</v>
      </c>
      <c r="H1497">
        <v>1</v>
      </c>
      <c r="I1497">
        <v>0.70439560439560445</v>
      </c>
      <c r="J1497">
        <v>0.79620286776420601</v>
      </c>
      <c r="K1497" t="s">
        <v>432</v>
      </c>
      <c r="L1497">
        <v>0.2049920339883165</v>
      </c>
      <c r="M1497">
        <v>1</v>
      </c>
      <c r="N1497">
        <v>5.8290155440414004E-3</v>
      </c>
      <c r="O1497" t="s">
        <v>433</v>
      </c>
      <c r="P1497">
        <v>1535</v>
      </c>
      <c r="Q1497">
        <v>1</v>
      </c>
      <c r="R1497">
        <v>0</v>
      </c>
      <c r="T1497">
        <v>0</v>
      </c>
      <c r="U1497" t="b">
        <v>0</v>
      </c>
      <c r="V1497">
        <v>10.93257575757576</v>
      </c>
      <c r="Y1497">
        <v>0</v>
      </c>
      <c r="Z1497">
        <v>361</v>
      </c>
      <c r="AA1497">
        <v>3.6381876438992503E-2</v>
      </c>
      <c r="AB1497">
        <v>3.2995976784065428</v>
      </c>
      <c r="AC1497">
        <v>4.8572714728879397E-2</v>
      </c>
      <c r="AD1497">
        <v>6.3031090672798001E-3</v>
      </c>
      <c r="AE1497">
        <v>0</v>
      </c>
      <c r="AF1497" t="b">
        <v>0</v>
      </c>
    </row>
    <row r="1498" spans="1:32" x14ac:dyDescent="0.3">
      <c r="A1498" t="s">
        <v>3041</v>
      </c>
      <c r="B1498" t="s">
        <v>2935</v>
      </c>
      <c r="C1498" t="s">
        <v>479</v>
      </c>
      <c r="D1498">
        <v>121</v>
      </c>
      <c r="E1498">
        <v>1580</v>
      </c>
      <c r="F1498">
        <v>18</v>
      </c>
      <c r="G1498">
        <v>60</v>
      </c>
      <c r="H1498">
        <v>60</v>
      </c>
      <c r="I1498">
        <v>1</v>
      </c>
      <c r="J1498">
        <v>1</v>
      </c>
      <c r="K1498" t="s">
        <v>86</v>
      </c>
      <c r="P1498">
        <v>0</v>
      </c>
      <c r="R1498">
        <v>0</v>
      </c>
      <c r="T1498">
        <v>0</v>
      </c>
      <c r="U1498" t="b">
        <v>0</v>
      </c>
      <c r="V1498">
        <v>0</v>
      </c>
      <c r="Y1498">
        <v>0</v>
      </c>
      <c r="Z1498">
        <v>42</v>
      </c>
      <c r="AA1498">
        <v>0</v>
      </c>
      <c r="AB1498">
        <v>0</v>
      </c>
      <c r="AC1498">
        <v>0</v>
      </c>
      <c r="AD1498">
        <v>0</v>
      </c>
      <c r="AE1498">
        <v>0</v>
      </c>
      <c r="AF1498" t="b">
        <v>0</v>
      </c>
    </row>
    <row r="1499" spans="1:32" x14ac:dyDescent="0.3">
      <c r="A1499" t="s">
        <v>3042</v>
      </c>
      <c r="B1499" t="s">
        <v>3043</v>
      </c>
      <c r="C1499" t="s">
        <v>479</v>
      </c>
      <c r="D1499">
        <v>3163</v>
      </c>
      <c r="E1499">
        <v>53766</v>
      </c>
      <c r="F1499">
        <v>18</v>
      </c>
      <c r="G1499">
        <v>60</v>
      </c>
      <c r="H1499">
        <v>60</v>
      </c>
      <c r="I1499">
        <v>1</v>
      </c>
      <c r="J1499">
        <v>1</v>
      </c>
      <c r="K1499" t="s">
        <v>86</v>
      </c>
      <c r="P1499">
        <v>0</v>
      </c>
      <c r="R1499">
        <v>0</v>
      </c>
      <c r="T1499">
        <v>0</v>
      </c>
      <c r="U1499" t="b">
        <v>0</v>
      </c>
      <c r="V1499">
        <v>8.1565827789232035</v>
      </c>
      <c r="Y1499">
        <v>0</v>
      </c>
      <c r="Z1499">
        <v>1817</v>
      </c>
      <c r="AA1499">
        <v>2.9956708058727501E-2</v>
      </c>
      <c r="AB1499">
        <v>2.8784782935204389</v>
      </c>
      <c r="AC1499">
        <v>3.2627151490016298E-2</v>
      </c>
      <c r="AD1499">
        <v>3.8534425638738698E-2</v>
      </c>
      <c r="AE1499">
        <v>0</v>
      </c>
      <c r="AF1499" t="b">
        <v>0</v>
      </c>
    </row>
    <row r="1500" spans="1:32" x14ac:dyDescent="0.3">
      <c r="A1500" t="s">
        <v>3044</v>
      </c>
      <c r="B1500" t="s">
        <v>3045</v>
      </c>
      <c r="C1500" t="s">
        <v>479</v>
      </c>
      <c r="D1500">
        <v>995</v>
      </c>
      <c r="E1500">
        <v>28379</v>
      </c>
      <c r="F1500">
        <v>297</v>
      </c>
      <c r="G1500">
        <v>67</v>
      </c>
      <c r="H1500">
        <v>1</v>
      </c>
      <c r="I1500">
        <v>9.5634095634095598E-2</v>
      </c>
      <c r="J1500">
        <v>0.37165520528358409</v>
      </c>
      <c r="K1500" t="s">
        <v>432</v>
      </c>
      <c r="L1500">
        <v>0.63968135085449718</v>
      </c>
      <c r="M1500">
        <v>1</v>
      </c>
      <c r="N1500">
        <v>1.77221926556679E-2</v>
      </c>
      <c r="O1500" t="s">
        <v>433</v>
      </c>
      <c r="P1500">
        <v>18457</v>
      </c>
      <c r="Q1500">
        <v>0.98840548301457443</v>
      </c>
      <c r="R1500">
        <v>0</v>
      </c>
      <c r="T1500">
        <v>0</v>
      </c>
      <c r="U1500" t="b">
        <v>0</v>
      </c>
      <c r="V1500">
        <v>11.616232363315699</v>
      </c>
      <c r="Y1500">
        <v>0</v>
      </c>
      <c r="Z1500">
        <v>1100</v>
      </c>
      <c r="AA1500">
        <v>1.8425630828528099E-2</v>
      </c>
      <c r="AB1500">
        <v>1.5065020489017811</v>
      </c>
      <c r="AC1500">
        <v>-4.5879756386791197E-2</v>
      </c>
      <c r="AD1500">
        <v>7.1868555205198303E-2</v>
      </c>
      <c r="AE1500">
        <v>0</v>
      </c>
      <c r="AF1500" t="b">
        <v>0</v>
      </c>
    </row>
    <row r="1501" spans="1:32" x14ac:dyDescent="0.3">
      <c r="A1501" t="s">
        <v>3046</v>
      </c>
      <c r="B1501" t="s">
        <v>3047</v>
      </c>
      <c r="C1501" t="s">
        <v>479</v>
      </c>
      <c r="D1501">
        <v>2273</v>
      </c>
      <c r="E1501">
        <v>42400</v>
      </c>
      <c r="F1501">
        <v>25</v>
      </c>
      <c r="G1501">
        <v>60</v>
      </c>
      <c r="H1501">
        <v>60</v>
      </c>
      <c r="I1501">
        <v>1</v>
      </c>
      <c r="J1501">
        <v>1</v>
      </c>
      <c r="K1501" t="s">
        <v>86</v>
      </c>
      <c r="P1501">
        <v>0</v>
      </c>
      <c r="R1501">
        <v>0</v>
      </c>
      <c r="T1501">
        <v>0</v>
      </c>
      <c r="U1501" t="b">
        <v>0</v>
      </c>
      <c r="V1501">
        <v>6.5980519685821779</v>
      </c>
      <c r="Y1501">
        <v>0</v>
      </c>
      <c r="Z1501">
        <v>1222</v>
      </c>
      <c r="AA1501">
        <v>2.9976081750132201E-2</v>
      </c>
      <c r="AB1501">
        <v>3.037868842891482</v>
      </c>
      <c r="AC1501">
        <v>2.2603374099336701E-2</v>
      </c>
      <c r="AD1501">
        <v>5.1295723472992903E-2</v>
      </c>
      <c r="AE1501">
        <v>0</v>
      </c>
      <c r="AF1501" t="b">
        <v>0</v>
      </c>
    </row>
    <row r="1502" spans="1:32" x14ac:dyDescent="0.3">
      <c r="A1502" t="s">
        <v>3048</v>
      </c>
      <c r="B1502" t="s">
        <v>3049</v>
      </c>
      <c r="C1502" t="s">
        <v>479</v>
      </c>
      <c r="D1502">
        <v>66</v>
      </c>
      <c r="E1502">
        <v>354</v>
      </c>
      <c r="F1502">
        <v>13</v>
      </c>
      <c r="G1502">
        <v>180</v>
      </c>
      <c r="H1502">
        <v>60</v>
      </c>
      <c r="I1502">
        <v>1</v>
      </c>
      <c r="J1502">
        <v>1</v>
      </c>
      <c r="K1502" t="s">
        <v>86</v>
      </c>
      <c r="P1502">
        <v>0</v>
      </c>
      <c r="R1502">
        <v>0</v>
      </c>
      <c r="T1502">
        <v>0</v>
      </c>
      <c r="U1502" t="b">
        <v>0</v>
      </c>
      <c r="Y1502">
        <v>0</v>
      </c>
      <c r="Z1502">
        <v>4</v>
      </c>
      <c r="AA1502">
        <v>0</v>
      </c>
      <c r="AB1502">
        <v>0</v>
      </c>
      <c r="AE1502">
        <v>0</v>
      </c>
      <c r="AF1502" t="b">
        <v>0</v>
      </c>
    </row>
    <row r="1503" spans="1:32" x14ac:dyDescent="0.3">
      <c r="A1503" t="s">
        <v>3050</v>
      </c>
      <c r="B1503" t="s">
        <v>3051</v>
      </c>
      <c r="C1503" t="s">
        <v>479</v>
      </c>
      <c r="D1503">
        <v>182</v>
      </c>
      <c r="E1503">
        <v>4446</v>
      </c>
      <c r="F1503">
        <v>10</v>
      </c>
      <c r="G1503">
        <v>60</v>
      </c>
      <c r="H1503">
        <v>60</v>
      </c>
      <c r="I1503">
        <v>1</v>
      </c>
      <c r="J1503">
        <v>1</v>
      </c>
      <c r="K1503" t="s">
        <v>86</v>
      </c>
      <c r="P1503">
        <v>0</v>
      </c>
      <c r="R1503">
        <v>0</v>
      </c>
      <c r="T1503">
        <v>0</v>
      </c>
      <c r="U1503" t="b">
        <v>0</v>
      </c>
      <c r="V1503">
        <v>0</v>
      </c>
      <c r="Y1503">
        <v>0</v>
      </c>
      <c r="Z1503">
        <v>203</v>
      </c>
      <c r="AA1503">
        <v>0</v>
      </c>
      <c r="AB1503">
        <v>0</v>
      </c>
      <c r="AC1503">
        <v>0</v>
      </c>
      <c r="AD1503">
        <v>0</v>
      </c>
      <c r="AE1503">
        <v>0</v>
      </c>
      <c r="AF1503" t="b">
        <v>0</v>
      </c>
    </row>
    <row r="1504" spans="1:32" x14ac:dyDescent="0.3">
      <c r="A1504" t="s">
        <v>3052</v>
      </c>
      <c r="B1504" t="s">
        <v>3053</v>
      </c>
      <c r="C1504" t="s">
        <v>757</v>
      </c>
      <c r="D1504">
        <v>150</v>
      </c>
      <c r="E1504">
        <v>2249</v>
      </c>
      <c r="F1504">
        <v>14</v>
      </c>
      <c r="G1504">
        <v>120</v>
      </c>
      <c r="H1504">
        <v>60</v>
      </c>
      <c r="I1504">
        <v>0.98043574922187637</v>
      </c>
      <c r="J1504">
        <v>0.99084858569051582</v>
      </c>
      <c r="K1504" t="s">
        <v>86</v>
      </c>
      <c r="P1504">
        <v>0</v>
      </c>
      <c r="R1504">
        <v>0</v>
      </c>
      <c r="T1504">
        <v>0</v>
      </c>
      <c r="U1504" t="b">
        <v>0</v>
      </c>
      <c r="Y1504">
        <v>0</v>
      </c>
      <c r="Z1504">
        <v>71</v>
      </c>
      <c r="AA1504">
        <v>-7.9365079365078996E-3</v>
      </c>
      <c r="AB1504">
        <v>-1.183098591549296</v>
      </c>
      <c r="AD1504">
        <v>0</v>
      </c>
      <c r="AE1504">
        <v>0</v>
      </c>
      <c r="AF1504" t="b">
        <v>0</v>
      </c>
    </row>
    <row r="1505" spans="1:35" x14ac:dyDescent="0.3">
      <c r="A1505" t="s">
        <v>3054</v>
      </c>
      <c r="B1505" t="s">
        <v>3055</v>
      </c>
      <c r="C1505" t="s">
        <v>479</v>
      </c>
      <c r="D1505">
        <v>4018</v>
      </c>
      <c r="E1505">
        <v>162265</v>
      </c>
      <c r="F1505">
        <v>323</v>
      </c>
      <c r="G1505">
        <v>65</v>
      </c>
      <c r="H1505">
        <v>1</v>
      </c>
      <c r="I1505">
        <v>5.9100853542045403E-2</v>
      </c>
      <c r="J1505">
        <v>0.29191198138113938</v>
      </c>
      <c r="K1505" t="s">
        <v>86</v>
      </c>
      <c r="P1505">
        <v>0</v>
      </c>
      <c r="R1505">
        <v>0</v>
      </c>
      <c r="T1505">
        <v>1</v>
      </c>
      <c r="U1505" t="b">
        <v>1</v>
      </c>
      <c r="V1505">
        <v>5.3841486838715529</v>
      </c>
      <c r="W1505">
        <v>0.8781868716079243</v>
      </c>
      <c r="X1505" t="b">
        <v>1</v>
      </c>
      <c r="Y1505">
        <v>0</v>
      </c>
      <c r="Z1505">
        <v>4393</v>
      </c>
      <c r="AA1505">
        <v>2.4997196166596999E-2</v>
      </c>
      <c r="AB1505">
        <v>1.8183406863311611</v>
      </c>
      <c r="AC1505">
        <v>-1.4328316207165E-3</v>
      </c>
      <c r="AD1505">
        <v>5.4074251213180199E-2</v>
      </c>
      <c r="AE1505">
        <v>1</v>
      </c>
      <c r="AF1505" t="b">
        <v>1</v>
      </c>
      <c r="AG1505">
        <v>-3.8873014303569998E-4</v>
      </c>
      <c r="AH1505">
        <v>-4.22340349248966E-2</v>
      </c>
      <c r="AI1505" t="b">
        <v>1</v>
      </c>
    </row>
    <row r="1506" spans="1:35" x14ac:dyDescent="0.3">
      <c r="A1506" t="s">
        <v>3056</v>
      </c>
      <c r="B1506" t="s">
        <v>3057</v>
      </c>
      <c r="C1506" t="s">
        <v>479</v>
      </c>
      <c r="D1506">
        <v>357</v>
      </c>
      <c r="E1506">
        <v>3795</v>
      </c>
      <c r="F1506">
        <v>27</v>
      </c>
      <c r="G1506">
        <v>120</v>
      </c>
      <c r="H1506">
        <v>60</v>
      </c>
      <c r="I1506">
        <v>1</v>
      </c>
      <c r="J1506">
        <v>1</v>
      </c>
      <c r="K1506" t="s">
        <v>86</v>
      </c>
      <c r="P1506">
        <v>0</v>
      </c>
      <c r="R1506">
        <v>0</v>
      </c>
      <c r="T1506">
        <v>0</v>
      </c>
      <c r="U1506" t="b">
        <v>0</v>
      </c>
      <c r="V1506">
        <v>3.3720930232558142</v>
      </c>
      <c r="Y1506">
        <v>0</v>
      </c>
      <c r="Z1506">
        <v>70</v>
      </c>
      <c r="AA1506">
        <v>4.3250327653996997E-3</v>
      </c>
      <c r="AB1506">
        <v>0.50510204081632659</v>
      </c>
      <c r="AC1506">
        <v>2.1857923497267701E-2</v>
      </c>
      <c r="AD1506">
        <v>-3.2786885245901002E-3</v>
      </c>
      <c r="AE1506">
        <v>0</v>
      </c>
      <c r="AF1506" t="b">
        <v>0</v>
      </c>
    </row>
    <row r="1507" spans="1:35" x14ac:dyDescent="0.3">
      <c r="A1507" t="s">
        <v>3058</v>
      </c>
      <c r="B1507" t="s">
        <v>2705</v>
      </c>
      <c r="C1507" t="s">
        <v>479</v>
      </c>
      <c r="D1507">
        <v>282</v>
      </c>
      <c r="E1507">
        <v>3036</v>
      </c>
      <c r="F1507">
        <v>41</v>
      </c>
      <c r="G1507">
        <v>300</v>
      </c>
      <c r="H1507">
        <v>60</v>
      </c>
      <c r="I1507">
        <v>1</v>
      </c>
      <c r="J1507">
        <v>1</v>
      </c>
      <c r="K1507" t="s">
        <v>86</v>
      </c>
      <c r="P1507">
        <v>0</v>
      </c>
      <c r="R1507">
        <v>0</v>
      </c>
      <c r="T1507">
        <v>0</v>
      </c>
      <c r="U1507" t="b">
        <v>0</v>
      </c>
      <c r="V1507">
        <v>21</v>
      </c>
      <c r="Y1507">
        <v>0</v>
      </c>
      <c r="Z1507">
        <v>91</v>
      </c>
      <c r="AA1507">
        <v>5.4110304261189401E-2</v>
      </c>
      <c r="AB1507">
        <v>17.73390894819466</v>
      </c>
      <c r="AC1507">
        <v>4.7681356641892499E-2</v>
      </c>
      <c r="AD1507">
        <v>3.1066223472257699E-2</v>
      </c>
      <c r="AE1507">
        <v>0</v>
      </c>
      <c r="AF1507" t="b">
        <v>0</v>
      </c>
    </row>
    <row r="1508" spans="1:35" x14ac:dyDescent="0.3">
      <c r="A1508" t="s">
        <v>3059</v>
      </c>
      <c r="B1508" t="s">
        <v>2705</v>
      </c>
      <c r="C1508" t="s">
        <v>479</v>
      </c>
      <c r="D1508">
        <v>66</v>
      </c>
      <c r="E1508">
        <v>731</v>
      </c>
      <c r="F1508">
        <v>14</v>
      </c>
      <c r="G1508">
        <v>120</v>
      </c>
      <c r="H1508">
        <v>60</v>
      </c>
      <c r="I1508">
        <v>1</v>
      </c>
      <c r="J1508">
        <v>1</v>
      </c>
      <c r="K1508" t="s">
        <v>86</v>
      </c>
      <c r="P1508">
        <v>0</v>
      </c>
      <c r="R1508">
        <v>0</v>
      </c>
      <c r="T1508">
        <v>0</v>
      </c>
      <c r="U1508" t="b">
        <v>0</v>
      </c>
      <c r="Y1508">
        <v>0</v>
      </c>
      <c r="Z1508">
        <v>18</v>
      </c>
      <c r="AA1508">
        <v>-0.1294797687861271</v>
      </c>
      <c r="AB1508">
        <v>-31.111111111111111</v>
      </c>
      <c r="AE1508">
        <v>0</v>
      </c>
      <c r="AF1508" t="b">
        <v>0</v>
      </c>
    </row>
    <row r="1509" spans="1:35" x14ac:dyDescent="0.3">
      <c r="A1509" t="s">
        <v>3060</v>
      </c>
      <c r="B1509" t="s">
        <v>2705</v>
      </c>
      <c r="C1509" t="s">
        <v>479</v>
      </c>
      <c r="D1509">
        <v>908</v>
      </c>
      <c r="E1509">
        <v>6061</v>
      </c>
      <c r="F1509">
        <v>36</v>
      </c>
      <c r="G1509">
        <v>240</v>
      </c>
      <c r="H1509">
        <v>60</v>
      </c>
      <c r="I1509">
        <v>1</v>
      </c>
      <c r="J1509">
        <v>1</v>
      </c>
      <c r="K1509" t="s">
        <v>86</v>
      </c>
      <c r="P1509">
        <v>0</v>
      </c>
      <c r="R1509">
        <v>0</v>
      </c>
      <c r="T1509">
        <v>0</v>
      </c>
      <c r="U1509" t="b">
        <v>0</v>
      </c>
      <c r="Y1509">
        <v>0</v>
      </c>
      <c r="Z1509">
        <v>0</v>
      </c>
      <c r="AE1509">
        <v>0</v>
      </c>
      <c r="AF1509" t="b">
        <v>0</v>
      </c>
    </row>
    <row r="1510" spans="1:35" x14ac:dyDescent="0.3">
      <c r="A1510" t="s">
        <v>3061</v>
      </c>
      <c r="B1510" t="s">
        <v>3062</v>
      </c>
      <c r="C1510" t="s">
        <v>479</v>
      </c>
      <c r="D1510">
        <v>248</v>
      </c>
      <c r="E1510">
        <v>2331</v>
      </c>
      <c r="F1510">
        <v>28</v>
      </c>
      <c r="G1510">
        <v>180</v>
      </c>
      <c r="H1510">
        <v>60</v>
      </c>
      <c r="I1510">
        <v>1</v>
      </c>
      <c r="J1510">
        <v>1</v>
      </c>
      <c r="K1510" t="s">
        <v>86</v>
      </c>
      <c r="P1510">
        <v>0</v>
      </c>
      <c r="R1510">
        <v>0</v>
      </c>
      <c r="T1510">
        <v>0</v>
      </c>
      <c r="U1510" t="b">
        <v>0</v>
      </c>
      <c r="Y1510">
        <v>0</v>
      </c>
      <c r="Z1510">
        <v>0</v>
      </c>
      <c r="AE1510">
        <v>0</v>
      </c>
      <c r="AF1510" t="b">
        <v>0</v>
      </c>
    </row>
    <row r="1511" spans="1:35" x14ac:dyDescent="0.3">
      <c r="A1511" t="s">
        <v>3063</v>
      </c>
      <c r="B1511" t="s">
        <v>3064</v>
      </c>
      <c r="C1511" t="s">
        <v>479</v>
      </c>
      <c r="D1511">
        <v>628</v>
      </c>
      <c r="E1511">
        <v>10871</v>
      </c>
      <c r="F1511">
        <v>11</v>
      </c>
      <c r="G1511">
        <v>60</v>
      </c>
      <c r="H1511">
        <v>60</v>
      </c>
      <c r="I1511">
        <v>1</v>
      </c>
      <c r="J1511">
        <v>1</v>
      </c>
      <c r="K1511" t="s">
        <v>86</v>
      </c>
      <c r="P1511">
        <v>0</v>
      </c>
      <c r="R1511">
        <v>0</v>
      </c>
      <c r="T1511">
        <v>0</v>
      </c>
      <c r="U1511" t="b">
        <v>0</v>
      </c>
      <c r="V1511">
        <v>1.9</v>
      </c>
      <c r="Y1511">
        <v>0</v>
      </c>
      <c r="Z1511">
        <v>510</v>
      </c>
      <c r="AA1511">
        <v>1.1957325446287101E-2</v>
      </c>
      <c r="AB1511">
        <v>1.1098039215686279</v>
      </c>
      <c r="AC1511">
        <v>9.0090090090090003E-3</v>
      </c>
      <c r="AD1511">
        <v>1.29406514948683E-2</v>
      </c>
      <c r="AE1511">
        <v>0</v>
      </c>
      <c r="AF1511" t="b">
        <v>0</v>
      </c>
    </row>
    <row r="1512" spans="1:35" x14ac:dyDescent="0.3">
      <c r="A1512" t="s">
        <v>3065</v>
      </c>
      <c r="B1512" t="s">
        <v>3066</v>
      </c>
      <c r="C1512" t="s">
        <v>479</v>
      </c>
      <c r="D1512">
        <v>5038</v>
      </c>
      <c r="E1512">
        <v>101568</v>
      </c>
      <c r="F1512">
        <v>24</v>
      </c>
      <c r="G1512">
        <v>60</v>
      </c>
      <c r="H1512">
        <v>60</v>
      </c>
      <c r="I1512">
        <v>1</v>
      </c>
      <c r="J1512">
        <v>1</v>
      </c>
      <c r="K1512" t="s">
        <v>86</v>
      </c>
      <c r="P1512">
        <v>0</v>
      </c>
      <c r="R1512">
        <v>0</v>
      </c>
      <c r="T1512">
        <v>1</v>
      </c>
      <c r="U1512" t="b">
        <v>1</v>
      </c>
      <c r="V1512">
        <v>11.50230360356943</v>
      </c>
      <c r="W1512">
        <v>7.4438216388874281</v>
      </c>
      <c r="X1512" t="b">
        <v>1</v>
      </c>
      <c r="Y1512">
        <v>0</v>
      </c>
      <c r="Z1512">
        <v>2552</v>
      </c>
      <c r="AA1512">
        <v>3.1769533437254797E-2</v>
      </c>
      <c r="AB1512">
        <v>2.7662719075160589</v>
      </c>
      <c r="AC1512">
        <v>-7.3415958226624002E-3</v>
      </c>
      <c r="AD1512">
        <v>7.4427339503625206E-2</v>
      </c>
      <c r="AE1512">
        <v>1</v>
      </c>
      <c r="AF1512" t="b">
        <v>1</v>
      </c>
      <c r="AG1512">
        <v>-5.5849703318759996E-3</v>
      </c>
      <c r="AH1512">
        <v>-0.68830990413134197</v>
      </c>
      <c r="AI1512" t="b">
        <v>1</v>
      </c>
    </row>
    <row r="1513" spans="1:35" x14ac:dyDescent="0.3">
      <c r="A1513" t="s">
        <v>3067</v>
      </c>
      <c r="B1513" t="s">
        <v>3068</v>
      </c>
      <c r="C1513" t="s">
        <v>479</v>
      </c>
      <c r="D1513">
        <v>163</v>
      </c>
      <c r="E1513">
        <v>2686</v>
      </c>
      <c r="F1513">
        <v>9</v>
      </c>
      <c r="G1513">
        <v>120</v>
      </c>
      <c r="H1513">
        <v>60</v>
      </c>
      <c r="I1513">
        <v>1</v>
      </c>
      <c r="J1513">
        <v>1</v>
      </c>
      <c r="K1513" t="s">
        <v>86</v>
      </c>
      <c r="P1513">
        <v>0</v>
      </c>
      <c r="R1513">
        <v>0</v>
      </c>
      <c r="T1513">
        <v>0</v>
      </c>
      <c r="U1513" t="b">
        <v>0</v>
      </c>
      <c r="V1513">
        <v>0.94285714285714284</v>
      </c>
      <c r="Y1513">
        <v>0</v>
      </c>
      <c r="Z1513">
        <v>76</v>
      </c>
      <c r="AA1513">
        <v>2.6824703680598801E-2</v>
      </c>
      <c r="AB1513">
        <v>2.8289473684210531</v>
      </c>
      <c r="AC1513">
        <v>1.9793814432989599E-2</v>
      </c>
      <c r="AD1513">
        <v>2.88659793814433E-2</v>
      </c>
      <c r="AE1513">
        <v>0</v>
      </c>
      <c r="AF1513" t="b">
        <v>0</v>
      </c>
    </row>
    <row r="1514" spans="1:35" x14ac:dyDescent="0.3">
      <c r="A1514" t="s">
        <v>3069</v>
      </c>
      <c r="B1514" t="s">
        <v>3070</v>
      </c>
      <c r="C1514" t="s">
        <v>479</v>
      </c>
      <c r="D1514">
        <v>278</v>
      </c>
      <c r="E1514">
        <v>5722</v>
      </c>
      <c r="F1514">
        <v>21</v>
      </c>
      <c r="G1514">
        <v>60</v>
      </c>
      <c r="H1514">
        <v>60</v>
      </c>
      <c r="I1514">
        <v>0.99912617965746242</v>
      </c>
      <c r="J1514">
        <v>0.99952441344324683</v>
      </c>
      <c r="K1514" t="s">
        <v>86</v>
      </c>
      <c r="P1514">
        <v>0</v>
      </c>
      <c r="R1514">
        <v>0</v>
      </c>
      <c r="T1514">
        <v>0</v>
      </c>
      <c r="U1514" t="b">
        <v>0</v>
      </c>
      <c r="V1514">
        <v>0</v>
      </c>
      <c r="Y1514">
        <v>0</v>
      </c>
      <c r="Z1514">
        <v>308</v>
      </c>
      <c r="AA1514">
        <v>2.5827431456419601E-2</v>
      </c>
      <c r="AB1514">
        <v>2.3917207792207802</v>
      </c>
      <c r="AC1514">
        <v>4.1666666666665998E-3</v>
      </c>
      <c r="AD1514">
        <v>-6.4308681672025003E-3</v>
      </c>
      <c r="AE1514">
        <v>0</v>
      </c>
      <c r="AF1514" t="b">
        <v>0</v>
      </c>
    </row>
    <row r="1515" spans="1:35" x14ac:dyDescent="0.3">
      <c r="A1515" t="s">
        <v>3071</v>
      </c>
      <c r="B1515" t="s">
        <v>3072</v>
      </c>
      <c r="C1515" t="s">
        <v>479</v>
      </c>
      <c r="D1515">
        <v>6932</v>
      </c>
      <c r="E1515">
        <v>150541</v>
      </c>
      <c r="F1515">
        <v>24</v>
      </c>
      <c r="G1515">
        <v>60</v>
      </c>
      <c r="H1515">
        <v>60</v>
      </c>
      <c r="I1515">
        <v>1</v>
      </c>
      <c r="J1515">
        <v>1</v>
      </c>
      <c r="K1515" t="s">
        <v>86</v>
      </c>
      <c r="P1515">
        <v>0</v>
      </c>
      <c r="R1515">
        <v>0</v>
      </c>
      <c r="T1515">
        <v>1</v>
      </c>
      <c r="U1515" t="b">
        <v>1</v>
      </c>
      <c r="V1515">
        <v>6.2804113850127461</v>
      </c>
      <c r="W1515">
        <v>3.7504304825820118</v>
      </c>
      <c r="X1515" t="b">
        <v>1</v>
      </c>
      <c r="Y1515">
        <v>0</v>
      </c>
      <c r="Z1515">
        <v>2433</v>
      </c>
      <c r="AA1515">
        <v>4.9313609245765798E-2</v>
      </c>
      <c r="AB1515">
        <v>3.7290574156908072</v>
      </c>
      <c r="AC1515">
        <v>3.1357548103388803E-2</v>
      </c>
      <c r="AD1515">
        <v>6.7385993770998798E-2</v>
      </c>
      <c r="AE1515">
        <v>1</v>
      </c>
      <c r="AF1515" t="b">
        <v>1</v>
      </c>
      <c r="AG1515">
        <v>2.3553537909570401E-2</v>
      </c>
      <c r="AH1515">
        <v>2.2703454235017322</v>
      </c>
      <c r="AI1515" t="b">
        <v>1</v>
      </c>
    </row>
    <row r="1516" spans="1:35" x14ac:dyDescent="0.3">
      <c r="A1516" t="s">
        <v>3073</v>
      </c>
      <c r="B1516" t="s">
        <v>3074</v>
      </c>
      <c r="C1516" t="s">
        <v>479</v>
      </c>
      <c r="D1516">
        <v>131</v>
      </c>
      <c r="E1516">
        <v>1558</v>
      </c>
      <c r="F1516">
        <v>8</v>
      </c>
      <c r="G1516">
        <v>60</v>
      </c>
      <c r="H1516">
        <v>60</v>
      </c>
      <c r="I1516">
        <v>1</v>
      </c>
      <c r="J1516">
        <v>1</v>
      </c>
      <c r="K1516" t="s">
        <v>86</v>
      </c>
      <c r="P1516">
        <v>0</v>
      </c>
      <c r="R1516">
        <v>0</v>
      </c>
      <c r="T1516">
        <v>0</v>
      </c>
      <c r="U1516" t="b">
        <v>0</v>
      </c>
      <c r="V1516">
        <v>0</v>
      </c>
      <c r="Y1516">
        <v>0</v>
      </c>
      <c r="Z1516">
        <v>26</v>
      </c>
      <c r="AA1516">
        <v>0</v>
      </c>
      <c r="AB1516">
        <v>0</v>
      </c>
      <c r="AC1516">
        <v>0</v>
      </c>
      <c r="AD1516">
        <v>0</v>
      </c>
      <c r="AE1516">
        <v>0</v>
      </c>
      <c r="AF1516" t="b">
        <v>0</v>
      </c>
    </row>
    <row r="1517" spans="1:35" x14ac:dyDescent="0.3">
      <c r="A1517" t="s">
        <v>3075</v>
      </c>
      <c r="B1517" t="s">
        <v>3076</v>
      </c>
      <c r="C1517" t="s">
        <v>479</v>
      </c>
      <c r="D1517">
        <v>260</v>
      </c>
      <c r="E1517">
        <v>3656</v>
      </c>
      <c r="F1517">
        <v>9</v>
      </c>
      <c r="G1517">
        <v>60</v>
      </c>
      <c r="H1517">
        <v>60</v>
      </c>
      <c r="I1517">
        <v>1</v>
      </c>
      <c r="J1517">
        <v>1</v>
      </c>
      <c r="K1517" t="s">
        <v>86</v>
      </c>
      <c r="P1517">
        <v>0</v>
      </c>
      <c r="R1517">
        <v>0</v>
      </c>
      <c r="T1517">
        <v>0</v>
      </c>
      <c r="U1517" t="b">
        <v>0</v>
      </c>
      <c r="V1517">
        <v>0</v>
      </c>
      <c r="Y1517">
        <v>0</v>
      </c>
      <c r="Z1517">
        <v>120</v>
      </c>
      <c r="AA1517">
        <v>0</v>
      </c>
      <c r="AB1517">
        <v>0</v>
      </c>
      <c r="AC1517">
        <v>0</v>
      </c>
      <c r="AD1517">
        <v>0</v>
      </c>
      <c r="AE1517">
        <v>0</v>
      </c>
      <c r="AF1517" t="b">
        <v>0</v>
      </c>
    </row>
    <row r="1518" spans="1:35" x14ac:dyDescent="0.3">
      <c r="A1518" t="s">
        <v>3077</v>
      </c>
      <c r="B1518" t="s">
        <v>2800</v>
      </c>
      <c r="C1518" t="s">
        <v>479</v>
      </c>
      <c r="D1518">
        <v>80</v>
      </c>
      <c r="E1518">
        <v>839</v>
      </c>
      <c r="F1518">
        <v>5</v>
      </c>
      <c r="G1518">
        <v>120</v>
      </c>
      <c r="H1518">
        <v>60</v>
      </c>
      <c r="I1518">
        <v>1</v>
      </c>
      <c r="J1518">
        <v>1</v>
      </c>
      <c r="K1518" t="s">
        <v>86</v>
      </c>
      <c r="P1518">
        <v>0</v>
      </c>
      <c r="R1518">
        <v>0</v>
      </c>
      <c r="T1518">
        <v>0</v>
      </c>
      <c r="U1518" t="b">
        <v>0</v>
      </c>
      <c r="V1518">
        <v>0.88235294117647056</v>
      </c>
      <c r="Y1518">
        <v>0</v>
      </c>
      <c r="Z1518">
        <v>19</v>
      </c>
      <c r="AA1518">
        <v>1.23809523809523E-2</v>
      </c>
      <c r="AB1518">
        <v>1.9548872180451129</v>
      </c>
      <c r="AC1518">
        <v>4.54545454545454E-2</v>
      </c>
      <c r="AD1518">
        <v>0</v>
      </c>
      <c r="AE1518">
        <v>0</v>
      </c>
      <c r="AF1518" t="b">
        <v>0</v>
      </c>
    </row>
    <row r="1519" spans="1:35" x14ac:dyDescent="0.3">
      <c r="A1519" t="s">
        <v>3078</v>
      </c>
      <c r="B1519" t="s">
        <v>3076</v>
      </c>
      <c r="C1519" t="s">
        <v>479</v>
      </c>
      <c r="D1519">
        <v>164</v>
      </c>
      <c r="E1519">
        <v>806</v>
      </c>
      <c r="F1519">
        <v>17</v>
      </c>
      <c r="G1519">
        <v>360</v>
      </c>
      <c r="H1519">
        <v>60</v>
      </c>
      <c r="I1519">
        <v>1</v>
      </c>
      <c r="J1519">
        <v>1</v>
      </c>
      <c r="K1519" t="s">
        <v>86</v>
      </c>
      <c r="P1519">
        <v>0</v>
      </c>
      <c r="R1519">
        <v>0</v>
      </c>
      <c r="T1519">
        <v>0</v>
      </c>
      <c r="U1519" t="b">
        <v>0</v>
      </c>
      <c r="Y1519">
        <v>0</v>
      </c>
      <c r="Z1519">
        <v>16</v>
      </c>
      <c r="AA1519">
        <v>0</v>
      </c>
      <c r="AB1519">
        <v>0</v>
      </c>
      <c r="AE1519">
        <v>0</v>
      </c>
      <c r="AF1519" t="b">
        <v>0</v>
      </c>
    </row>
    <row r="1520" spans="1:35" x14ac:dyDescent="0.3">
      <c r="A1520" t="s">
        <v>3079</v>
      </c>
      <c r="B1520" t="s">
        <v>3080</v>
      </c>
      <c r="C1520" t="s">
        <v>479</v>
      </c>
      <c r="D1520">
        <v>3259</v>
      </c>
      <c r="E1520">
        <v>75058</v>
      </c>
      <c r="F1520">
        <v>24</v>
      </c>
      <c r="G1520">
        <v>60</v>
      </c>
      <c r="H1520">
        <v>60</v>
      </c>
      <c r="I1520">
        <v>1</v>
      </c>
      <c r="J1520">
        <v>1</v>
      </c>
      <c r="K1520" t="s">
        <v>86</v>
      </c>
      <c r="P1520">
        <v>0</v>
      </c>
      <c r="R1520">
        <v>0</v>
      </c>
      <c r="T1520">
        <v>1</v>
      </c>
      <c r="U1520" t="b">
        <v>1</v>
      </c>
      <c r="V1520">
        <v>9.0247249305134716</v>
      </c>
      <c r="W1520">
        <v>1.8099550800137689</v>
      </c>
      <c r="X1520" t="b">
        <v>1</v>
      </c>
      <c r="Y1520">
        <v>0</v>
      </c>
      <c r="Z1520">
        <v>1721</v>
      </c>
      <c r="AA1520">
        <v>1.5798271040081201E-2</v>
      </c>
      <c r="AB1520">
        <v>1.5774502934370169</v>
      </c>
      <c r="AC1520">
        <v>-1.40152585626658E-2</v>
      </c>
      <c r="AD1520">
        <v>4.2396422941207997E-2</v>
      </c>
      <c r="AE1520">
        <v>1</v>
      </c>
      <c r="AF1520" t="b">
        <v>1</v>
      </c>
      <c r="AG1520">
        <v>-6.1891187741629E-3</v>
      </c>
      <c r="AH1520">
        <v>-0.51169964116857936</v>
      </c>
      <c r="AI1520" t="b">
        <v>1</v>
      </c>
    </row>
    <row r="1521" spans="1:32" x14ac:dyDescent="0.3">
      <c r="A1521" t="s">
        <v>3081</v>
      </c>
      <c r="B1521" t="s">
        <v>3082</v>
      </c>
      <c r="C1521" t="s">
        <v>479</v>
      </c>
      <c r="D1521">
        <v>328</v>
      </c>
      <c r="E1521">
        <v>4887</v>
      </c>
      <c r="F1521">
        <v>9</v>
      </c>
      <c r="G1521">
        <v>120</v>
      </c>
      <c r="H1521">
        <v>60</v>
      </c>
      <c r="I1521">
        <v>1</v>
      </c>
      <c r="J1521">
        <v>1</v>
      </c>
      <c r="K1521" t="s">
        <v>86</v>
      </c>
      <c r="P1521">
        <v>0</v>
      </c>
      <c r="R1521">
        <v>0</v>
      </c>
      <c r="T1521">
        <v>0</v>
      </c>
      <c r="U1521" t="b">
        <v>0</v>
      </c>
      <c r="V1521">
        <v>0</v>
      </c>
      <c r="Y1521">
        <v>0</v>
      </c>
      <c r="Z1521">
        <v>215</v>
      </c>
      <c r="AA1521">
        <v>0</v>
      </c>
      <c r="AB1521">
        <v>0</v>
      </c>
      <c r="AC1521">
        <v>0</v>
      </c>
      <c r="AD1521">
        <v>0</v>
      </c>
      <c r="AE1521">
        <v>0</v>
      </c>
      <c r="AF1521" t="b">
        <v>0</v>
      </c>
    </row>
    <row r="1522" spans="1:32" x14ac:dyDescent="0.3">
      <c r="A1522" t="s">
        <v>3083</v>
      </c>
      <c r="B1522" t="s">
        <v>2925</v>
      </c>
      <c r="C1522" t="s">
        <v>479</v>
      </c>
      <c r="D1522">
        <v>189</v>
      </c>
      <c r="E1522">
        <v>4612</v>
      </c>
      <c r="F1522">
        <v>17</v>
      </c>
      <c r="G1522">
        <v>60</v>
      </c>
      <c r="H1522">
        <v>60</v>
      </c>
      <c r="I1522">
        <v>1</v>
      </c>
      <c r="J1522">
        <v>1</v>
      </c>
      <c r="K1522" t="s">
        <v>86</v>
      </c>
      <c r="P1522">
        <v>0</v>
      </c>
      <c r="R1522">
        <v>0</v>
      </c>
      <c r="T1522">
        <v>0</v>
      </c>
      <c r="U1522" t="b">
        <v>0</v>
      </c>
      <c r="V1522">
        <v>8.8689167974882288</v>
      </c>
      <c r="Y1522">
        <v>0</v>
      </c>
      <c r="Z1522">
        <v>91</v>
      </c>
      <c r="AA1522">
        <v>3.91711873678115E-2</v>
      </c>
      <c r="AB1522">
        <v>5.2097685227937323</v>
      </c>
      <c r="AC1522">
        <v>6.7678885587909396E-2</v>
      </c>
      <c r="AD1522">
        <v>1.2129893932136799E-2</v>
      </c>
      <c r="AE1522">
        <v>0</v>
      </c>
      <c r="AF1522" t="b">
        <v>0</v>
      </c>
    </row>
    <row r="1523" spans="1:32" x14ac:dyDescent="0.3">
      <c r="A1523" t="s">
        <v>3084</v>
      </c>
      <c r="B1523" t="s">
        <v>3085</v>
      </c>
      <c r="C1523" t="s">
        <v>479</v>
      </c>
      <c r="D1523">
        <v>356</v>
      </c>
      <c r="E1523">
        <v>6968</v>
      </c>
      <c r="F1523">
        <v>6</v>
      </c>
      <c r="G1523">
        <v>60</v>
      </c>
      <c r="H1523">
        <v>60</v>
      </c>
      <c r="I1523">
        <v>1</v>
      </c>
      <c r="J1523">
        <v>1</v>
      </c>
      <c r="K1523" t="s">
        <v>432</v>
      </c>
      <c r="L1523">
        <v>0.20295529174033841</v>
      </c>
      <c r="M1523">
        <v>1</v>
      </c>
      <c r="N1523">
        <v>1</v>
      </c>
      <c r="O1523" t="s">
        <v>433</v>
      </c>
      <c r="P1523">
        <v>0</v>
      </c>
      <c r="R1523">
        <v>0</v>
      </c>
      <c r="T1523">
        <v>0</v>
      </c>
      <c r="U1523" t="b">
        <v>0</v>
      </c>
      <c r="V1523">
        <v>3.5555555555555558</v>
      </c>
      <c r="Y1523">
        <v>0</v>
      </c>
      <c r="Z1523">
        <v>239</v>
      </c>
      <c r="AA1523">
        <v>1.25235572307364E-2</v>
      </c>
      <c r="AB1523">
        <v>0.9017028996108496</v>
      </c>
      <c r="AC1523">
        <v>3.6622636772128E-3</v>
      </c>
      <c r="AD1523">
        <v>3.0262590680356902E-2</v>
      </c>
      <c r="AE1523">
        <v>0</v>
      </c>
      <c r="AF1523" t="b">
        <v>0</v>
      </c>
    </row>
    <row r="1524" spans="1:32" x14ac:dyDescent="0.3">
      <c r="A1524" t="s">
        <v>3086</v>
      </c>
      <c r="B1524" t="s">
        <v>3087</v>
      </c>
      <c r="C1524" t="s">
        <v>479</v>
      </c>
      <c r="D1524">
        <v>72</v>
      </c>
      <c r="E1524">
        <v>1808</v>
      </c>
      <c r="F1524">
        <v>15</v>
      </c>
      <c r="G1524">
        <v>120</v>
      </c>
      <c r="H1524">
        <v>60</v>
      </c>
      <c r="I1524">
        <v>1</v>
      </c>
      <c r="J1524">
        <v>1</v>
      </c>
      <c r="K1524" t="s">
        <v>86</v>
      </c>
      <c r="P1524">
        <v>0</v>
      </c>
      <c r="R1524">
        <v>0</v>
      </c>
      <c r="T1524">
        <v>0</v>
      </c>
      <c r="U1524" t="b">
        <v>0</v>
      </c>
      <c r="Y1524">
        <v>0</v>
      </c>
      <c r="Z1524">
        <v>6</v>
      </c>
      <c r="AA1524">
        <v>0</v>
      </c>
      <c r="AB1524">
        <v>0</v>
      </c>
      <c r="AE1524">
        <v>0</v>
      </c>
      <c r="AF1524" t="b">
        <v>0</v>
      </c>
    </row>
    <row r="1525" spans="1:32" x14ac:dyDescent="0.3">
      <c r="A1525" t="s">
        <v>3088</v>
      </c>
      <c r="B1525" t="s">
        <v>3089</v>
      </c>
      <c r="C1525" t="s">
        <v>479</v>
      </c>
      <c r="D1525">
        <v>277</v>
      </c>
      <c r="E1525">
        <v>7253</v>
      </c>
      <c r="F1525">
        <v>12</v>
      </c>
      <c r="G1525">
        <v>60</v>
      </c>
      <c r="H1525">
        <v>60</v>
      </c>
      <c r="I1525">
        <v>1</v>
      </c>
      <c r="J1525">
        <v>1</v>
      </c>
      <c r="K1525" t="s">
        <v>86</v>
      </c>
      <c r="P1525">
        <v>0</v>
      </c>
      <c r="R1525">
        <v>0</v>
      </c>
      <c r="T1525">
        <v>0</v>
      </c>
      <c r="U1525" t="b">
        <v>0</v>
      </c>
      <c r="V1525">
        <v>8.4969325153374236</v>
      </c>
      <c r="Y1525">
        <v>0</v>
      </c>
      <c r="Z1525">
        <v>262</v>
      </c>
      <c r="AA1525">
        <v>3.7798308569874803E-2</v>
      </c>
      <c r="AB1525">
        <v>3.03198836786623</v>
      </c>
      <c r="AC1525">
        <v>1.7716272753675499E-2</v>
      </c>
      <c r="AD1525">
        <v>6.0121419228995401E-2</v>
      </c>
      <c r="AE1525">
        <v>0</v>
      </c>
      <c r="AF1525" t="b">
        <v>0</v>
      </c>
    </row>
    <row r="1526" spans="1:32" x14ac:dyDescent="0.3">
      <c r="A1526" t="s">
        <v>3090</v>
      </c>
      <c r="B1526" t="s">
        <v>3091</v>
      </c>
      <c r="C1526" t="s">
        <v>479</v>
      </c>
      <c r="D1526">
        <v>2083</v>
      </c>
      <c r="E1526">
        <v>32361</v>
      </c>
      <c r="F1526">
        <v>16</v>
      </c>
      <c r="G1526">
        <v>60</v>
      </c>
      <c r="H1526">
        <v>60</v>
      </c>
      <c r="I1526">
        <v>1</v>
      </c>
      <c r="J1526">
        <v>1</v>
      </c>
      <c r="K1526" t="s">
        <v>432</v>
      </c>
      <c r="L1526">
        <v>0.7401515348764548</v>
      </c>
      <c r="M1526">
        <v>1</v>
      </c>
      <c r="N1526">
        <v>1</v>
      </c>
      <c r="O1526" t="s">
        <v>433</v>
      </c>
      <c r="P1526">
        <v>0</v>
      </c>
      <c r="R1526">
        <v>0</v>
      </c>
      <c r="T1526">
        <v>0</v>
      </c>
      <c r="U1526" t="b">
        <v>0</v>
      </c>
      <c r="V1526">
        <v>14.214816516816519</v>
      </c>
      <c r="Y1526">
        <v>0</v>
      </c>
      <c r="Z1526">
        <v>769</v>
      </c>
      <c r="AA1526">
        <v>-1.27625019471746E-2</v>
      </c>
      <c r="AB1526">
        <v>-1.196565019410287</v>
      </c>
      <c r="AC1526">
        <v>-7.1763364864932302E-2</v>
      </c>
      <c r="AD1526">
        <v>5.6416622505669298E-2</v>
      </c>
      <c r="AE1526">
        <v>0</v>
      </c>
      <c r="AF1526" t="b">
        <v>0</v>
      </c>
    </row>
    <row r="1527" spans="1:32" x14ac:dyDescent="0.3">
      <c r="A1527" t="s">
        <v>3092</v>
      </c>
      <c r="B1527" t="s">
        <v>3093</v>
      </c>
      <c r="C1527" t="s">
        <v>479</v>
      </c>
      <c r="D1527">
        <v>50</v>
      </c>
      <c r="E1527">
        <v>975</v>
      </c>
      <c r="F1527">
        <v>5</v>
      </c>
      <c r="G1527">
        <v>60</v>
      </c>
      <c r="H1527">
        <v>60</v>
      </c>
      <c r="I1527">
        <v>1</v>
      </c>
      <c r="J1527">
        <v>1</v>
      </c>
      <c r="K1527" t="s">
        <v>86</v>
      </c>
      <c r="P1527">
        <v>0</v>
      </c>
      <c r="R1527">
        <v>0</v>
      </c>
      <c r="T1527">
        <v>0</v>
      </c>
      <c r="U1527" t="b">
        <v>0</v>
      </c>
      <c r="Y1527">
        <v>0</v>
      </c>
      <c r="Z1527">
        <v>76</v>
      </c>
      <c r="AA1527">
        <v>0</v>
      </c>
      <c r="AB1527">
        <v>0</v>
      </c>
      <c r="AD1527">
        <v>0</v>
      </c>
      <c r="AE1527">
        <v>0</v>
      </c>
      <c r="AF1527" t="b">
        <v>0</v>
      </c>
    </row>
    <row r="1528" spans="1:32" x14ac:dyDescent="0.3">
      <c r="A1528" t="s">
        <v>3094</v>
      </c>
      <c r="B1528" t="s">
        <v>3095</v>
      </c>
      <c r="C1528" t="s">
        <v>479</v>
      </c>
      <c r="D1528">
        <v>947</v>
      </c>
      <c r="E1528">
        <v>19131</v>
      </c>
      <c r="F1528">
        <v>59</v>
      </c>
      <c r="G1528">
        <v>60</v>
      </c>
      <c r="H1528">
        <v>1</v>
      </c>
      <c r="I1528">
        <v>0.98410956039935182</v>
      </c>
      <c r="J1528">
        <v>0.93158543523610837</v>
      </c>
      <c r="K1528" t="s">
        <v>86</v>
      </c>
      <c r="P1528">
        <v>0</v>
      </c>
      <c r="R1528">
        <v>0</v>
      </c>
      <c r="T1528">
        <v>0</v>
      </c>
      <c r="U1528" t="b">
        <v>0</v>
      </c>
      <c r="V1528">
        <v>0.8656060606060606</v>
      </c>
      <c r="Y1528">
        <v>0</v>
      </c>
      <c r="Z1528">
        <v>657</v>
      </c>
      <c r="AA1528">
        <v>-3.0958754918156001E-3</v>
      </c>
      <c r="AB1528">
        <v>-0.2871506981096022</v>
      </c>
      <c r="AC1528">
        <v>-1.00320470608894E-2</v>
      </c>
      <c r="AD1528">
        <v>0</v>
      </c>
      <c r="AE1528">
        <v>0</v>
      </c>
      <c r="AF1528" t="b">
        <v>0</v>
      </c>
    </row>
    <row r="1529" spans="1:32" x14ac:dyDescent="0.3">
      <c r="A1529" t="s">
        <v>3096</v>
      </c>
      <c r="B1529" t="s">
        <v>3097</v>
      </c>
      <c r="C1529" t="s">
        <v>479</v>
      </c>
      <c r="D1529">
        <v>1091</v>
      </c>
      <c r="E1529">
        <v>21324</v>
      </c>
      <c r="F1529">
        <v>15</v>
      </c>
      <c r="G1529">
        <v>60</v>
      </c>
      <c r="H1529">
        <v>60</v>
      </c>
      <c r="I1529">
        <v>1</v>
      </c>
      <c r="J1529">
        <v>1</v>
      </c>
      <c r="K1529" t="s">
        <v>86</v>
      </c>
      <c r="P1529">
        <v>0</v>
      </c>
      <c r="R1529">
        <v>0</v>
      </c>
      <c r="T1529">
        <v>0</v>
      </c>
      <c r="U1529" t="b">
        <v>0</v>
      </c>
      <c r="V1529">
        <v>2.36616385684708E-2</v>
      </c>
      <c r="Y1529">
        <v>0</v>
      </c>
      <c r="Z1529">
        <v>618</v>
      </c>
      <c r="AA1529">
        <v>2.439212961757982E-19</v>
      </c>
      <c r="AB1529">
        <v>2.2994910542398072E-17</v>
      </c>
      <c r="AC1529">
        <v>-3.2180377525366861E-19</v>
      </c>
      <c r="AD1529">
        <v>0</v>
      </c>
      <c r="AE1529">
        <v>0</v>
      </c>
      <c r="AF1529" t="b">
        <v>0</v>
      </c>
    </row>
    <row r="1530" spans="1:32" x14ac:dyDescent="0.3">
      <c r="A1530" t="s">
        <v>3098</v>
      </c>
      <c r="B1530" t="s">
        <v>3099</v>
      </c>
      <c r="C1530" t="s">
        <v>479</v>
      </c>
      <c r="D1530">
        <v>1929</v>
      </c>
      <c r="E1530">
        <v>44611</v>
      </c>
      <c r="F1530">
        <v>566</v>
      </c>
      <c r="G1530">
        <v>76</v>
      </c>
      <c r="H1530">
        <v>1</v>
      </c>
      <c r="I1530">
        <v>8.1459729663087496E-2</v>
      </c>
      <c r="J1530">
        <v>0.33810321859825532</v>
      </c>
      <c r="K1530" t="s">
        <v>86</v>
      </c>
      <c r="P1530">
        <v>0</v>
      </c>
      <c r="R1530">
        <v>0</v>
      </c>
      <c r="T1530">
        <v>0</v>
      </c>
      <c r="U1530" t="b">
        <v>0</v>
      </c>
      <c r="V1530">
        <v>7.1110360906489678</v>
      </c>
      <c r="Y1530">
        <v>0</v>
      </c>
      <c r="Z1530">
        <v>1073</v>
      </c>
      <c r="AA1530">
        <v>8.8292160265370304E-2</v>
      </c>
      <c r="AB1530">
        <v>7.152687029343455</v>
      </c>
      <c r="AC1530">
        <v>6.1913341460189203E-2</v>
      </c>
      <c r="AD1530">
        <v>0.1183291600861593</v>
      </c>
      <c r="AE1530">
        <v>0</v>
      </c>
      <c r="AF1530" t="b">
        <v>0</v>
      </c>
    </row>
    <row r="1531" spans="1:32" x14ac:dyDescent="0.3">
      <c r="A1531" t="s">
        <v>3100</v>
      </c>
      <c r="B1531" t="s">
        <v>3101</v>
      </c>
      <c r="C1531" t="s">
        <v>479</v>
      </c>
      <c r="D1531">
        <v>334</v>
      </c>
      <c r="E1531">
        <v>3013</v>
      </c>
      <c r="F1531">
        <v>13</v>
      </c>
      <c r="G1531">
        <v>60</v>
      </c>
      <c r="H1531">
        <v>60</v>
      </c>
      <c r="I1531">
        <v>0.98406903418519742</v>
      </c>
      <c r="J1531">
        <v>0.99282939946220483</v>
      </c>
      <c r="K1531" t="s">
        <v>86</v>
      </c>
      <c r="P1531">
        <v>0</v>
      </c>
      <c r="R1531">
        <v>0</v>
      </c>
      <c r="T1531">
        <v>0</v>
      </c>
      <c r="U1531" t="b">
        <v>0</v>
      </c>
      <c r="V1531">
        <v>0</v>
      </c>
      <c r="Y1531">
        <v>0</v>
      </c>
      <c r="Z1531">
        <v>172</v>
      </c>
      <c r="AA1531">
        <v>1.4471780028943E-3</v>
      </c>
      <c r="AB1531">
        <v>0.1245847176079736</v>
      </c>
      <c r="AC1531">
        <v>1.2853470437018E-2</v>
      </c>
      <c r="AD1531">
        <v>1.2853470437018E-2</v>
      </c>
      <c r="AE1531">
        <v>0</v>
      </c>
      <c r="AF1531" t="b">
        <v>0</v>
      </c>
    </row>
    <row r="1532" spans="1:32" x14ac:dyDescent="0.3">
      <c r="A1532" t="s">
        <v>3102</v>
      </c>
      <c r="B1532" t="s">
        <v>3103</v>
      </c>
      <c r="C1532" t="s">
        <v>479</v>
      </c>
      <c r="D1532">
        <v>54</v>
      </c>
      <c r="E1532">
        <v>54</v>
      </c>
      <c r="F1532">
        <v>1</v>
      </c>
      <c r="G1532">
        <v>1200</v>
      </c>
      <c r="I1532">
        <v>1</v>
      </c>
      <c r="J1532">
        <v>1</v>
      </c>
      <c r="K1532" t="s">
        <v>86</v>
      </c>
      <c r="P1532">
        <v>0</v>
      </c>
      <c r="R1532">
        <v>0</v>
      </c>
      <c r="T1532">
        <v>0</v>
      </c>
      <c r="U1532" t="b">
        <v>0</v>
      </c>
      <c r="V1532">
        <v>0</v>
      </c>
      <c r="Y1532">
        <v>0</v>
      </c>
      <c r="Z1532">
        <v>2</v>
      </c>
      <c r="AA1532">
        <v>0</v>
      </c>
      <c r="AB1532">
        <v>0</v>
      </c>
      <c r="AC1532">
        <v>0</v>
      </c>
      <c r="AD1532">
        <v>0</v>
      </c>
      <c r="AE1532">
        <v>0</v>
      </c>
      <c r="AF1532" t="b">
        <v>0</v>
      </c>
    </row>
    <row r="1533" spans="1:32" x14ac:dyDescent="0.3">
      <c r="A1533" t="s">
        <v>3104</v>
      </c>
      <c r="B1533" t="s">
        <v>3105</v>
      </c>
      <c r="C1533" t="s">
        <v>479</v>
      </c>
      <c r="D1533">
        <v>975</v>
      </c>
      <c r="E1533">
        <v>27187</v>
      </c>
      <c r="F1533">
        <v>333</v>
      </c>
      <c r="G1533">
        <v>58</v>
      </c>
      <c r="H1533">
        <v>1</v>
      </c>
      <c r="I1533">
        <v>4.3072056497590702E-2</v>
      </c>
      <c r="J1533">
        <v>0.28069739365101909</v>
      </c>
      <c r="K1533" t="s">
        <v>432</v>
      </c>
      <c r="L1533">
        <v>0.73251189546197004</v>
      </c>
      <c r="M1533">
        <v>1</v>
      </c>
      <c r="N1533">
        <v>1.8032866353192099E-2</v>
      </c>
      <c r="O1533" t="s">
        <v>433</v>
      </c>
      <c r="P1533">
        <v>20257</v>
      </c>
      <c r="Q1533">
        <v>0.8101397047934048</v>
      </c>
      <c r="R1533">
        <v>0</v>
      </c>
      <c r="T1533">
        <v>0</v>
      </c>
      <c r="U1533" t="b">
        <v>0</v>
      </c>
      <c r="V1533">
        <v>8.3006715506715505</v>
      </c>
      <c r="Y1533">
        <v>0</v>
      </c>
      <c r="Z1533">
        <v>733</v>
      </c>
      <c r="AA1533">
        <v>0.1044918007114717</v>
      </c>
      <c r="AB1533">
        <v>6.6821728020411069</v>
      </c>
      <c r="AC1533">
        <v>7.5218644604303206E-2</v>
      </c>
      <c r="AD1533">
        <v>0.15000540214094649</v>
      </c>
      <c r="AE1533">
        <v>0</v>
      </c>
      <c r="AF1533" t="b">
        <v>0</v>
      </c>
    </row>
    <row r="1534" spans="1:32" x14ac:dyDescent="0.3">
      <c r="A1534" t="s">
        <v>3106</v>
      </c>
      <c r="B1534" t="s">
        <v>3107</v>
      </c>
      <c r="C1534" t="s">
        <v>479</v>
      </c>
      <c r="D1534">
        <v>193</v>
      </c>
      <c r="E1534">
        <v>2337</v>
      </c>
      <c r="F1534">
        <v>13</v>
      </c>
      <c r="G1534">
        <v>120</v>
      </c>
      <c r="H1534">
        <v>60</v>
      </c>
      <c r="I1534">
        <v>1</v>
      </c>
      <c r="J1534">
        <v>1</v>
      </c>
      <c r="K1534" t="s">
        <v>86</v>
      </c>
      <c r="P1534">
        <v>0</v>
      </c>
      <c r="R1534">
        <v>0</v>
      </c>
      <c r="T1534">
        <v>0</v>
      </c>
      <c r="U1534" t="b">
        <v>0</v>
      </c>
      <c r="Y1534">
        <v>0</v>
      </c>
      <c r="Z1534">
        <v>57</v>
      </c>
      <c r="AA1534">
        <v>-2.6047565118912701E-2</v>
      </c>
      <c r="AB1534">
        <v>-4.0350877192982457</v>
      </c>
      <c r="AD1534">
        <v>1.66112956810631E-2</v>
      </c>
      <c r="AE1534">
        <v>0</v>
      </c>
      <c r="AF1534" t="b">
        <v>0</v>
      </c>
    </row>
    <row r="1535" spans="1:32" x14ac:dyDescent="0.3">
      <c r="A1535" t="s">
        <v>3108</v>
      </c>
      <c r="B1535" t="s">
        <v>3107</v>
      </c>
      <c r="C1535" t="s">
        <v>479</v>
      </c>
      <c r="D1535">
        <v>204</v>
      </c>
      <c r="E1535">
        <v>4705</v>
      </c>
      <c r="F1535">
        <v>7</v>
      </c>
      <c r="G1535">
        <v>60</v>
      </c>
      <c r="H1535">
        <v>60</v>
      </c>
      <c r="I1535">
        <v>1</v>
      </c>
      <c r="J1535">
        <v>1</v>
      </c>
      <c r="K1535" t="s">
        <v>86</v>
      </c>
      <c r="P1535">
        <v>0</v>
      </c>
      <c r="R1535">
        <v>0</v>
      </c>
      <c r="T1535">
        <v>0</v>
      </c>
      <c r="U1535" t="b">
        <v>0</v>
      </c>
      <c r="V1535">
        <v>10.522388059701489</v>
      </c>
      <c r="Y1535">
        <v>0</v>
      </c>
      <c r="Z1535">
        <v>218</v>
      </c>
      <c r="AA1535">
        <v>1.4783948278909999E-2</v>
      </c>
      <c r="AB1535">
        <v>1.278724333770205</v>
      </c>
      <c r="AC1535">
        <v>-1.15574275734538E-2</v>
      </c>
      <c r="AD1535">
        <v>5.6696573343422298E-2</v>
      </c>
      <c r="AE1535">
        <v>0</v>
      </c>
      <c r="AF1535" t="b">
        <v>0</v>
      </c>
    </row>
    <row r="1536" spans="1:32" x14ac:dyDescent="0.3">
      <c r="A1536" t="s">
        <v>3109</v>
      </c>
      <c r="B1536" t="s">
        <v>3110</v>
      </c>
      <c r="C1536" t="s">
        <v>479</v>
      </c>
      <c r="D1536">
        <v>349</v>
      </c>
      <c r="E1536">
        <v>2483</v>
      </c>
      <c r="F1536">
        <v>30</v>
      </c>
      <c r="G1536">
        <v>120</v>
      </c>
      <c r="H1536">
        <v>60</v>
      </c>
      <c r="I1536">
        <v>0.99959726137736604</v>
      </c>
      <c r="J1536">
        <v>1</v>
      </c>
      <c r="K1536" t="s">
        <v>86</v>
      </c>
      <c r="P1536">
        <v>0</v>
      </c>
      <c r="R1536">
        <v>0</v>
      </c>
      <c r="T1536">
        <v>0</v>
      </c>
      <c r="U1536" t="b">
        <v>0</v>
      </c>
      <c r="V1536">
        <v>58.8</v>
      </c>
      <c r="Y1536">
        <v>0</v>
      </c>
      <c r="Z1536">
        <v>10</v>
      </c>
      <c r="AA1536">
        <v>-8.9041095890410898E-2</v>
      </c>
      <c r="AB1536">
        <v>-13</v>
      </c>
      <c r="AC1536">
        <v>-0.13207547169811321</v>
      </c>
      <c r="AD1536">
        <v>-1.3698630136986301E-2</v>
      </c>
      <c r="AE1536">
        <v>0</v>
      </c>
      <c r="AF1536" t="b">
        <v>0</v>
      </c>
    </row>
    <row r="1537" spans="1:35" x14ac:dyDescent="0.3">
      <c r="A1537" t="s">
        <v>3111</v>
      </c>
      <c r="B1537" t="s">
        <v>2921</v>
      </c>
      <c r="C1537" t="s">
        <v>479</v>
      </c>
      <c r="D1537">
        <v>2962</v>
      </c>
      <c r="E1537">
        <v>67920</v>
      </c>
      <c r="F1537">
        <v>229</v>
      </c>
      <c r="G1537">
        <v>73</v>
      </c>
      <c r="H1537">
        <v>1</v>
      </c>
      <c r="I1537">
        <v>0.1167697290930506</v>
      </c>
      <c r="J1537">
        <v>0.35860021565305061</v>
      </c>
      <c r="K1537" t="s">
        <v>86</v>
      </c>
      <c r="P1537">
        <v>0</v>
      </c>
      <c r="R1537">
        <v>0</v>
      </c>
      <c r="T1537">
        <v>1</v>
      </c>
      <c r="U1537" t="b">
        <v>1</v>
      </c>
      <c r="V1537">
        <v>6.6181088701992064</v>
      </c>
      <c r="W1537">
        <v>1.7792216847265221</v>
      </c>
      <c r="X1537" t="b">
        <v>1</v>
      </c>
      <c r="Y1537">
        <v>0</v>
      </c>
      <c r="Z1537">
        <v>1166</v>
      </c>
      <c r="AA1537">
        <v>3.5100777288520901E-2</v>
      </c>
      <c r="AB1537">
        <v>2.9492711023004108</v>
      </c>
      <c r="AC1537">
        <v>4.6720311640652996E-3</v>
      </c>
      <c r="AD1537">
        <v>6.6187483575512199E-2</v>
      </c>
      <c r="AE1537">
        <v>1</v>
      </c>
      <c r="AF1537" t="b">
        <v>1</v>
      </c>
      <c r="AG1537">
        <v>1.1426915741453001E-2</v>
      </c>
      <c r="AH1537">
        <v>1.1998261528525651</v>
      </c>
      <c r="AI1537" t="b">
        <v>1</v>
      </c>
    </row>
    <row r="1538" spans="1:35" x14ac:dyDescent="0.3">
      <c r="A1538" t="s">
        <v>3112</v>
      </c>
      <c r="B1538" t="s">
        <v>2921</v>
      </c>
      <c r="C1538" t="s">
        <v>479</v>
      </c>
      <c r="D1538">
        <v>563</v>
      </c>
      <c r="E1538">
        <v>8648</v>
      </c>
      <c r="F1538">
        <v>24</v>
      </c>
      <c r="G1538">
        <v>60</v>
      </c>
      <c r="H1538">
        <v>60</v>
      </c>
      <c r="I1538">
        <v>1</v>
      </c>
      <c r="J1538">
        <v>1</v>
      </c>
      <c r="K1538" t="s">
        <v>86</v>
      </c>
      <c r="P1538">
        <v>0</v>
      </c>
      <c r="R1538">
        <v>0</v>
      </c>
      <c r="T1538">
        <v>0</v>
      </c>
      <c r="U1538" t="b">
        <v>0</v>
      </c>
      <c r="V1538">
        <v>3.7180059523809521</v>
      </c>
      <c r="Y1538">
        <v>0</v>
      </c>
      <c r="Z1538">
        <v>192</v>
      </c>
      <c r="AA1538">
        <v>7.6487722748673895E-2</v>
      </c>
      <c r="AB1538">
        <v>6.3660094246031749</v>
      </c>
      <c r="AC1538">
        <v>8.4624392001441104E-2</v>
      </c>
      <c r="AD1538">
        <v>6.8022528160200199E-2</v>
      </c>
      <c r="AE1538">
        <v>0</v>
      </c>
      <c r="AF1538" t="b">
        <v>0</v>
      </c>
    </row>
    <row r="1539" spans="1:35" x14ac:dyDescent="0.3">
      <c r="A1539" t="s">
        <v>3113</v>
      </c>
      <c r="B1539" t="s">
        <v>3114</v>
      </c>
      <c r="C1539" t="s">
        <v>479</v>
      </c>
      <c r="D1539">
        <v>2383</v>
      </c>
      <c r="E1539">
        <v>55249</v>
      </c>
      <c r="F1539">
        <v>26</v>
      </c>
      <c r="G1539">
        <v>60</v>
      </c>
      <c r="H1539">
        <v>60</v>
      </c>
      <c r="I1539">
        <v>1</v>
      </c>
      <c r="J1539">
        <v>1</v>
      </c>
      <c r="K1539" t="s">
        <v>86</v>
      </c>
      <c r="P1539">
        <v>0</v>
      </c>
      <c r="R1539">
        <v>0</v>
      </c>
      <c r="T1539">
        <v>1</v>
      </c>
      <c r="U1539" t="b">
        <v>1</v>
      </c>
      <c r="V1539">
        <v>11.28880099803261</v>
      </c>
      <c r="W1539">
        <v>5.1607767232767223</v>
      </c>
      <c r="X1539" t="b">
        <v>1</v>
      </c>
      <c r="Y1539">
        <v>0</v>
      </c>
      <c r="Z1539">
        <v>1142</v>
      </c>
      <c r="AA1539">
        <v>9.7790002442974006E-2</v>
      </c>
      <c r="AB1539">
        <v>9.2255698212106676</v>
      </c>
      <c r="AC1539">
        <v>7.4952029596388095E-2</v>
      </c>
      <c r="AD1539">
        <v>0.1205179105516407</v>
      </c>
      <c r="AE1539">
        <v>1</v>
      </c>
      <c r="AF1539" t="b">
        <v>1</v>
      </c>
      <c r="AG1539">
        <v>6.6144078644505E-3</v>
      </c>
      <c r="AH1539">
        <v>0.65782353214418432</v>
      </c>
      <c r="AI1539" t="b">
        <v>1</v>
      </c>
    </row>
    <row r="1540" spans="1:35" x14ac:dyDescent="0.3">
      <c r="A1540" t="s">
        <v>3115</v>
      </c>
      <c r="B1540" t="s">
        <v>3116</v>
      </c>
      <c r="C1540" t="s">
        <v>479</v>
      </c>
      <c r="D1540">
        <v>792</v>
      </c>
      <c r="E1540">
        <v>14562</v>
      </c>
      <c r="F1540">
        <v>12</v>
      </c>
      <c r="G1540">
        <v>60</v>
      </c>
      <c r="H1540">
        <v>60</v>
      </c>
      <c r="I1540">
        <v>1</v>
      </c>
      <c r="J1540">
        <v>1</v>
      </c>
      <c r="K1540" t="s">
        <v>86</v>
      </c>
      <c r="P1540">
        <v>0</v>
      </c>
      <c r="R1540">
        <v>0</v>
      </c>
      <c r="T1540">
        <v>0</v>
      </c>
      <c r="U1540" t="b">
        <v>0</v>
      </c>
      <c r="V1540">
        <v>0.49532710280373832</v>
      </c>
      <c r="Y1540">
        <v>0</v>
      </c>
      <c r="Z1540">
        <v>284</v>
      </c>
      <c r="AA1540">
        <v>-1.6868654259479999E-4</v>
      </c>
      <c r="AB1540">
        <v>-1.45875251509054E-2</v>
      </c>
      <c r="AC1540">
        <v>2.4402869185831001E-3</v>
      </c>
      <c r="AD1540">
        <v>-1.7133618089238999E-3</v>
      </c>
      <c r="AE1540">
        <v>0</v>
      </c>
      <c r="AF1540" t="b">
        <v>0</v>
      </c>
    </row>
    <row r="1541" spans="1:35" x14ac:dyDescent="0.3">
      <c r="A1541" t="s">
        <v>3117</v>
      </c>
      <c r="B1541" t="s">
        <v>3118</v>
      </c>
      <c r="C1541" t="s">
        <v>479</v>
      </c>
      <c r="D1541">
        <v>70</v>
      </c>
      <c r="E1541">
        <v>1466</v>
      </c>
      <c r="F1541">
        <v>4</v>
      </c>
      <c r="G1541">
        <v>60</v>
      </c>
      <c r="H1541">
        <v>60</v>
      </c>
      <c r="I1541">
        <v>1</v>
      </c>
      <c r="J1541">
        <v>1</v>
      </c>
      <c r="K1541" t="s">
        <v>86</v>
      </c>
      <c r="P1541">
        <v>0</v>
      </c>
      <c r="R1541">
        <v>0</v>
      </c>
      <c r="T1541">
        <v>0</v>
      </c>
      <c r="U1541" t="b">
        <v>0</v>
      </c>
      <c r="Y1541">
        <v>0</v>
      </c>
      <c r="Z1541">
        <v>81</v>
      </c>
      <c r="AA1541">
        <v>0</v>
      </c>
      <c r="AB1541">
        <v>0</v>
      </c>
      <c r="AE1541">
        <v>0</v>
      </c>
      <c r="AF1541" t="b">
        <v>0</v>
      </c>
    </row>
    <row r="1542" spans="1:35" x14ac:dyDescent="0.3">
      <c r="A1542" t="s">
        <v>3119</v>
      </c>
      <c r="B1542" t="s">
        <v>3062</v>
      </c>
      <c r="C1542" t="s">
        <v>479</v>
      </c>
      <c r="D1542">
        <v>79</v>
      </c>
      <c r="E1542">
        <v>1265</v>
      </c>
      <c r="F1542">
        <v>5</v>
      </c>
      <c r="G1542">
        <v>120</v>
      </c>
      <c r="H1542">
        <v>60</v>
      </c>
      <c r="I1542">
        <v>1</v>
      </c>
      <c r="J1542">
        <v>1</v>
      </c>
      <c r="K1542" t="s">
        <v>86</v>
      </c>
      <c r="P1542">
        <v>0</v>
      </c>
      <c r="R1542">
        <v>0</v>
      </c>
      <c r="T1542">
        <v>0</v>
      </c>
      <c r="U1542" t="b">
        <v>0</v>
      </c>
      <c r="Y1542">
        <v>0</v>
      </c>
      <c r="Z1542">
        <v>63</v>
      </c>
      <c r="AA1542">
        <v>0</v>
      </c>
      <c r="AB1542">
        <v>0</v>
      </c>
      <c r="AE1542">
        <v>0</v>
      </c>
      <c r="AF1542" t="b">
        <v>0</v>
      </c>
    </row>
    <row r="1543" spans="1:35" x14ac:dyDescent="0.3">
      <c r="A1543" t="s">
        <v>3120</v>
      </c>
      <c r="B1543" t="s">
        <v>3121</v>
      </c>
      <c r="C1543" t="s">
        <v>479</v>
      </c>
      <c r="D1543">
        <v>964</v>
      </c>
      <c r="E1543">
        <v>25712</v>
      </c>
      <c r="F1543">
        <v>15</v>
      </c>
      <c r="G1543">
        <v>60</v>
      </c>
      <c r="H1543">
        <v>60</v>
      </c>
      <c r="I1543">
        <v>1</v>
      </c>
      <c r="J1543">
        <v>1</v>
      </c>
      <c r="K1543" t="s">
        <v>86</v>
      </c>
      <c r="P1543">
        <v>0</v>
      </c>
      <c r="R1543">
        <v>0</v>
      </c>
      <c r="T1543">
        <v>0</v>
      </c>
      <c r="U1543" t="b">
        <v>0</v>
      </c>
      <c r="V1543">
        <v>6.2002232568270301</v>
      </c>
      <c r="Y1543">
        <v>0</v>
      </c>
      <c r="Z1543">
        <v>737</v>
      </c>
      <c r="AA1543">
        <v>4.2566233058882297E-2</v>
      </c>
      <c r="AB1543">
        <v>3.6076305792301531</v>
      </c>
      <c r="AC1543">
        <v>2.3475817746925101E-2</v>
      </c>
      <c r="AD1543">
        <v>5.8274676791951099E-2</v>
      </c>
      <c r="AE1543">
        <v>0</v>
      </c>
      <c r="AF1543" t="b">
        <v>0</v>
      </c>
    </row>
    <row r="1544" spans="1:35" x14ac:dyDescent="0.3">
      <c r="A1544" t="s">
        <v>3122</v>
      </c>
      <c r="B1544" t="s">
        <v>3121</v>
      </c>
      <c r="C1544" t="s">
        <v>479</v>
      </c>
      <c r="D1544">
        <v>7038</v>
      </c>
      <c r="E1544">
        <v>162497</v>
      </c>
      <c r="F1544">
        <v>287</v>
      </c>
      <c r="G1544">
        <v>60</v>
      </c>
      <c r="H1544">
        <v>1</v>
      </c>
      <c r="I1544">
        <v>0.68098487972085642</v>
      </c>
      <c r="J1544">
        <v>0.79481777417106236</v>
      </c>
      <c r="K1544" t="s">
        <v>86</v>
      </c>
      <c r="P1544">
        <v>0</v>
      </c>
      <c r="R1544">
        <v>0</v>
      </c>
      <c r="T1544">
        <v>1</v>
      </c>
      <c r="U1544" t="b">
        <v>1</v>
      </c>
      <c r="V1544">
        <v>5.6816743766661437</v>
      </c>
      <c r="W1544">
        <v>0.2398648648648648</v>
      </c>
      <c r="X1544" t="b">
        <v>1</v>
      </c>
      <c r="Y1544">
        <v>0</v>
      </c>
      <c r="Z1544">
        <v>5119</v>
      </c>
      <c r="AA1544">
        <v>2.4875433676442599E-2</v>
      </c>
      <c r="AB1544">
        <v>2.0770164491898599</v>
      </c>
      <c r="AC1544">
        <v>-1.8594006463620999E-3</v>
      </c>
      <c r="AD1544">
        <v>5.24452337728121E-2</v>
      </c>
      <c r="AE1544">
        <v>1</v>
      </c>
      <c r="AF1544" t="b">
        <v>1</v>
      </c>
      <c r="AG1544">
        <v>1.5659089309592001E-3</v>
      </c>
      <c r="AH1544">
        <v>0.1503378378378378</v>
      </c>
      <c r="AI1544" t="b">
        <v>1</v>
      </c>
    </row>
    <row r="1545" spans="1:35" x14ac:dyDescent="0.3">
      <c r="A1545" t="s">
        <v>3123</v>
      </c>
      <c r="B1545" t="s">
        <v>3121</v>
      </c>
      <c r="C1545" t="s">
        <v>479</v>
      </c>
      <c r="D1545">
        <v>414</v>
      </c>
      <c r="E1545">
        <v>8689</v>
      </c>
      <c r="F1545">
        <v>11</v>
      </c>
      <c r="G1545">
        <v>60</v>
      </c>
      <c r="H1545">
        <v>60</v>
      </c>
      <c r="I1545">
        <v>1</v>
      </c>
      <c r="J1545">
        <v>1</v>
      </c>
      <c r="K1545" t="s">
        <v>86</v>
      </c>
      <c r="P1545">
        <v>0</v>
      </c>
      <c r="R1545">
        <v>0</v>
      </c>
      <c r="T1545">
        <v>0</v>
      </c>
      <c r="U1545" t="b">
        <v>0</v>
      </c>
      <c r="V1545">
        <v>5.670542635658915</v>
      </c>
      <c r="Y1545">
        <v>0</v>
      </c>
      <c r="Z1545">
        <v>363</v>
      </c>
      <c r="AA1545">
        <v>1.2392270768559401E-2</v>
      </c>
      <c r="AB1545">
        <v>1.1921159648432369</v>
      </c>
      <c r="AC1545">
        <v>-4.8809523809523001E-3</v>
      </c>
      <c r="AD1545">
        <v>3.6016949152542298E-2</v>
      </c>
      <c r="AE1545">
        <v>0</v>
      </c>
      <c r="AF1545" t="b">
        <v>0</v>
      </c>
    </row>
    <row r="1546" spans="1:35" x14ac:dyDescent="0.3">
      <c r="A1546" t="s">
        <v>3124</v>
      </c>
      <c r="B1546" t="s">
        <v>3121</v>
      </c>
      <c r="C1546" t="s">
        <v>479</v>
      </c>
      <c r="D1546">
        <v>274</v>
      </c>
      <c r="E1546">
        <v>7171</v>
      </c>
      <c r="F1546">
        <v>14</v>
      </c>
      <c r="G1546">
        <v>60</v>
      </c>
      <c r="H1546">
        <v>30</v>
      </c>
      <c r="I1546">
        <v>0.86445405103890671</v>
      </c>
      <c r="J1546">
        <v>0.93472128945601085</v>
      </c>
      <c r="K1546" t="s">
        <v>86</v>
      </c>
      <c r="P1546">
        <v>0</v>
      </c>
      <c r="R1546">
        <v>0</v>
      </c>
      <c r="T1546">
        <v>0</v>
      </c>
      <c r="U1546" t="b">
        <v>0</v>
      </c>
      <c r="V1546">
        <v>0.21917808219178081</v>
      </c>
      <c r="Y1546">
        <v>0</v>
      </c>
      <c r="Z1546">
        <v>179</v>
      </c>
      <c r="AA1546">
        <v>9.3747429041546607E-2</v>
      </c>
      <c r="AB1546">
        <v>6.9446419502285419</v>
      </c>
      <c r="AC1546">
        <v>8.6520947176684807E-2</v>
      </c>
      <c r="AD1546">
        <v>9.4391025641025597E-2</v>
      </c>
      <c r="AE1546">
        <v>0</v>
      </c>
      <c r="AF1546" t="b">
        <v>0</v>
      </c>
    </row>
    <row r="1547" spans="1:35" x14ac:dyDescent="0.3">
      <c r="A1547" t="s">
        <v>3125</v>
      </c>
      <c r="B1547" t="s">
        <v>3121</v>
      </c>
      <c r="C1547" t="s">
        <v>479</v>
      </c>
      <c r="D1547">
        <v>1245</v>
      </c>
      <c r="E1547">
        <v>16374</v>
      </c>
      <c r="F1547">
        <v>44</v>
      </c>
      <c r="G1547">
        <v>180</v>
      </c>
      <c r="H1547">
        <v>60</v>
      </c>
      <c r="I1547">
        <v>1</v>
      </c>
      <c r="J1547">
        <v>1</v>
      </c>
      <c r="K1547" t="s">
        <v>86</v>
      </c>
      <c r="P1547">
        <v>0</v>
      </c>
      <c r="R1547">
        <v>0</v>
      </c>
      <c r="T1547">
        <v>0</v>
      </c>
      <c r="U1547" t="b">
        <v>0</v>
      </c>
      <c r="V1547">
        <v>15.142857142857141</v>
      </c>
      <c r="Y1547">
        <v>0</v>
      </c>
      <c r="Z1547">
        <v>67</v>
      </c>
      <c r="AA1547">
        <v>5.8464491362763903E-2</v>
      </c>
      <c r="AB1547">
        <v>11.365671641791041</v>
      </c>
      <c r="AC1547">
        <v>0.13986928104575161</v>
      </c>
      <c r="AD1547">
        <v>0.09</v>
      </c>
      <c r="AE1547">
        <v>0</v>
      </c>
      <c r="AF1547" t="b">
        <v>0</v>
      </c>
    </row>
    <row r="1548" spans="1:35" x14ac:dyDescent="0.3">
      <c r="A1548" t="s">
        <v>3126</v>
      </c>
      <c r="B1548" t="s">
        <v>3127</v>
      </c>
      <c r="C1548" t="s">
        <v>479</v>
      </c>
      <c r="D1548">
        <v>117</v>
      </c>
      <c r="E1548">
        <v>1939</v>
      </c>
      <c r="F1548">
        <v>6</v>
      </c>
      <c r="G1548">
        <v>60</v>
      </c>
      <c r="H1548">
        <v>60</v>
      </c>
      <c r="I1548">
        <v>1</v>
      </c>
      <c r="J1548">
        <v>1</v>
      </c>
      <c r="K1548" t="s">
        <v>86</v>
      </c>
      <c r="P1548">
        <v>0</v>
      </c>
      <c r="R1548">
        <v>0</v>
      </c>
      <c r="T1548">
        <v>0</v>
      </c>
      <c r="U1548" t="b">
        <v>0</v>
      </c>
      <c r="Y1548">
        <v>0</v>
      </c>
      <c r="Z1548">
        <v>124</v>
      </c>
      <c r="AA1548">
        <v>0</v>
      </c>
      <c r="AB1548">
        <v>0</v>
      </c>
      <c r="AD1548">
        <v>0</v>
      </c>
      <c r="AE1548">
        <v>0</v>
      </c>
      <c r="AF1548" t="b">
        <v>0</v>
      </c>
    </row>
    <row r="1549" spans="1:35" x14ac:dyDescent="0.3">
      <c r="A1549" t="s">
        <v>3128</v>
      </c>
      <c r="B1549" t="s">
        <v>3129</v>
      </c>
      <c r="C1549" t="s">
        <v>479</v>
      </c>
      <c r="D1549">
        <v>810</v>
      </c>
      <c r="E1549">
        <v>6305</v>
      </c>
      <c r="F1549">
        <v>44</v>
      </c>
      <c r="G1549">
        <v>240</v>
      </c>
      <c r="H1549">
        <v>60</v>
      </c>
      <c r="I1549">
        <v>1</v>
      </c>
      <c r="J1549">
        <v>1</v>
      </c>
      <c r="K1549" t="s">
        <v>86</v>
      </c>
      <c r="P1549">
        <v>0</v>
      </c>
      <c r="R1549">
        <v>0</v>
      </c>
      <c r="T1549">
        <v>2</v>
      </c>
      <c r="U1549" t="b">
        <v>0</v>
      </c>
      <c r="V1549">
        <v>3.1578947368421049</v>
      </c>
      <c r="W1549">
        <v>8.6830357142857153</v>
      </c>
      <c r="Y1549">
        <v>0</v>
      </c>
      <c r="Z1549">
        <v>37</v>
      </c>
      <c r="AA1549">
        <v>0</v>
      </c>
      <c r="AB1549">
        <v>0</v>
      </c>
      <c r="AC1549">
        <v>0</v>
      </c>
      <c r="AD1549">
        <v>0</v>
      </c>
      <c r="AE1549">
        <v>2</v>
      </c>
      <c r="AF1549" t="b">
        <v>1</v>
      </c>
      <c r="AG1549">
        <v>2.9197370969522001E-3</v>
      </c>
      <c r="AH1549">
        <v>0.55659075224292609</v>
      </c>
      <c r="AI1549" t="b">
        <v>0</v>
      </c>
    </row>
    <row r="1550" spans="1:35" x14ac:dyDescent="0.3">
      <c r="A1550" t="s">
        <v>3130</v>
      </c>
      <c r="B1550" t="s">
        <v>3131</v>
      </c>
      <c r="C1550" t="s">
        <v>479</v>
      </c>
      <c r="D1550">
        <v>211</v>
      </c>
      <c r="E1550">
        <v>1950</v>
      </c>
      <c r="F1550">
        <v>9</v>
      </c>
      <c r="G1550">
        <v>120</v>
      </c>
      <c r="H1550">
        <v>60</v>
      </c>
      <c r="I1550">
        <v>0.93846153846153835</v>
      </c>
      <c r="J1550">
        <v>0.97223507635354001</v>
      </c>
      <c r="K1550" t="s">
        <v>86</v>
      </c>
      <c r="P1550">
        <v>0</v>
      </c>
      <c r="R1550">
        <v>0</v>
      </c>
      <c r="T1550">
        <v>0</v>
      </c>
      <c r="U1550" t="b">
        <v>0</v>
      </c>
      <c r="V1550">
        <v>0</v>
      </c>
      <c r="Y1550">
        <v>0</v>
      </c>
      <c r="Z1550">
        <v>98</v>
      </c>
      <c r="AA1550">
        <v>0</v>
      </c>
      <c r="AB1550">
        <v>0</v>
      </c>
      <c r="AC1550">
        <v>0</v>
      </c>
      <c r="AD1550">
        <v>0</v>
      </c>
      <c r="AE1550">
        <v>0</v>
      </c>
      <c r="AF1550" t="b">
        <v>0</v>
      </c>
    </row>
    <row r="1551" spans="1:35" x14ac:dyDescent="0.3">
      <c r="A1551" t="s">
        <v>3132</v>
      </c>
      <c r="B1551" t="s">
        <v>3131</v>
      </c>
      <c r="C1551" t="s">
        <v>479</v>
      </c>
      <c r="D1551">
        <v>120</v>
      </c>
      <c r="E1551">
        <v>91</v>
      </c>
      <c r="F1551">
        <v>4</v>
      </c>
      <c r="G1551">
        <v>300</v>
      </c>
      <c r="H1551">
        <v>60</v>
      </c>
      <c r="I1551">
        <v>1</v>
      </c>
      <c r="J1551">
        <v>1</v>
      </c>
      <c r="K1551" t="s">
        <v>86</v>
      </c>
      <c r="P1551">
        <v>0</v>
      </c>
      <c r="R1551">
        <v>0</v>
      </c>
      <c r="T1551">
        <v>0</v>
      </c>
      <c r="U1551" t="b">
        <v>0</v>
      </c>
      <c r="Y1551">
        <v>0.56557377049180324</v>
      </c>
      <c r="Z1551">
        <v>0</v>
      </c>
      <c r="AE1551">
        <v>0</v>
      </c>
      <c r="AF1551" t="b">
        <v>0</v>
      </c>
    </row>
    <row r="1552" spans="1:35" x14ac:dyDescent="0.3">
      <c r="A1552" t="s">
        <v>3133</v>
      </c>
      <c r="B1552" t="s">
        <v>3131</v>
      </c>
      <c r="C1552" t="s">
        <v>479</v>
      </c>
      <c r="D1552">
        <v>168</v>
      </c>
      <c r="E1552">
        <v>1695</v>
      </c>
      <c r="F1552">
        <v>8</v>
      </c>
      <c r="G1552">
        <v>120</v>
      </c>
      <c r="H1552">
        <v>60</v>
      </c>
      <c r="I1552">
        <v>1</v>
      </c>
      <c r="J1552">
        <v>1</v>
      </c>
      <c r="K1552" t="s">
        <v>86</v>
      </c>
      <c r="P1552">
        <v>0</v>
      </c>
      <c r="R1552">
        <v>0</v>
      </c>
      <c r="T1552">
        <v>0</v>
      </c>
      <c r="U1552" t="b">
        <v>0</v>
      </c>
      <c r="V1552">
        <v>0</v>
      </c>
      <c r="Y1552">
        <v>0</v>
      </c>
      <c r="Z1552">
        <v>44</v>
      </c>
      <c r="AA1552">
        <v>0</v>
      </c>
      <c r="AB1552">
        <v>0</v>
      </c>
      <c r="AC1552">
        <v>0</v>
      </c>
      <c r="AD1552">
        <v>0</v>
      </c>
      <c r="AE1552">
        <v>0</v>
      </c>
      <c r="AF1552" t="b">
        <v>0</v>
      </c>
    </row>
    <row r="1553" spans="1:35" x14ac:dyDescent="0.3">
      <c r="A1553" t="s">
        <v>3134</v>
      </c>
      <c r="B1553" t="s">
        <v>3135</v>
      </c>
      <c r="C1553" t="s">
        <v>479</v>
      </c>
      <c r="D1553">
        <v>1226</v>
      </c>
      <c r="E1553">
        <v>35554</v>
      </c>
      <c r="F1553">
        <v>10</v>
      </c>
      <c r="G1553">
        <v>60</v>
      </c>
      <c r="H1553">
        <v>60</v>
      </c>
      <c r="I1553">
        <v>1</v>
      </c>
      <c r="J1553">
        <v>1</v>
      </c>
      <c r="K1553" t="s">
        <v>86</v>
      </c>
      <c r="P1553">
        <v>0</v>
      </c>
      <c r="R1553">
        <v>0</v>
      </c>
      <c r="T1553">
        <v>0</v>
      </c>
      <c r="U1553" t="b">
        <v>0</v>
      </c>
      <c r="V1553">
        <v>11.628223336425229</v>
      </c>
      <c r="Y1553">
        <v>0</v>
      </c>
      <c r="Z1553">
        <v>950</v>
      </c>
      <c r="AA1553">
        <v>0.11640850822477231</v>
      </c>
      <c r="AB1553">
        <v>9.2582966992467792</v>
      </c>
      <c r="AC1553">
        <v>8.4563502741529004E-2</v>
      </c>
      <c r="AD1553">
        <v>0.1468211546888448</v>
      </c>
      <c r="AE1553">
        <v>0</v>
      </c>
      <c r="AF1553" t="b">
        <v>0</v>
      </c>
    </row>
    <row r="1554" spans="1:35" x14ac:dyDescent="0.3">
      <c r="A1554" t="s">
        <v>3136</v>
      </c>
      <c r="B1554" t="s">
        <v>2705</v>
      </c>
      <c r="C1554" t="s">
        <v>479</v>
      </c>
      <c r="D1554">
        <v>131</v>
      </c>
      <c r="E1554">
        <v>1947</v>
      </c>
      <c r="F1554">
        <v>10</v>
      </c>
      <c r="G1554">
        <v>60</v>
      </c>
      <c r="H1554">
        <v>60</v>
      </c>
      <c r="I1554">
        <v>1</v>
      </c>
      <c r="J1554">
        <v>1</v>
      </c>
      <c r="K1554" t="s">
        <v>86</v>
      </c>
      <c r="P1554">
        <v>0</v>
      </c>
      <c r="R1554">
        <v>0</v>
      </c>
      <c r="T1554">
        <v>0</v>
      </c>
      <c r="U1554" t="b">
        <v>0</v>
      </c>
      <c r="V1554">
        <v>3.7647058823529411</v>
      </c>
      <c r="Y1554">
        <v>0</v>
      </c>
      <c r="Z1554">
        <v>61</v>
      </c>
      <c r="AA1554">
        <v>3.4188034188034002E-3</v>
      </c>
      <c r="AB1554">
        <v>0.28103044496487112</v>
      </c>
      <c r="AC1554">
        <v>-1.1764705882352899E-2</v>
      </c>
      <c r="AD1554">
        <v>1.67111111111111E-2</v>
      </c>
      <c r="AE1554">
        <v>0</v>
      </c>
      <c r="AF1554" t="b">
        <v>0</v>
      </c>
    </row>
    <row r="1555" spans="1:35" x14ac:dyDescent="0.3">
      <c r="A1555" t="s">
        <v>3137</v>
      </c>
      <c r="B1555" t="s">
        <v>2800</v>
      </c>
      <c r="C1555" t="s">
        <v>479</v>
      </c>
      <c r="D1555">
        <v>22207</v>
      </c>
      <c r="E1555">
        <v>392598</v>
      </c>
      <c r="F1555">
        <v>57</v>
      </c>
      <c r="G1555">
        <v>60</v>
      </c>
      <c r="H1555">
        <v>60</v>
      </c>
      <c r="I1555">
        <v>1</v>
      </c>
      <c r="J1555">
        <v>1</v>
      </c>
      <c r="K1555" t="s">
        <v>86</v>
      </c>
      <c r="P1555">
        <v>0</v>
      </c>
      <c r="R1555">
        <v>0</v>
      </c>
      <c r="T1555">
        <v>3</v>
      </c>
      <c r="U1555" t="b">
        <v>1</v>
      </c>
      <c r="V1555">
        <v>6.3738870924597757</v>
      </c>
      <c r="W1555">
        <v>23.592592592592592</v>
      </c>
      <c r="X1555" t="b">
        <v>0</v>
      </c>
      <c r="Y1555">
        <v>0</v>
      </c>
      <c r="Z1555">
        <v>10865</v>
      </c>
      <c r="AA1555">
        <v>1.29996792522561E-2</v>
      </c>
      <c r="AB1555">
        <v>1.301110484809564</v>
      </c>
      <c r="AC1555">
        <v>-3.1913145066111001E-3</v>
      </c>
      <c r="AD1555">
        <v>2.7054578202232199E-2</v>
      </c>
      <c r="AE1555">
        <v>3</v>
      </c>
      <c r="AF1555" t="b">
        <v>1</v>
      </c>
      <c r="AG1555">
        <v>9.8469722170653005E-3</v>
      </c>
      <c r="AH1555">
        <v>3.9082706766917279</v>
      </c>
      <c r="AI1555" t="b">
        <v>1</v>
      </c>
    </row>
    <row r="1556" spans="1:35" x14ac:dyDescent="0.3">
      <c r="A1556" t="s">
        <v>3138</v>
      </c>
      <c r="B1556" t="s">
        <v>2800</v>
      </c>
      <c r="C1556" t="s">
        <v>479</v>
      </c>
      <c r="D1556">
        <v>5882</v>
      </c>
      <c r="E1556">
        <v>43869</v>
      </c>
      <c r="F1556">
        <v>46</v>
      </c>
      <c r="G1556">
        <v>180</v>
      </c>
      <c r="H1556">
        <v>60</v>
      </c>
      <c r="I1556">
        <v>1</v>
      </c>
      <c r="J1556">
        <v>1</v>
      </c>
      <c r="K1556" t="s">
        <v>86</v>
      </c>
      <c r="P1556">
        <v>0</v>
      </c>
      <c r="R1556">
        <v>0</v>
      </c>
      <c r="T1556">
        <v>0</v>
      </c>
      <c r="U1556" t="b">
        <v>0</v>
      </c>
      <c r="V1556">
        <v>8.9380264257886637</v>
      </c>
      <c r="Y1556">
        <v>0</v>
      </c>
      <c r="Z1556">
        <v>397</v>
      </c>
      <c r="AA1556">
        <v>6.8798409540429095E-2</v>
      </c>
      <c r="AB1556">
        <v>9.5988511446961446</v>
      </c>
      <c r="AC1556">
        <v>8.3332694452506503E-2</v>
      </c>
      <c r="AD1556">
        <v>7.2096622940451605E-2</v>
      </c>
      <c r="AE1556">
        <v>0</v>
      </c>
      <c r="AF1556" t="b">
        <v>0</v>
      </c>
    </row>
    <row r="1557" spans="1:35" x14ac:dyDescent="0.3">
      <c r="A1557" t="s">
        <v>3139</v>
      </c>
      <c r="B1557" t="s">
        <v>2832</v>
      </c>
      <c r="C1557" t="s">
        <v>479</v>
      </c>
      <c r="D1557">
        <v>384</v>
      </c>
      <c r="E1557">
        <v>1200</v>
      </c>
      <c r="F1557">
        <v>7</v>
      </c>
      <c r="G1557">
        <v>60</v>
      </c>
      <c r="H1557">
        <v>120</v>
      </c>
      <c r="I1557">
        <v>1</v>
      </c>
      <c r="J1557">
        <v>1</v>
      </c>
      <c r="K1557" t="s">
        <v>86</v>
      </c>
      <c r="P1557">
        <v>0</v>
      </c>
      <c r="R1557">
        <v>0</v>
      </c>
      <c r="T1557">
        <v>0</v>
      </c>
      <c r="U1557" t="b">
        <v>0</v>
      </c>
      <c r="V1557">
        <v>0</v>
      </c>
      <c r="Y1557">
        <v>0</v>
      </c>
      <c r="Z1557">
        <v>11</v>
      </c>
      <c r="AA1557">
        <v>0</v>
      </c>
      <c r="AB1557">
        <v>0</v>
      </c>
      <c r="AC1557">
        <v>0</v>
      </c>
      <c r="AD1557">
        <v>0</v>
      </c>
      <c r="AE1557">
        <v>0</v>
      </c>
      <c r="AF1557" t="b">
        <v>0</v>
      </c>
    </row>
    <row r="1558" spans="1:35" x14ac:dyDescent="0.3">
      <c r="A1558" t="s">
        <v>3140</v>
      </c>
      <c r="B1558" t="s">
        <v>3141</v>
      </c>
      <c r="C1558" t="s">
        <v>479</v>
      </c>
      <c r="D1558">
        <v>1931</v>
      </c>
      <c r="E1558">
        <v>61272</v>
      </c>
      <c r="F1558">
        <v>20</v>
      </c>
      <c r="G1558">
        <v>60</v>
      </c>
      <c r="H1558">
        <v>60</v>
      </c>
      <c r="I1558">
        <v>0.99875962919441197</v>
      </c>
      <c r="J1558">
        <v>0.99905939467496019</v>
      </c>
      <c r="K1558" t="s">
        <v>86</v>
      </c>
      <c r="P1558">
        <v>0</v>
      </c>
      <c r="R1558">
        <v>0</v>
      </c>
      <c r="T1558">
        <v>0</v>
      </c>
      <c r="U1558" t="b">
        <v>0</v>
      </c>
      <c r="V1558">
        <v>5.7139804639804641</v>
      </c>
      <c r="Y1558">
        <v>0</v>
      </c>
      <c r="Z1558">
        <v>2497</v>
      </c>
      <c r="AA1558">
        <v>3.0890100448692E-2</v>
      </c>
      <c r="AB1558">
        <v>2.9930020786848979</v>
      </c>
      <c r="AC1558">
        <v>4.5852799308789598E-2</v>
      </c>
      <c r="AD1558">
        <v>4.5213324219443803E-2</v>
      </c>
      <c r="AE1558">
        <v>0</v>
      </c>
      <c r="AF1558" t="b">
        <v>0</v>
      </c>
    </row>
    <row r="1559" spans="1:35" x14ac:dyDescent="0.3">
      <c r="A1559" t="s">
        <v>3142</v>
      </c>
      <c r="B1559" t="s">
        <v>2800</v>
      </c>
      <c r="C1559" t="s">
        <v>479</v>
      </c>
      <c r="D1559">
        <v>2103</v>
      </c>
      <c r="E1559">
        <v>65703</v>
      </c>
      <c r="F1559">
        <v>7</v>
      </c>
      <c r="G1559">
        <v>60</v>
      </c>
      <c r="H1559">
        <v>60</v>
      </c>
      <c r="I1559">
        <v>1</v>
      </c>
      <c r="J1559">
        <v>1</v>
      </c>
      <c r="K1559" t="s">
        <v>86</v>
      </c>
      <c r="P1559">
        <v>0</v>
      </c>
      <c r="R1559">
        <v>0</v>
      </c>
      <c r="T1559">
        <v>0</v>
      </c>
      <c r="U1559" t="b">
        <v>0</v>
      </c>
      <c r="V1559">
        <v>8.339841861377062</v>
      </c>
      <c r="Y1559">
        <v>0</v>
      </c>
      <c r="Z1559">
        <v>1140</v>
      </c>
      <c r="AA1559">
        <v>7.2567117828553601E-2</v>
      </c>
      <c r="AB1559">
        <v>6.7710791301308682</v>
      </c>
      <c r="AC1559">
        <v>5.9464077912084197E-2</v>
      </c>
      <c r="AD1559">
        <v>8.5483218428780594E-2</v>
      </c>
      <c r="AE1559">
        <v>0</v>
      </c>
      <c r="AF1559" t="b">
        <v>0</v>
      </c>
    </row>
    <row r="1560" spans="1:35" x14ac:dyDescent="0.3">
      <c r="A1560" t="s">
        <v>3143</v>
      </c>
      <c r="B1560" t="s">
        <v>3144</v>
      </c>
      <c r="C1560" t="s">
        <v>479</v>
      </c>
      <c r="D1560">
        <v>229</v>
      </c>
      <c r="E1560">
        <v>2620</v>
      </c>
      <c r="F1560">
        <v>7</v>
      </c>
      <c r="G1560">
        <v>60</v>
      </c>
      <c r="H1560">
        <v>60</v>
      </c>
      <c r="I1560">
        <v>1</v>
      </c>
      <c r="J1560">
        <v>1</v>
      </c>
      <c r="K1560" t="s">
        <v>86</v>
      </c>
      <c r="P1560">
        <v>0</v>
      </c>
      <c r="R1560">
        <v>0</v>
      </c>
      <c r="T1560">
        <v>0</v>
      </c>
      <c r="U1560" t="b">
        <v>0</v>
      </c>
      <c r="V1560">
        <v>5.0389610389610393</v>
      </c>
      <c r="Y1560">
        <v>0</v>
      </c>
      <c r="Z1560">
        <v>132</v>
      </c>
      <c r="AA1560">
        <v>5.1316581479100001E-3</v>
      </c>
      <c r="AB1560">
        <v>0.4536435786435784</v>
      </c>
      <c r="AC1560">
        <v>1.4855673967760901E-2</v>
      </c>
      <c r="AD1560">
        <v>4.5927879587102996E-3</v>
      </c>
      <c r="AE1560">
        <v>0</v>
      </c>
      <c r="AF1560" t="b">
        <v>0</v>
      </c>
    </row>
    <row r="1561" spans="1:35" x14ac:dyDescent="0.3">
      <c r="A1561" t="s">
        <v>3145</v>
      </c>
      <c r="B1561" t="s">
        <v>2743</v>
      </c>
      <c r="C1561" t="s">
        <v>479</v>
      </c>
      <c r="D1561">
        <v>96</v>
      </c>
      <c r="E1561">
        <v>1574</v>
      </c>
      <c r="F1561">
        <v>8</v>
      </c>
      <c r="G1561">
        <v>120</v>
      </c>
      <c r="H1561">
        <v>60</v>
      </c>
      <c r="I1561">
        <v>1</v>
      </c>
      <c r="J1561">
        <v>1</v>
      </c>
      <c r="K1561" t="s">
        <v>86</v>
      </c>
      <c r="P1561">
        <v>0</v>
      </c>
      <c r="R1561">
        <v>0</v>
      </c>
      <c r="T1561">
        <v>0</v>
      </c>
      <c r="U1561" t="b">
        <v>0</v>
      </c>
      <c r="V1561">
        <v>0</v>
      </c>
      <c r="Y1561">
        <v>0</v>
      </c>
      <c r="Z1561">
        <v>84</v>
      </c>
      <c r="AA1561">
        <v>0</v>
      </c>
      <c r="AB1561">
        <v>0</v>
      </c>
      <c r="AC1561">
        <v>0</v>
      </c>
      <c r="AD1561">
        <v>0</v>
      </c>
      <c r="AE1561">
        <v>0</v>
      </c>
      <c r="AF1561" t="b">
        <v>0</v>
      </c>
    </row>
    <row r="1562" spans="1:35" x14ac:dyDescent="0.3">
      <c r="A1562" t="s">
        <v>3146</v>
      </c>
      <c r="B1562" t="s">
        <v>3147</v>
      </c>
      <c r="C1562" t="s">
        <v>479</v>
      </c>
      <c r="D1562">
        <v>847</v>
      </c>
      <c r="E1562">
        <v>14217</v>
      </c>
      <c r="F1562">
        <v>19</v>
      </c>
      <c r="G1562">
        <v>60</v>
      </c>
      <c r="H1562">
        <v>60</v>
      </c>
      <c r="I1562">
        <v>1</v>
      </c>
      <c r="J1562">
        <v>1</v>
      </c>
      <c r="K1562" t="s">
        <v>432</v>
      </c>
      <c r="L1562">
        <v>0.58851616062683643</v>
      </c>
      <c r="M1562">
        <v>1</v>
      </c>
      <c r="N1562">
        <v>1</v>
      </c>
      <c r="O1562" t="s">
        <v>433</v>
      </c>
      <c r="P1562">
        <v>0</v>
      </c>
      <c r="R1562">
        <v>0</v>
      </c>
      <c r="T1562">
        <v>0</v>
      </c>
      <c r="U1562" t="b">
        <v>0</v>
      </c>
      <c r="V1562">
        <v>1.067553992968358</v>
      </c>
      <c r="Y1562">
        <v>0</v>
      </c>
      <c r="Z1562">
        <v>365</v>
      </c>
      <c r="AA1562">
        <v>4.7722095951729998E-3</v>
      </c>
      <c r="AB1562">
        <v>0.50696198778390578</v>
      </c>
      <c r="AC1562">
        <v>8.4681585913060006E-3</v>
      </c>
      <c r="AD1562">
        <v>8.2068839201430001E-4</v>
      </c>
      <c r="AE1562">
        <v>0</v>
      </c>
      <c r="AF1562" t="b">
        <v>0</v>
      </c>
    </row>
    <row r="1563" spans="1:35" x14ac:dyDescent="0.3">
      <c r="A1563" t="s">
        <v>3148</v>
      </c>
      <c r="B1563" t="s">
        <v>3149</v>
      </c>
      <c r="C1563" t="s">
        <v>479</v>
      </c>
      <c r="D1563">
        <v>1860</v>
      </c>
      <c r="E1563">
        <v>58021</v>
      </c>
      <c r="F1563">
        <v>303</v>
      </c>
      <c r="G1563">
        <v>72</v>
      </c>
      <c r="H1563">
        <v>1</v>
      </c>
      <c r="I1563">
        <v>3.3711931886730599E-2</v>
      </c>
      <c r="J1563">
        <v>0.25864631519179698</v>
      </c>
      <c r="K1563" t="s">
        <v>86</v>
      </c>
      <c r="P1563">
        <v>0</v>
      </c>
      <c r="R1563">
        <v>0</v>
      </c>
      <c r="T1563">
        <v>1</v>
      </c>
      <c r="U1563" t="b">
        <v>1</v>
      </c>
      <c r="V1563">
        <v>7.6317844878809389</v>
      </c>
      <c r="W1563">
        <v>0.38461538461538458</v>
      </c>
      <c r="X1563" t="b">
        <v>1</v>
      </c>
      <c r="Y1563">
        <v>0</v>
      </c>
      <c r="Z1563">
        <v>1307</v>
      </c>
      <c r="AA1563">
        <v>0.13053752703891039</v>
      </c>
      <c r="AB1563">
        <v>9.8049742997394205</v>
      </c>
      <c r="AC1563">
        <v>0.1069737272241882</v>
      </c>
      <c r="AD1563">
        <v>0.14539830306894749</v>
      </c>
      <c r="AE1563">
        <v>1</v>
      </c>
      <c r="AF1563" t="b">
        <v>1</v>
      </c>
      <c r="AG1563">
        <v>4.6536212725681002E-3</v>
      </c>
      <c r="AH1563">
        <v>0.43381594459180672</v>
      </c>
      <c r="AI1563" t="b">
        <v>1</v>
      </c>
    </row>
    <row r="1564" spans="1:35" x14ac:dyDescent="0.3">
      <c r="A1564" t="s">
        <v>3150</v>
      </c>
      <c r="B1564" t="s">
        <v>3151</v>
      </c>
      <c r="C1564" t="s">
        <v>3152</v>
      </c>
      <c r="D1564">
        <v>1318</v>
      </c>
      <c r="E1564">
        <v>14530</v>
      </c>
      <c r="F1564">
        <v>234</v>
      </c>
      <c r="G1564">
        <v>96</v>
      </c>
      <c r="H1564">
        <v>1</v>
      </c>
      <c r="I1564">
        <v>4.1362697866483097E-2</v>
      </c>
      <c r="J1564">
        <v>0.20501009591115599</v>
      </c>
      <c r="K1564" t="s">
        <v>86</v>
      </c>
      <c r="P1564">
        <v>0</v>
      </c>
      <c r="R1564">
        <v>0</v>
      </c>
      <c r="T1564">
        <v>0</v>
      </c>
      <c r="U1564" t="b">
        <v>0</v>
      </c>
      <c r="V1564">
        <v>14.764021852291989</v>
      </c>
      <c r="Y1564">
        <v>0</v>
      </c>
      <c r="Z1564">
        <v>211</v>
      </c>
      <c r="AA1564">
        <v>2.3021354539793999E-3</v>
      </c>
      <c r="AB1564">
        <v>0.27420805881960419</v>
      </c>
      <c r="AC1564">
        <v>-6.2490331144172101E-2</v>
      </c>
      <c r="AD1564">
        <v>6.0364340361964301E-2</v>
      </c>
      <c r="AE1564">
        <v>0</v>
      </c>
      <c r="AF1564" t="b">
        <v>0</v>
      </c>
    </row>
    <row r="1565" spans="1:35" x14ac:dyDescent="0.3">
      <c r="A1565" t="s">
        <v>3153</v>
      </c>
      <c r="B1565" t="s">
        <v>3154</v>
      </c>
      <c r="C1565" t="s">
        <v>479</v>
      </c>
      <c r="D1565">
        <v>296</v>
      </c>
      <c r="E1565">
        <v>4331</v>
      </c>
      <c r="F1565">
        <v>15</v>
      </c>
      <c r="G1565">
        <v>60</v>
      </c>
      <c r="H1565">
        <v>60</v>
      </c>
      <c r="I1565">
        <v>1</v>
      </c>
      <c r="J1565">
        <v>1</v>
      </c>
      <c r="K1565" t="s">
        <v>86</v>
      </c>
      <c r="P1565">
        <v>0</v>
      </c>
      <c r="R1565">
        <v>0</v>
      </c>
      <c r="T1565">
        <v>0</v>
      </c>
      <c r="U1565" t="b">
        <v>0</v>
      </c>
      <c r="V1565">
        <v>0.15151515151515149</v>
      </c>
      <c r="Y1565">
        <v>0</v>
      </c>
      <c r="Z1565">
        <v>148</v>
      </c>
      <c r="AA1565">
        <v>-6.1728395061720002E-4</v>
      </c>
      <c r="AB1565">
        <v>-6.7567567567567502E-2</v>
      </c>
      <c r="AC1565">
        <v>-1.8726591760298999E-3</v>
      </c>
      <c r="AD1565">
        <v>0</v>
      </c>
      <c r="AE1565">
        <v>0</v>
      </c>
      <c r="AF1565" t="b">
        <v>0</v>
      </c>
    </row>
    <row r="1566" spans="1:35" x14ac:dyDescent="0.3">
      <c r="A1566" t="s">
        <v>3155</v>
      </c>
      <c r="B1566" t="s">
        <v>3156</v>
      </c>
      <c r="C1566" t="s">
        <v>479</v>
      </c>
      <c r="D1566">
        <v>499</v>
      </c>
      <c r="E1566">
        <v>8328</v>
      </c>
      <c r="F1566">
        <v>29</v>
      </c>
      <c r="G1566">
        <v>120</v>
      </c>
      <c r="H1566">
        <v>60</v>
      </c>
      <c r="I1566">
        <v>1</v>
      </c>
      <c r="J1566">
        <v>1</v>
      </c>
      <c r="K1566" t="s">
        <v>86</v>
      </c>
      <c r="P1566">
        <v>0</v>
      </c>
      <c r="R1566">
        <v>0</v>
      </c>
      <c r="T1566">
        <v>0</v>
      </c>
      <c r="U1566" t="b">
        <v>0</v>
      </c>
      <c r="V1566">
        <v>3.795698924731183</v>
      </c>
      <c r="Y1566">
        <v>0</v>
      </c>
      <c r="Z1566">
        <v>253</v>
      </c>
      <c r="AA1566">
        <v>3.0038384860296901E-2</v>
      </c>
      <c r="AB1566">
        <v>2.850084697910785</v>
      </c>
      <c r="AC1566">
        <v>6.5956502441189502E-2</v>
      </c>
      <c r="AD1566">
        <v>4.7546788062721203E-2</v>
      </c>
      <c r="AE1566">
        <v>0</v>
      </c>
      <c r="AF1566" t="b">
        <v>0</v>
      </c>
    </row>
    <row r="1567" spans="1:35" x14ac:dyDescent="0.3">
      <c r="A1567" t="s">
        <v>3157</v>
      </c>
      <c r="B1567" t="s">
        <v>3158</v>
      </c>
      <c r="C1567" t="s">
        <v>479</v>
      </c>
      <c r="D1567">
        <v>631</v>
      </c>
      <c r="E1567">
        <v>16184</v>
      </c>
      <c r="F1567">
        <v>275</v>
      </c>
      <c r="G1567">
        <v>64</v>
      </c>
      <c r="H1567">
        <v>1</v>
      </c>
      <c r="I1567">
        <v>2.5951557093425601E-2</v>
      </c>
      <c r="J1567">
        <v>0.24977698483496871</v>
      </c>
      <c r="K1567" t="s">
        <v>86</v>
      </c>
      <c r="P1567">
        <v>0</v>
      </c>
      <c r="R1567">
        <v>0</v>
      </c>
      <c r="T1567">
        <v>0</v>
      </c>
      <c r="U1567" t="b">
        <v>0</v>
      </c>
      <c r="V1567">
        <v>7.4670175438596491</v>
      </c>
      <c r="Y1567">
        <v>0</v>
      </c>
      <c r="Z1567">
        <v>535</v>
      </c>
      <c r="AA1567">
        <v>4.8736344920371003E-2</v>
      </c>
      <c r="AB1567">
        <v>3.6579749430216721</v>
      </c>
      <c r="AC1567">
        <v>-2.63619282929397E-2</v>
      </c>
      <c r="AD1567">
        <v>8.0011317907444004E-3</v>
      </c>
      <c r="AE1567">
        <v>0</v>
      </c>
      <c r="AF1567" t="b">
        <v>0</v>
      </c>
    </row>
    <row r="1568" spans="1:35" x14ac:dyDescent="0.3">
      <c r="A1568" t="s">
        <v>3159</v>
      </c>
      <c r="B1568" t="s">
        <v>2925</v>
      </c>
      <c r="C1568" t="s">
        <v>479</v>
      </c>
      <c r="D1568">
        <v>397</v>
      </c>
      <c r="E1568">
        <v>11896</v>
      </c>
      <c r="F1568">
        <v>228</v>
      </c>
      <c r="G1568">
        <v>63</v>
      </c>
      <c r="H1568">
        <v>1</v>
      </c>
      <c r="I1568">
        <v>2.5891055817081302E-2</v>
      </c>
      <c r="J1568">
        <v>0.17896363784267469</v>
      </c>
      <c r="K1568" t="s">
        <v>86</v>
      </c>
      <c r="P1568">
        <v>0</v>
      </c>
      <c r="R1568">
        <v>0</v>
      </c>
      <c r="T1568">
        <v>0</v>
      </c>
      <c r="U1568" t="b">
        <v>0</v>
      </c>
      <c r="V1568">
        <v>11.441113471410871</v>
      </c>
      <c r="Y1568">
        <v>0</v>
      </c>
      <c r="Z1568">
        <v>475</v>
      </c>
      <c r="AA1568">
        <v>5.9238408783089301E-2</v>
      </c>
      <c r="AB1568">
        <v>4.7368693353430196</v>
      </c>
      <c r="AC1568">
        <v>6.5210278569815705E-2</v>
      </c>
      <c r="AD1568">
        <v>1.7289189903386199E-2</v>
      </c>
      <c r="AE1568">
        <v>0</v>
      </c>
      <c r="AF1568" t="b">
        <v>0</v>
      </c>
    </row>
    <row r="1569" spans="1:32" x14ac:dyDescent="0.3">
      <c r="A1569" t="s">
        <v>3160</v>
      </c>
      <c r="B1569" t="s">
        <v>2950</v>
      </c>
      <c r="C1569" t="s">
        <v>479</v>
      </c>
      <c r="D1569">
        <v>122</v>
      </c>
      <c r="E1569">
        <v>2397</v>
      </c>
      <c r="F1569">
        <v>6</v>
      </c>
      <c r="G1569">
        <v>60</v>
      </c>
      <c r="H1569">
        <v>1</v>
      </c>
      <c r="I1569">
        <v>0.8289528577388402</v>
      </c>
      <c r="J1569">
        <v>0.91941823899371078</v>
      </c>
      <c r="K1569" t="s">
        <v>86</v>
      </c>
      <c r="P1569">
        <v>0</v>
      </c>
      <c r="R1569">
        <v>0</v>
      </c>
      <c r="T1569">
        <v>0</v>
      </c>
      <c r="U1569" t="b">
        <v>0</v>
      </c>
      <c r="V1569">
        <v>5.6415343915343907</v>
      </c>
      <c r="Y1569">
        <v>0</v>
      </c>
      <c r="Z1569">
        <v>113</v>
      </c>
      <c r="AA1569">
        <v>3.04411900156581E-2</v>
      </c>
      <c r="AB1569">
        <v>2.089127686472819</v>
      </c>
      <c r="AC1569">
        <v>1.1627906976744099E-2</v>
      </c>
      <c r="AD1569">
        <v>6.0675381263616497E-2</v>
      </c>
      <c r="AE1569">
        <v>0</v>
      </c>
      <c r="AF1569" t="b">
        <v>0</v>
      </c>
    </row>
    <row r="1570" spans="1:32" x14ac:dyDescent="0.3">
      <c r="A1570" t="s">
        <v>3161</v>
      </c>
      <c r="B1570" t="s">
        <v>3162</v>
      </c>
      <c r="C1570" t="s">
        <v>479</v>
      </c>
      <c r="D1570">
        <v>119</v>
      </c>
      <c r="E1570">
        <v>954</v>
      </c>
      <c r="F1570">
        <v>20</v>
      </c>
      <c r="G1570">
        <v>60</v>
      </c>
      <c r="H1570">
        <v>60</v>
      </c>
      <c r="I1570">
        <v>0.97589098532494756</v>
      </c>
      <c r="J1570">
        <v>0.98881640260950598</v>
      </c>
      <c r="K1570" t="s">
        <v>86</v>
      </c>
      <c r="P1570">
        <v>0</v>
      </c>
      <c r="R1570">
        <v>0</v>
      </c>
      <c r="T1570">
        <v>0</v>
      </c>
      <c r="U1570" t="b">
        <v>0</v>
      </c>
      <c r="Y1570">
        <v>0</v>
      </c>
      <c r="Z1570">
        <v>8</v>
      </c>
      <c r="AA1570">
        <v>5.5555555555555497E-2</v>
      </c>
      <c r="AB1570">
        <v>5</v>
      </c>
      <c r="AE1570">
        <v>0</v>
      </c>
      <c r="AF1570" t="b">
        <v>0</v>
      </c>
    </row>
    <row r="1571" spans="1:32" x14ac:dyDescent="0.3">
      <c r="A1571" t="s">
        <v>3163</v>
      </c>
      <c r="B1571" t="s">
        <v>3164</v>
      </c>
      <c r="C1571" t="s">
        <v>479</v>
      </c>
      <c r="D1571">
        <v>264</v>
      </c>
      <c r="E1571">
        <v>4748</v>
      </c>
      <c r="F1571">
        <v>14</v>
      </c>
      <c r="G1571">
        <v>60</v>
      </c>
      <c r="H1571">
        <v>60</v>
      </c>
      <c r="I1571">
        <v>1</v>
      </c>
      <c r="J1571">
        <v>1</v>
      </c>
      <c r="K1571" t="s">
        <v>86</v>
      </c>
      <c r="P1571">
        <v>0</v>
      </c>
      <c r="R1571">
        <v>0</v>
      </c>
      <c r="T1571">
        <v>0</v>
      </c>
      <c r="U1571" t="b">
        <v>0</v>
      </c>
      <c r="V1571">
        <v>7.3148148148148149</v>
      </c>
      <c r="Y1571">
        <v>0</v>
      </c>
      <c r="Z1571">
        <v>188</v>
      </c>
      <c r="AA1571">
        <v>2.6570048309178699E-2</v>
      </c>
      <c r="AB1571">
        <v>2.3404255319148941</v>
      </c>
      <c r="AC1571">
        <v>7.2463768115940002E-4</v>
      </c>
      <c r="AD1571">
        <v>1.8840579710144901E-2</v>
      </c>
      <c r="AE1571">
        <v>0</v>
      </c>
      <c r="AF1571" t="b">
        <v>0</v>
      </c>
    </row>
    <row r="1572" spans="1:32" x14ac:dyDescent="0.3">
      <c r="A1572" t="s">
        <v>3165</v>
      </c>
      <c r="B1572" t="s">
        <v>3166</v>
      </c>
      <c r="C1572" t="s">
        <v>479</v>
      </c>
      <c r="D1572">
        <v>345</v>
      </c>
      <c r="E1572">
        <v>4544</v>
      </c>
      <c r="F1572">
        <v>30</v>
      </c>
      <c r="G1572">
        <v>120</v>
      </c>
      <c r="H1572">
        <v>60</v>
      </c>
      <c r="I1572">
        <v>0.99779929577464799</v>
      </c>
      <c r="J1572">
        <v>0.99908307353750236</v>
      </c>
      <c r="K1572" t="s">
        <v>86</v>
      </c>
      <c r="P1572">
        <v>0</v>
      </c>
      <c r="R1572">
        <v>0</v>
      </c>
      <c r="T1572">
        <v>0</v>
      </c>
      <c r="U1572" t="b">
        <v>0</v>
      </c>
      <c r="V1572">
        <v>2.3582677165354329</v>
      </c>
      <c r="Y1572">
        <v>0</v>
      </c>
      <c r="Z1572">
        <v>162</v>
      </c>
      <c r="AA1572">
        <v>4.7829652548844297E-2</v>
      </c>
      <c r="AB1572">
        <v>5.4898655870878086</v>
      </c>
      <c r="AC1572">
        <v>6.66737243277577E-2</v>
      </c>
      <c r="AD1572">
        <v>7.8176154409968196E-2</v>
      </c>
      <c r="AE1572">
        <v>0</v>
      </c>
      <c r="AF1572" t="b">
        <v>0</v>
      </c>
    </row>
    <row r="1573" spans="1:32" x14ac:dyDescent="0.3">
      <c r="A1573" t="s">
        <v>3167</v>
      </c>
      <c r="B1573" t="s">
        <v>3168</v>
      </c>
      <c r="C1573" t="s">
        <v>479</v>
      </c>
      <c r="D1573">
        <v>228</v>
      </c>
      <c r="E1573">
        <v>3500</v>
      </c>
      <c r="F1573">
        <v>8</v>
      </c>
      <c r="G1573">
        <v>60</v>
      </c>
      <c r="H1573">
        <v>60</v>
      </c>
      <c r="I1573">
        <v>1</v>
      </c>
      <c r="J1573">
        <v>1</v>
      </c>
      <c r="K1573" t="s">
        <v>86</v>
      </c>
      <c r="P1573">
        <v>0</v>
      </c>
      <c r="R1573">
        <v>0</v>
      </c>
      <c r="T1573">
        <v>0</v>
      </c>
      <c r="U1573" t="b">
        <v>0</v>
      </c>
      <c r="V1573">
        <v>7.0588235294117636</v>
      </c>
      <c r="Y1573">
        <v>0</v>
      </c>
      <c r="Z1573">
        <v>187</v>
      </c>
      <c r="AA1573">
        <v>3.20007461839181E-2</v>
      </c>
      <c r="AB1573">
        <v>3.014132925897631</v>
      </c>
      <c r="AC1573">
        <v>1.9130600997148701E-2</v>
      </c>
      <c r="AD1573">
        <v>5.92323032957092E-2</v>
      </c>
      <c r="AE1573">
        <v>0</v>
      </c>
      <c r="AF1573" t="b">
        <v>0</v>
      </c>
    </row>
    <row r="1574" spans="1:32" x14ac:dyDescent="0.3">
      <c r="A1574" t="s">
        <v>3169</v>
      </c>
      <c r="B1574" t="s">
        <v>2896</v>
      </c>
      <c r="C1574" t="s">
        <v>479</v>
      </c>
      <c r="D1574">
        <v>392</v>
      </c>
      <c r="E1574">
        <v>9658</v>
      </c>
      <c r="F1574">
        <v>11</v>
      </c>
      <c r="G1574">
        <v>60</v>
      </c>
      <c r="H1574">
        <v>60</v>
      </c>
      <c r="I1574">
        <v>1</v>
      </c>
      <c r="J1574">
        <v>1</v>
      </c>
      <c r="K1574" t="s">
        <v>432</v>
      </c>
      <c r="L1574">
        <v>0.70486597553002706</v>
      </c>
      <c r="M1574">
        <v>1</v>
      </c>
      <c r="N1574">
        <v>1</v>
      </c>
      <c r="O1574" t="s">
        <v>433</v>
      </c>
      <c r="P1574">
        <v>0</v>
      </c>
      <c r="R1574">
        <v>0</v>
      </c>
      <c r="T1574">
        <v>0</v>
      </c>
      <c r="U1574" t="b">
        <v>0</v>
      </c>
      <c r="V1574">
        <v>2.17989417989418</v>
      </c>
      <c r="Y1574">
        <v>0</v>
      </c>
      <c r="Z1574">
        <v>407</v>
      </c>
      <c r="AA1574">
        <v>1.3052160779433501E-2</v>
      </c>
      <c r="AB1574">
        <v>1.0963815054724151</v>
      </c>
      <c r="AC1574">
        <v>8.1194342587742E-3</v>
      </c>
      <c r="AD1574">
        <v>3.5769230769230699E-2</v>
      </c>
      <c r="AE1574">
        <v>0</v>
      </c>
      <c r="AF1574" t="b">
        <v>0</v>
      </c>
    </row>
    <row r="1575" spans="1:32" x14ac:dyDescent="0.3">
      <c r="A1575" t="s">
        <v>3170</v>
      </c>
      <c r="B1575" t="s">
        <v>3171</v>
      </c>
      <c r="C1575" t="s">
        <v>479</v>
      </c>
      <c r="D1575">
        <v>727</v>
      </c>
      <c r="E1575">
        <v>17366</v>
      </c>
      <c r="F1575">
        <v>12</v>
      </c>
      <c r="G1575">
        <v>60</v>
      </c>
      <c r="H1575">
        <v>60</v>
      </c>
      <c r="I1575">
        <v>1</v>
      </c>
      <c r="J1575">
        <v>1</v>
      </c>
      <c r="K1575" t="s">
        <v>86</v>
      </c>
      <c r="P1575">
        <v>0</v>
      </c>
      <c r="R1575">
        <v>0</v>
      </c>
      <c r="T1575">
        <v>0</v>
      </c>
      <c r="U1575" t="b">
        <v>0</v>
      </c>
      <c r="V1575">
        <v>5.9433916423712354</v>
      </c>
      <c r="Y1575">
        <v>0</v>
      </c>
      <c r="Z1575">
        <v>572</v>
      </c>
      <c r="AA1575">
        <v>1.64679229748288E-2</v>
      </c>
      <c r="AB1575">
        <v>1.5805909434045999</v>
      </c>
      <c r="AC1575">
        <v>-5.8531280809095004E-3</v>
      </c>
      <c r="AD1575">
        <v>4.7897896250123403E-2</v>
      </c>
      <c r="AE1575">
        <v>0</v>
      </c>
      <c r="AF1575" t="b">
        <v>0</v>
      </c>
    </row>
    <row r="1576" spans="1:32" x14ac:dyDescent="0.3">
      <c r="A1576" t="s">
        <v>3172</v>
      </c>
      <c r="B1576" t="s">
        <v>2958</v>
      </c>
      <c r="C1576" t="s">
        <v>479</v>
      </c>
      <c r="D1576">
        <v>82</v>
      </c>
      <c r="E1576">
        <v>500</v>
      </c>
      <c r="F1576">
        <v>21</v>
      </c>
      <c r="G1576">
        <v>300</v>
      </c>
      <c r="H1576">
        <v>60</v>
      </c>
      <c r="I1576">
        <v>1</v>
      </c>
      <c r="J1576">
        <v>1</v>
      </c>
      <c r="K1576" t="s">
        <v>86</v>
      </c>
      <c r="P1576">
        <v>0</v>
      </c>
      <c r="R1576">
        <v>0</v>
      </c>
      <c r="T1576">
        <v>0</v>
      </c>
      <c r="U1576" t="b">
        <v>0</v>
      </c>
      <c r="Y1576">
        <v>0</v>
      </c>
      <c r="Z1576">
        <v>0</v>
      </c>
      <c r="AE1576">
        <v>0</v>
      </c>
      <c r="AF1576" t="b">
        <v>0</v>
      </c>
    </row>
    <row r="1577" spans="1:32" x14ac:dyDescent="0.3">
      <c r="A1577" t="s">
        <v>3173</v>
      </c>
      <c r="B1577" t="s">
        <v>3174</v>
      </c>
      <c r="C1577" t="s">
        <v>479</v>
      </c>
      <c r="D1577">
        <v>836</v>
      </c>
      <c r="E1577">
        <v>9709</v>
      </c>
      <c r="F1577">
        <v>21</v>
      </c>
      <c r="G1577">
        <v>60</v>
      </c>
      <c r="H1577">
        <v>60</v>
      </c>
      <c r="I1577">
        <v>1</v>
      </c>
      <c r="J1577">
        <v>1</v>
      </c>
      <c r="K1577" t="s">
        <v>86</v>
      </c>
      <c r="P1577">
        <v>0</v>
      </c>
      <c r="R1577">
        <v>0</v>
      </c>
      <c r="T1577">
        <v>0</v>
      </c>
      <c r="U1577" t="b">
        <v>0</v>
      </c>
      <c r="V1577">
        <v>6.0156203243760853</v>
      </c>
      <c r="Y1577">
        <v>0</v>
      </c>
      <c r="Z1577">
        <v>227</v>
      </c>
      <c r="AA1577">
        <v>6.3881868903294999E-3</v>
      </c>
      <c r="AB1577">
        <v>0.80879511554215999</v>
      </c>
      <c r="AC1577">
        <v>-2.86808976464148E-2</v>
      </c>
      <c r="AD1577">
        <v>2.1334029954719599E-2</v>
      </c>
      <c r="AE1577">
        <v>0</v>
      </c>
      <c r="AF1577" t="b">
        <v>0</v>
      </c>
    </row>
    <row r="1578" spans="1:32" x14ac:dyDescent="0.3">
      <c r="A1578" t="s">
        <v>3175</v>
      </c>
      <c r="B1578" t="s">
        <v>3176</v>
      </c>
      <c r="C1578" t="s">
        <v>479</v>
      </c>
      <c r="D1578">
        <v>264</v>
      </c>
      <c r="E1578">
        <v>6442</v>
      </c>
      <c r="F1578">
        <v>12</v>
      </c>
      <c r="G1578">
        <v>60</v>
      </c>
      <c r="H1578">
        <v>60</v>
      </c>
      <c r="I1578">
        <v>1</v>
      </c>
      <c r="J1578">
        <v>1</v>
      </c>
      <c r="K1578" t="s">
        <v>86</v>
      </c>
      <c r="P1578">
        <v>0</v>
      </c>
      <c r="R1578">
        <v>0</v>
      </c>
      <c r="T1578">
        <v>0</v>
      </c>
      <c r="U1578" t="b">
        <v>0</v>
      </c>
      <c r="V1578">
        <v>0.66666666666666663</v>
      </c>
      <c r="Y1578">
        <v>0</v>
      </c>
      <c r="Z1578">
        <v>174</v>
      </c>
      <c r="AA1578">
        <v>2.6704572960078998E-3</v>
      </c>
      <c r="AB1578">
        <v>0.2090323469633813</v>
      </c>
      <c r="AC1578">
        <v>5.5800293685756E-3</v>
      </c>
      <c r="AD1578">
        <v>0</v>
      </c>
      <c r="AE1578">
        <v>0</v>
      </c>
      <c r="AF1578" t="b">
        <v>0</v>
      </c>
    </row>
    <row r="1579" spans="1:32" x14ac:dyDescent="0.3">
      <c r="A1579" t="s">
        <v>3177</v>
      </c>
      <c r="B1579" t="s">
        <v>3178</v>
      </c>
      <c r="C1579" t="s">
        <v>479</v>
      </c>
      <c r="D1579">
        <v>646</v>
      </c>
      <c r="E1579">
        <v>15655</v>
      </c>
      <c r="F1579">
        <v>8</v>
      </c>
      <c r="G1579">
        <v>60</v>
      </c>
      <c r="H1579">
        <v>60</v>
      </c>
      <c r="I1579">
        <v>1</v>
      </c>
      <c r="J1579">
        <v>1</v>
      </c>
      <c r="K1579" t="s">
        <v>86</v>
      </c>
      <c r="P1579">
        <v>0</v>
      </c>
      <c r="R1579">
        <v>0</v>
      </c>
      <c r="T1579">
        <v>0</v>
      </c>
      <c r="U1579" t="b">
        <v>0</v>
      </c>
      <c r="V1579">
        <v>5.7428864920390348</v>
      </c>
      <c r="Y1579">
        <v>0</v>
      </c>
      <c r="Z1579">
        <v>375</v>
      </c>
      <c r="AA1579">
        <v>7.1579931814747297E-2</v>
      </c>
      <c r="AB1579">
        <v>6.5299265811587794</v>
      </c>
      <c r="AC1579">
        <v>6.1389726235199601E-2</v>
      </c>
      <c r="AD1579">
        <v>7.27005937628286E-2</v>
      </c>
      <c r="AE1579">
        <v>0</v>
      </c>
      <c r="AF1579" t="b">
        <v>0</v>
      </c>
    </row>
    <row r="1580" spans="1:32" x14ac:dyDescent="0.3">
      <c r="A1580" t="s">
        <v>3179</v>
      </c>
      <c r="B1580" t="s">
        <v>3180</v>
      </c>
      <c r="C1580" t="s">
        <v>479</v>
      </c>
      <c r="D1580">
        <v>90</v>
      </c>
      <c r="E1580">
        <v>904</v>
      </c>
      <c r="F1580">
        <v>15</v>
      </c>
      <c r="G1580">
        <v>120</v>
      </c>
      <c r="H1580">
        <v>60</v>
      </c>
      <c r="I1580">
        <v>0.99115044247787598</v>
      </c>
      <c r="J1580">
        <v>0.99340245051837883</v>
      </c>
      <c r="K1580" t="s">
        <v>86</v>
      </c>
      <c r="P1580">
        <v>0</v>
      </c>
      <c r="R1580">
        <v>0</v>
      </c>
      <c r="T1580">
        <v>0</v>
      </c>
      <c r="U1580" t="b">
        <v>0</v>
      </c>
      <c r="V1580">
        <v>0</v>
      </c>
      <c r="Y1580">
        <v>0</v>
      </c>
      <c r="Z1580">
        <v>20</v>
      </c>
      <c r="AA1580">
        <v>0</v>
      </c>
      <c r="AB1580">
        <v>0</v>
      </c>
      <c r="AC1580">
        <v>0</v>
      </c>
      <c r="AD1580">
        <v>0</v>
      </c>
      <c r="AE1580">
        <v>0</v>
      </c>
      <c r="AF1580" t="b">
        <v>0</v>
      </c>
    </row>
    <row r="1581" spans="1:32" x14ac:dyDescent="0.3">
      <c r="A1581" t="s">
        <v>3181</v>
      </c>
      <c r="B1581" t="s">
        <v>1286</v>
      </c>
      <c r="C1581" t="s">
        <v>479</v>
      </c>
      <c r="D1581">
        <v>90</v>
      </c>
      <c r="E1581">
        <v>913</v>
      </c>
      <c r="F1581">
        <v>12</v>
      </c>
      <c r="G1581">
        <v>180</v>
      </c>
      <c r="H1581">
        <v>60</v>
      </c>
      <c r="I1581">
        <v>1</v>
      </c>
      <c r="J1581">
        <v>1</v>
      </c>
      <c r="K1581" t="s">
        <v>86</v>
      </c>
      <c r="P1581">
        <v>0</v>
      </c>
      <c r="R1581">
        <v>0</v>
      </c>
      <c r="T1581">
        <v>0</v>
      </c>
      <c r="U1581" t="b">
        <v>0</v>
      </c>
      <c r="Y1581">
        <v>0</v>
      </c>
      <c r="Z1581">
        <v>0</v>
      </c>
      <c r="AE1581">
        <v>0</v>
      </c>
      <c r="AF1581" t="b">
        <v>0</v>
      </c>
    </row>
    <row r="1582" spans="1:32" x14ac:dyDescent="0.3">
      <c r="A1582" t="s">
        <v>3182</v>
      </c>
      <c r="B1582" t="s">
        <v>1286</v>
      </c>
      <c r="C1582" t="s">
        <v>479</v>
      </c>
      <c r="D1582">
        <v>53</v>
      </c>
      <c r="E1582">
        <v>435</v>
      </c>
      <c r="F1582">
        <v>12</v>
      </c>
      <c r="G1582">
        <v>240</v>
      </c>
      <c r="H1582">
        <v>60</v>
      </c>
      <c r="I1582">
        <v>1</v>
      </c>
      <c r="J1582">
        <v>1</v>
      </c>
      <c r="K1582" t="s">
        <v>86</v>
      </c>
      <c r="P1582">
        <v>0</v>
      </c>
      <c r="R1582">
        <v>0</v>
      </c>
      <c r="T1582">
        <v>0</v>
      </c>
      <c r="U1582" t="b">
        <v>0</v>
      </c>
      <c r="Y1582">
        <v>0</v>
      </c>
      <c r="Z1582">
        <v>1</v>
      </c>
      <c r="AA1582">
        <v>0</v>
      </c>
      <c r="AB1582">
        <v>0</v>
      </c>
      <c r="AD1582">
        <v>0</v>
      </c>
      <c r="AE1582">
        <v>0</v>
      </c>
      <c r="AF1582" t="b">
        <v>0</v>
      </c>
    </row>
    <row r="1583" spans="1:32" x14ac:dyDescent="0.3">
      <c r="A1583" t="s">
        <v>3183</v>
      </c>
      <c r="B1583" t="s">
        <v>3184</v>
      </c>
      <c r="C1583" t="s">
        <v>479</v>
      </c>
      <c r="D1583">
        <v>1220</v>
      </c>
      <c r="E1583">
        <v>33457</v>
      </c>
      <c r="F1583">
        <v>174</v>
      </c>
      <c r="G1583">
        <v>73</v>
      </c>
      <c r="H1583">
        <v>1</v>
      </c>
      <c r="I1583">
        <v>0.300983351764952</v>
      </c>
      <c r="J1583">
        <v>0.52425522200662023</v>
      </c>
      <c r="K1583" t="s">
        <v>86</v>
      </c>
      <c r="P1583">
        <v>0</v>
      </c>
      <c r="R1583">
        <v>0</v>
      </c>
      <c r="T1583">
        <v>0</v>
      </c>
      <c r="U1583" t="b">
        <v>0</v>
      </c>
      <c r="V1583">
        <v>4.5927533617035392</v>
      </c>
      <c r="Y1583">
        <v>0</v>
      </c>
      <c r="Z1583">
        <v>616</v>
      </c>
      <c r="AA1583">
        <v>3.4275369949828501E-2</v>
      </c>
      <c r="AB1583">
        <v>2.9066737837809971</v>
      </c>
      <c r="AC1583">
        <v>4.0340660834250301E-2</v>
      </c>
      <c r="AD1583">
        <v>3.3044840604316297E-2</v>
      </c>
      <c r="AE1583">
        <v>0</v>
      </c>
      <c r="AF1583" t="b">
        <v>0</v>
      </c>
    </row>
    <row r="1584" spans="1:32" x14ac:dyDescent="0.3">
      <c r="A1584" t="s">
        <v>3185</v>
      </c>
      <c r="B1584" t="s">
        <v>3186</v>
      </c>
      <c r="C1584" t="s">
        <v>479</v>
      </c>
      <c r="D1584">
        <v>66</v>
      </c>
      <c r="E1584">
        <v>1434</v>
      </c>
      <c r="F1584">
        <v>11</v>
      </c>
      <c r="G1584">
        <v>120</v>
      </c>
      <c r="H1584">
        <v>60</v>
      </c>
      <c r="I1584">
        <v>0.96931659693165961</v>
      </c>
      <c r="J1584">
        <v>0.98533333333333317</v>
      </c>
      <c r="K1584" t="s">
        <v>86</v>
      </c>
      <c r="P1584">
        <v>0</v>
      </c>
      <c r="R1584">
        <v>0</v>
      </c>
      <c r="T1584">
        <v>0</v>
      </c>
      <c r="U1584" t="b">
        <v>0</v>
      </c>
      <c r="V1584">
        <v>7.7142857142857144</v>
      </c>
      <c r="Y1584">
        <v>0</v>
      </c>
      <c r="Z1584">
        <v>59</v>
      </c>
      <c r="AA1584">
        <v>2.3134813057720499E-2</v>
      </c>
      <c r="AB1584">
        <v>3.967312348668282</v>
      </c>
      <c r="AC1584">
        <v>1.8088665830196499E-2</v>
      </c>
      <c r="AD1584">
        <v>2.9555276732190099E-2</v>
      </c>
      <c r="AE1584">
        <v>0</v>
      </c>
      <c r="AF1584" t="b">
        <v>0</v>
      </c>
    </row>
    <row r="1585" spans="1:35" x14ac:dyDescent="0.3">
      <c r="A1585" t="s">
        <v>3187</v>
      </c>
      <c r="B1585" t="s">
        <v>3188</v>
      </c>
      <c r="C1585" t="s">
        <v>479</v>
      </c>
      <c r="D1585">
        <v>84</v>
      </c>
      <c r="E1585">
        <v>1099</v>
      </c>
      <c r="F1585">
        <v>11</v>
      </c>
      <c r="G1585">
        <v>120</v>
      </c>
      <c r="H1585">
        <v>60</v>
      </c>
      <c r="I1585">
        <v>1</v>
      </c>
      <c r="J1585">
        <v>1</v>
      </c>
      <c r="K1585" t="s">
        <v>86</v>
      </c>
      <c r="P1585">
        <v>0</v>
      </c>
      <c r="R1585">
        <v>0</v>
      </c>
      <c r="T1585">
        <v>0</v>
      </c>
      <c r="U1585" t="b">
        <v>0</v>
      </c>
      <c r="Y1585">
        <v>0</v>
      </c>
      <c r="Z1585">
        <v>36</v>
      </c>
      <c r="AA1585">
        <v>6.9832402234636E-3</v>
      </c>
      <c r="AB1585">
        <v>0.89285714285714279</v>
      </c>
      <c r="AD1585">
        <v>6.9832402234636E-3</v>
      </c>
      <c r="AE1585">
        <v>0</v>
      </c>
      <c r="AF1585" t="b">
        <v>0</v>
      </c>
    </row>
    <row r="1586" spans="1:35" x14ac:dyDescent="0.3">
      <c r="A1586" t="s">
        <v>3189</v>
      </c>
      <c r="B1586" t="s">
        <v>3190</v>
      </c>
      <c r="C1586" t="s">
        <v>479</v>
      </c>
      <c r="D1586">
        <v>118</v>
      </c>
      <c r="E1586">
        <v>1661</v>
      </c>
      <c r="F1586">
        <v>11</v>
      </c>
      <c r="G1586">
        <v>60</v>
      </c>
      <c r="H1586">
        <v>60</v>
      </c>
      <c r="I1586">
        <v>0.95544852498494881</v>
      </c>
      <c r="J1586">
        <v>0.97920179876335023</v>
      </c>
      <c r="K1586" t="s">
        <v>86</v>
      </c>
      <c r="P1586">
        <v>0</v>
      </c>
      <c r="R1586">
        <v>0</v>
      </c>
      <c r="T1586">
        <v>0</v>
      </c>
      <c r="U1586" t="b">
        <v>0</v>
      </c>
      <c r="V1586">
        <v>4.6792452830188678</v>
      </c>
      <c r="Y1586">
        <v>0</v>
      </c>
      <c r="Z1586">
        <v>80</v>
      </c>
      <c r="AA1586">
        <v>4.1408192058764198E-2</v>
      </c>
      <c r="AB1586">
        <v>3.3017857142857139</v>
      </c>
      <c r="AC1586">
        <v>-4.5420136260408001E-3</v>
      </c>
      <c r="AD1586">
        <v>3.72126096231334E-2</v>
      </c>
      <c r="AE1586">
        <v>0</v>
      </c>
      <c r="AF1586" t="b">
        <v>0</v>
      </c>
    </row>
    <row r="1587" spans="1:35" x14ac:dyDescent="0.3">
      <c r="A1587" t="s">
        <v>3191</v>
      </c>
      <c r="B1587" t="s">
        <v>2277</v>
      </c>
      <c r="C1587" t="s">
        <v>479</v>
      </c>
      <c r="D1587">
        <v>1055</v>
      </c>
      <c r="E1587">
        <v>13215</v>
      </c>
      <c r="F1587">
        <v>38</v>
      </c>
      <c r="G1587">
        <v>180</v>
      </c>
      <c r="H1587">
        <v>60</v>
      </c>
      <c r="I1587">
        <v>1</v>
      </c>
      <c r="J1587">
        <v>1</v>
      </c>
      <c r="K1587" t="s">
        <v>86</v>
      </c>
      <c r="P1587">
        <v>0</v>
      </c>
      <c r="R1587">
        <v>0</v>
      </c>
      <c r="T1587">
        <v>0</v>
      </c>
      <c r="U1587" t="b">
        <v>0</v>
      </c>
      <c r="V1587">
        <v>22.857142857142861</v>
      </c>
      <c r="Y1587">
        <v>0</v>
      </c>
      <c r="Z1587">
        <v>76</v>
      </c>
      <c r="AA1587">
        <v>5.8423236514522803E-2</v>
      </c>
      <c r="AB1587">
        <v>13.89473684210526</v>
      </c>
      <c r="AC1587">
        <v>7.0422535211267E-3</v>
      </c>
      <c r="AD1587">
        <v>7.8651685393258397E-2</v>
      </c>
      <c r="AE1587">
        <v>0</v>
      </c>
      <c r="AF1587" t="b">
        <v>0</v>
      </c>
    </row>
    <row r="1588" spans="1:35" x14ac:dyDescent="0.3">
      <c r="A1588" t="s">
        <v>3192</v>
      </c>
      <c r="B1588" t="s">
        <v>3193</v>
      </c>
      <c r="C1588" t="s">
        <v>479</v>
      </c>
      <c r="D1588">
        <v>525</v>
      </c>
      <c r="E1588">
        <v>9617</v>
      </c>
      <c r="F1588">
        <v>21</v>
      </c>
      <c r="G1588">
        <v>60</v>
      </c>
      <c r="H1588">
        <v>60</v>
      </c>
      <c r="I1588">
        <v>1</v>
      </c>
      <c r="J1588">
        <v>1</v>
      </c>
      <c r="K1588" t="s">
        <v>86</v>
      </c>
      <c r="P1588">
        <v>0</v>
      </c>
      <c r="R1588">
        <v>0</v>
      </c>
      <c r="T1588">
        <v>0</v>
      </c>
      <c r="U1588" t="b">
        <v>0</v>
      </c>
      <c r="V1588">
        <v>9.3514644351464433</v>
      </c>
      <c r="Y1588">
        <v>0</v>
      </c>
      <c r="Z1588">
        <v>280</v>
      </c>
      <c r="AA1588">
        <v>-1.32468536736802E-2</v>
      </c>
      <c r="AB1588">
        <v>-1.14097866419295</v>
      </c>
      <c r="AC1588">
        <v>1.6087691663226499E-2</v>
      </c>
      <c r="AD1588">
        <v>-2.6235410354206099E-2</v>
      </c>
      <c r="AE1588">
        <v>0</v>
      </c>
      <c r="AF1588" t="b">
        <v>0</v>
      </c>
    </row>
    <row r="1589" spans="1:35" x14ac:dyDescent="0.3">
      <c r="A1589" t="s">
        <v>3194</v>
      </c>
      <c r="B1589" t="s">
        <v>3195</v>
      </c>
      <c r="C1589" t="s">
        <v>479</v>
      </c>
      <c r="D1589">
        <v>77</v>
      </c>
      <c r="E1589">
        <v>1565</v>
      </c>
      <c r="F1589">
        <v>7</v>
      </c>
      <c r="G1589">
        <v>60</v>
      </c>
      <c r="H1589">
        <v>60</v>
      </c>
      <c r="I1589">
        <v>1</v>
      </c>
      <c r="J1589">
        <v>1</v>
      </c>
      <c r="K1589" t="s">
        <v>86</v>
      </c>
      <c r="P1589">
        <v>0</v>
      </c>
      <c r="R1589">
        <v>0</v>
      </c>
      <c r="T1589">
        <v>0</v>
      </c>
      <c r="U1589" t="b">
        <v>0</v>
      </c>
      <c r="Y1589">
        <v>0</v>
      </c>
      <c r="Z1589">
        <v>102</v>
      </c>
      <c r="AA1589">
        <v>3.8505747126436701E-2</v>
      </c>
      <c r="AB1589">
        <v>2.6274509803921569</v>
      </c>
      <c r="AC1589">
        <v>5.7692307692307598E-2</v>
      </c>
      <c r="AE1589">
        <v>0</v>
      </c>
      <c r="AF1589" t="b">
        <v>0</v>
      </c>
    </row>
    <row r="1590" spans="1:35" x14ac:dyDescent="0.3">
      <c r="A1590" t="s">
        <v>3196</v>
      </c>
      <c r="B1590" t="s">
        <v>3197</v>
      </c>
      <c r="C1590" t="s">
        <v>479</v>
      </c>
      <c r="D1590">
        <v>270</v>
      </c>
      <c r="E1590">
        <v>3932</v>
      </c>
      <c r="F1590">
        <v>46</v>
      </c>
      <c r="G1590">
        <v>120</v>
      </c>
      <c r="H1590">
        <v>1</v>
      </c>
      <c r="I1590">
        <v>0.90513733468972524</v>
      </c>
      <c r="J1590">
        <v>0.92931937172774881</v>
      </c>
      <c r="K1590" t="s">
        <v>86</v>
      </c>
      <c r="P1590">
        <v>0</v>
      </c>
      <c r="R1590">
        <v>0</v>
      </c>
      <c r="T1590">
        <v>0</v>
      </c>
      <c r="U1590" t="b">
        <v>0</v>
      </c>
      <c r="V1590">
        <v>0.83333333333333337</v>
      </c>
      <c r="Y1590">
        <v>0</v>
      </c>
      <c r="Z1590">
        <v>145</v>
      </c>
      <c r="AA1590">
        <v>-1.6962262358703999E-3</v>
      </c>
      <c r="AB1590">
        <v>-0.2155172413793103</v>
      </c>
      <c r="AC1590">
        <v>-3.2965783789927999E-3</v>
      </c>
      <c r="AD1590">
        <v>3.9489272081079998E-4</v>
      </c>
      <c r="AE1590">
        <v>0</v>
      </c>
      <c r="AF1590" t="b">
        <v>0</v>
      </c>
    </row>
    <row r="1591" spans="1:35" x14ac:dyDescent="0.3">
      <c r="A1591" t="s">
        <v>3198</v>
      </c>
      <c r="B1591" t="s">
        <v>2952</v>
      </c>
      <c r="C1591" t="s">
        <v>3152</v>
      </c>
      <c r="D1591">
        <v>103</v>
      </c>
      <c r="E1591">
        <v>427</v>
      </c>
      <c r="F1591">
        <v>34</v>
      </c>
      <c r="G1591">
        <v>720</v>
      </c>
      <c r="H1591">
        <v>60</v>
      </c>
      <c r="I1591">
        <v>1</v>
      </c>
      <c r="J1591">
        <v>1</v>
      </c>
      <c r="K1591" t="s">
        <v>86</v>
      </c>
      <c r="P1591">
        <v>0</v>
      </c>
      <c r="R1591">
        <v>0</v>
      </c>
      <c r="T1591">
        <v>1</v>
      </c>
      <c r="U1591" t="b">
        <v>0</v>
      </c>
      <c r="W1591">
        <v>12.47770700636943</v>
      </c>
      <c r="Y1591">
        <v>0</v>
      </c>
      <c r="Z1591">
        <v>0</v>
      </c>
      <c r="AE1591">
        <v>1</v>
      </c>
      <c r="AF1591" t="b">
        <v>0</v>
      </c>
      <c r="AG1591">
        <v>-1.36947567609797E-5</v>
      </c>
      <c r="AH1591">
        <v>-5.0385299347950998E-3</v>
      </c>
    </row>
    <row r="1592" spans="1:35" x14ac:dyDescent="0.3">
      <c r="A1592" t="s">
        <v>3199</v>
      </c>
      <c r="B1592" t="s">
        <v>2743</v>
      </c>
      <c r="C1592" t="s">
        <v>479</v>
      </c>
      <c r="D1592">
        <v>280</v>
      </c>
      <c r="E1592">
        <v>7040</v>
      </c>
      <c r="F1592">
        <v>10</v>
      </c>
      <c r="G1592">
        <v>60</v>
      </c>
      <c r="H1592">
        <v>60</v>
      </c>
      <c r="I1592">
        <v>1</v>
      </c>
      <c r="J1592">
        <v>1</v>
      </c>
      <c r="K1592" t="s">
        <v>86</v>
      </c>
      <c r="P1592">
        <v>0</v>
      </c>
      <c r="R1592">
        <v>0</v>
      </c>
      <c r="T1592">
        <v>0</v>
      </c>
      <c r="U1592" t="b">
        <v>0</v>
      </c>
      <c r="V1592">
        <v>2.307692307692307</v>
      </c>
      <c r="Y1592">
        <v>0</v>
      </c>
      <c r="Z1592">
        <v>241</v>
      </c>
      <c r="AA1592">
        <v>2.96228150873965E-2</v>
      </c>
      <c r="AB1592">
        <v>2.6721991701244812</v>
      </c>
      <c r="AC1592">
        <v>4.3035993740218999E-2</v>
      </c>
      <c r="AD1592">
        <v>7.6604554865424404E-2</v>
      </c>
      <c r="AE1592">
        <v>0</v>
      </c>
      <c r="AF1592" t="b">
        <v>0</v>
      </c>
    </row>
    <row r="1593" spans="1:35" x14ac:dyDescent="0.3">
      <c r="A1593" t="s">
        <v>3200</v>
      </c>
      <c r="B1593" t="s">
        <v>3201</v>
      </c>
      <c r="C1593" t="s">
        <v>479</v>
      </c>
      <c r="D1593">
        <v>1747</v>
      </c>
      <c r="E1593">
        <v>45648</v>
      </c>
      <c r="F1593">
        <v>278</v>
      </c>
      <c r="G1593">
        <v>64</v>
      </c>
      <c r="H1593">
        <v>1</v>
      </c>
      <c r="I1593">
        <v>7.6213634770417094E-2</v>
      </c>
      <c r="J1593">
        <v>0.35702078278299398</v>
      </c>
      <c r="K1593" t="s">
        <v>86</v>
      </c>
      <c r="P1593">
        <v>0</v>
      </c>
      <c r="R1593">
        <v>0</v>
      </c>
      <c r="T1593">
        <v>1</v>
      </c>
      <c r="U1593" t="b">
        <v>1</v>
      </c>
      <c r="V1593">
        <v>9.8414188103773554</v>
      </c>
      <c r="W1593">
        <v>4.7963068181818187</v>
      </c>
      <c r="X1593" t="b">
        <v>1</v>
      </c>
      <c r="Y1593">
        <v>0</v>
      </c>
      <c r="Z1593">
        <v>1354</v>
      </c>
      <c r="AA1593">
        <v>2.8025824436121699E-2</v>
      </c>
      <c r="AB1593">
        <v>2.4451652898890992</v>
      </c>
      <c r="AC1593">
        <v>-2.9848769975576801E-2</v>
      </c>
      <c r="AD1593">
        <v>7.8644247056238306E-2</v>
      </c>
      <c r="AE1593">
        <v>1</v>
      </c>
      <c r="AF1593" t="b">
        <v>1</v>
      </c>
      <c r="AG1593">
        <v>8.0956177559741004E-3</v>
      </c>
      <c r="AH1593">
        <v>1.0323739035087729</v>
      </c>
      <c r="AI1593" t="b">
        <v>1</v>
      </c>
    </row>
    <row r="1594" spans="1:35" x14ac:dyDescent="0.3">
      <c r="A1594" t="s">
        <v>3202</v>
      </c>
      <c r="B1594" t="s">
        <v>3203</v>
      </c>
      <c r="C1594" t="s">
        <v>479</v>
      </c>
      <c r="D1594">
        <v>193</v>
      </c>
      <c r="E1594">
        <v>2410</v>
      </c>
      <c r="F1594">
        <v>8</v>
      </c>
      <c r="G1594">
        <v>60</v>
      </c>
      <c r="H1594">
        <v>60</v>
      </c>
      <c r="I1594">
        <v>1</v>
      </c>
      <c r="J1594">
        <v>1</v>
      </c>
      <c r="K1594" t="s">
        <v>86</v>
      </c>
      <c r="P1594">
        <v>0</v>
      </c>
      <c r="R1594">
        <v>0</v>
      </c>
      <c r="T1594">
        <v>0</v>
      </c>
      <c r="U1594" t="b">
        <v>0</v>
      </c>
      <c r="Y1594">
        <v>0</v>
      </c>
      <c r="Z1594">
        <v>116</v>
      </c>
      <c r="AA1594">
        <v>0</v>
      </c>
      <c r="AB1594">
        <v>0</v>
      </c>
      <c r="AD1594">
        <v>0</v>
      </c>
      <c r="AE1594">
        <v>0</v>
      </c>
      <c r="AF1594" t="b">
        <v>0</v>
      </c>
    </row>
    <row r="1595" spans="1:35" x14ac:dyDescent="0.3">
      <c r="A1595" t="s">
        <v>3204</v>
      </c>
      <c r="B1595" t="s">
        <v>2277</v>
      </c>
      <c r="C1595" t="s">
        <v>479</v>
      </c>
      <c r="D1595">
        <v>463</v>
      </c>
      <c r="E1595">
        <v>5773</v>
      </c>
      <c r="F1595">
        <v>36</v>
      </c>
      <c r="G1595">
        <v>180</v>
      </c>
      <c r="H1595">
        <v>60</v>
      </c>
      <c r="I1595">
        <v>1</v>
      </c>
      <c r="J1595">
        <v>1</v>
      </c>
      <c r="K1595" t="s">
        <v>86</v>
      </c>
      <c r="P1595">
        <v>0</v>
      </c>
      <c r="R1595">
        <v>0</v>
      </c>
      <c r="T1595">
        <v>0</v>
      </c>
      <c r="U1595" t="b">
        <v>0</v>
      </c>
      <c r="V1595">
        <v>3</v>
      </c>
      <c r="Y1595">
        <v>0</v>
      </c>
      <c r="Z1595">
        <v>33</v>
      </c>
      <c r="AA1595">
        <v>1.6627358490565999E-2</v>
      </c>
      <c r="AB1595">
        <v>2.1363636363636358</v>
      </c>
      <c r="AC1595">
        <v>1.01522842639593E-2</v>
      </c>
      <c r="AD1595">
        <v>0</v>
      </c>
      <c r="AE1595">
        <v>0</v>
      </c>
      <c r="AF1595" t="b">
        <v>0</v>
      </c>
    </row>
    <row r="1596" spans="1:35" x14ac:dyDescent="0.3">
      <c r="A1596" t="s">
        <v>3205</v>
      </c>
      <c r="B1596" t="s">
        <v>3206</v>
      </c>
      <c r="C1596" t="s">
        <v>479</v>
      </c>
      <c r="D1596">
        <v>61</v>
      </c>
      <c r="E1596">
        <v>900</v>
      </c>
      <c r="F1596">
        <v>4</v>
      </c>
      <c r="G1596">
        <v>60</v>
      </c>
      <c r="H1596">
        <v>60</v>
      </c>
      <c r="I1596">
        <v>1</v>
      </c>
      <c r="J1596">
        <v>1</v>
      </c>
      <c r="K1596" t="s">
        <v>86</v>
      </c>
      <c r="P1596">
        <v>0</v>
      </c>
      <c r="R1596">
        <v>0</v>
      </c>
      <c r="T1596">
        <v>0</v>
      </c>
      <c r="U1596" t="b">
        <v>0</v>
      </c>
      <c r="V1596">
        <v>1.0526315789473679</v>
      </c>
      <c r="Y1596">
        <v>0</v>
      </c>
      <c r="Z1596">
        <v>38</v>
      </c>
      <c r="AA1596">
        <v>-6.9444444444440002E-4</v>
      </c>
      <c r="AB1596">
        <v>-5.2631578947368397E-2</v>
      </c>
      <c r="AC1596">
        <v>0</v>
      </c>
      <c r="AD1596">
        <v>-6.8965517241378997E-3</v>
      </c>
      <c r="AE1596">
        <v>0</v>
      </c>
      <c r="AF1596" t="b">
        <v>0</v>
      </c>
    </row>
    <row r="1597" spans="1:35" x14ac:dyDescent="0.3">
      <c r="A1597" t="s">
        <v>3207</v>
      </c>
      <c r="B1597" t="s">
        <v>2698</v>
      </c>
      <c r="C1597" t="s">
        <v>479</v>
      </c>
      <c r="D1597">
        <v>113</v>
      </c>
      <c r="E1597">
        <v>1353</v>
      </c>
      <c r="F1597">
        <v>6</v>
      </c>
      <c r="G1597">
        <v>60</v>
      </c>
      <c r="H1597">
        <v>60</v>
      </c>
      <c r="I1597">
        <v>1</v>
      </c>
      <c r="J1597">
        <v>1</v>
      </c>
      <c r="K1597" t="s">
        <v>86</v>
      </c>
      <c r="P1597">
        <v>0</v>
      </c>
      <c r="R1597">
        <v>0</v>
      </c>
      <c r="T1597">
        <v>0</v>
      </c>
      <c r="U1597" t="b">
        <v>0</v>
      </c>
      <c r="V1597">
        <v>0</v>
      </c>
      <c r="Y1597">
        <v>0</v>
      </c>
      <c r="Z1597">
        <v>44</v>
      </c>
      <c r="AA1597">
        <v>0</v>
      </c>
      <c r="AB1597">
        <v>0</v>
      </c>
      <c r="AC1597">
        <v>0</v>
      </c>
      <c r="AD1597">
        <v>0</v>
      </c>
      <c r="AE1597">
        <v>0</v>
      </c>
      <c r="AF1597" t="b">
        <v>0</v>
      </c>
    </row>
    <row r="1598" spans="1:35" x14ac:dyDescent="0.3">
      <c r="A1598" t="s">
        <v>3208</v>
      </c>
      <c r="B1598" t="s">
        <v>2698</v>
      </c>
      <c r="C1598" t="s">
        <v>479</v>
      </c>
      <c r="D1598">
        <v>333</v>
      </c>
      <c r="E1598">
        <v>1551</v>
      </c>
      <c r="F1598">
        <v>9</v>
      </c>
      <c r="G1598">
        <v>180</v>
      </c>
      <c r="H1598">
        <v>60</v>
      </c>
      <c r="I1598">
        <v>1</v>
      </c>
      <c r="J1598">
        <v>1</v>
      </c>
      <c r="K1598" t="s">
        <v>86</v>
      </c>
      <c r="P1598">
        <v>0</v>
      </c>
      <c r="R1598">
        <v>0</v>
      </c>
      <c r="T1598">
        <v>0</v>
      </c>
      <c r="U1598" t="b">
        <v>0</v>
      </c>
      <c r="Y1598">
        <v>0</v>
      </c>
      <c r="Z1598">
        <v>46</v>
      </c>
      <c r="AA1598">
        <v>0</v>
      </c>
      <c r="AB1598">
        <v>0</v>
      </c>
      <c r="AD1598">
        <v>0</v>
      </c>
      <c r="AE1598">
        <v>0</v>
      </c>
      <c r="AF1598" t="b">
        <v>0</v>
      </c>
    </row>
    <row r="1599" spans="1:35" x14ac:dyDescent="0.3">
      <c r="A1599" t="s">
        <v>3209</v>
      </c>
      <c r="B1599" t="s">
        <v>3210</v>
      </c>
      <c r="C1599" t="s">
        <v>549</v>
      </c>
      <c r="D1599">
        <v>557</v>
      </c>
      <c r="E1599">
        <v>11260</v>
      </c>
      <c r="F1599">
        <v>215</v>
      </c>
      <c r="G1599">
        <v>40</v>
      </c>
      <c r="H1599">
        <v>1</v>
      </c>
      <c r="I1599">
        <v>5.2575488454706901E-2</v>
      </c>
      <c r="J1599">
        <v>0.26191080646526188</v>
      </c>
      <c r="K1599" t="s">
        <v>432</v>
      </c>
      <c r="L1599">
        <v>0.76855377845476858</v>
      </c>
      <c r="M1599">
        <v>1</v>
      </c>
      <c r="N1599">
        <v>3.96388460691477E-2</v>
      </c>
      <c r="O1599" t="s">
        <v>433</v>
      </c>
      <c r="P1599">
        <v>8722</v>
      </c>
      <c r="Q1599">
        <v>0.91297867461591375</v>
      </c>
      <c r="R1599">
        <v>0</v>
      </c>
      <c r="T1599">
        <v>0</v>
      </c>
      <c r="U1599" t="b">
        <v>0</v>
      </c>
      <c r="V1599">
        <v>4.2144083151601937</v>
      </c>
      <c r="Y1599">
        <v>0</v>
      </c>
      <c r="Z1599">
        <v>35</v>
      </c>
      <c r="AA1599">
        <v>0.18966848824405549</v>
      </c>
      <c r="AB1599">
        <v>35.440911803317817</v>
      </c>
      <c r="AC1599">
        <v>0.1855635683760683</v>
      </c>
      <c r="AD1599">
        <v>0.19664198310326059</v>
      </c>
      <c r="AE1599">
        <v>0</v>
      </c>
      <c r="AF1599" t="b">
        <v>0</v>
      </c>
    </row>
    <row r="1600" spans="1:35" x14ac:dyDescent="0.3">
      <c r="A1600" t="s">
        <v>3211</v>
      </c>
      <c r="B1600" t="s">
        <v>3212</v>
      </c>
      <c r="C1600" t="s">
        <v>549</v>
      </c>
      <c r="D1600">
        <v>331</v>
      </c>
      <c r="E1600">
        <v>6024</v>
      </c>
      <c r="F1600">
        <v>208</v>
      </c>
      <c r="G1600">
        <v>44</v>
      </c>
      <c r="H1600">
        <v>1</v>
      </c>
      <c r="I1600">
        <v>2.78884462151394E-2</v>
      </c>
      <c r="J1600">
        <v>0.2434303697875688</v>
      </c>
      <c r="K1600" t="s">
        <v>432</v>
      </c>
      <c r="L1600">
        <v>0.76553894571203773</v>
      </c>
      <c r="M1600">
        <v>1</v>
      </c>
      <c r="N1600">
        <v>1.1716341212743999E-2</v>
      </c>
      <c r="O1600" t="s">
        <v>433</v>
      </c>
      <c r="P1600">
        <v>4808</v>
      </c>
      <c r="Q1600">
        <v>0.9875207986688852</v>
      </c>
      <c r="R1600">
        <v>0</v>
      </c>
      <c r="T1600">
        <v>0</v>
      </c>
      <c r="U1600" t="b">
        <v>0</v>
      </c>
      <c r="V1600">
        <v>3.309771825396826</v>
      </c>
      <c r="Y1600">
        <v>0</v>
      </c>
      <c r="Z1600">
        <v>0</v>
      </c>
      <c r="AE1600">
        <v>0</v>
      </c>
      <c r="AF1600" t="b">
        <v>0</v>
      </c>
    </row>
    <row r="1601" spans="1:35" x14ac:dyDescent="0.3">
      <c r="A1601" t="s">
        <v>3213</v>
      </c>
      <c r="B1601" t="s">
        <v>3214</v>
      </c>
      <c r="C1601" t="s">
        <v>765</v>
      </c>
      <c r="D1601">
        <v>18472</v>
      </c>
      <c r="E1601">
        <v>695270</v>
      </c>
      <c r="F1601">
        <v>34</v>
      </c>
      <c r="G1601">
        <v>60</v>
      </c>
      <c r="H1601">
        <v>60</v>
      </c>
      <c r="I1601">
        <v>1</v>
      </c>
      <c r="J1601">
        <v>1</v>
      </c>
      <c r="K1601" t="s">
        <v>86</v>
      </c>
      <c r="P1601">
        <v>0</v>
      </c>
      <c r="R1601">
        <v>0</v>
      </c>
      <c r="T1601">
        <v>1</v>
      </c>
      <c r="U1601" t="b">
        <v>1</v>
      </c>
      <c r="V1601">
        <v>8.8168904558043533</v>
      </c>
      <c r="W1601">
        <v>0</v>
      </c>
      <c r="X1601" t="b">
        <v>1</v>
      </c>
      <c r="Y1601">
        <v>0</v>
      </c>
      <c r="Z1601">
        <v>16746</v>
      </c>
      <c r="AA1601">
        <v>5.0873525020633699E-2</v>
      </c>
      <c r="AB1601">
        <v>3.9751554848766908</v>
      </c>
      <c r="AC1601">
        <v>4.2820374272459799E-2</v>
      </c>
      <c r="AD1601">
        <v>6.04625221130458E-2</v>
      </c>
      <c r="AE1601">
        <v>1</v>
      </c>
      <c r="AF1601" t="b">
        <v>1</v>
      </c>
      <c r="AG1601">
        <v>0</v>
      </c>
      <c r="AH1601">
        <v>0</v>
      </c>
      <c r="AI1601" t="b">
        <v>1</v>
      </c>
    </row>
    <row r="1602" spans="1:35" x14ac:dyDescent="0.3">
      <c r="A1602" t="s">
        <v>3215</v>
      </c>
      <c r="B1602" t="s">
        <v>3216</v>
      </c>
      <c r="C1602" t="s">
        <v>517</v>
      </c>
      <c r="D1602">
        <v>45382</v>
      </c>
      <c r="E1602">
        <v>1355303</v>
      </c>
      <c r="F1602">
        <v>797</v>
      </c>
      <c r="G1602">
        <v>60</v>
      </c>
      <c r="H1602">
        <v>1</v>
      </c>
      <c r="I1602">
        <v>0.76451760233689436</v>
      </c>
      <c r="J1602">
        <v>0.84509946221981724</v>
      </c>
      <c r="K1602" t="s">
        <v>86</v>
      </c>
      <c r="P1602">
        <v>0</v>
      </c>
      <c r="R1602">
        <v>0</v>
      </c>
      <c r="T1602">
        <v>2</v>
      </c>
      <c r="U1602" t="b">
        <v>1</v>
      </c>
      <c r="V1602">
        <v>9.3153400438746594</v>
      </c>
      <c r="W1602">
        <v>4.594220104895574</v>
      </c>
      <c r="X1602" t="b">
        <v>1</v>
      </c>
      <c r="Y1602">
        <v>0</v>
      </c>
      <c r="Z1602">
        <v>31929</v>
      </c>
      <c r="AA1602">
        <v>6.1059482482247997E-2</v>
      </c>
      <c r="AB1602">
        <v>4.5243829007006244</v>
      </c>
      <c r="AC1602">
        <v>6.9161204955280706E-2</v>
      </c>
      <c r="AD1602">
        <v>6.76507159803241E-2</v>
      </c>
      <c r="AE1602">
        <v>2</v>
      </c>
      <c r="AF1602" t="b">
        <v>1</v>
      </c>
      <c r="AG1602">
        <v>0</v>
      </c>
      <c r="AH1602">
        <v>0</v>
      </c>
      <c r="AI1602" t="b">
        <v>1</v>
      </c>
    </row>
    <row r="1603" spans="1:35" x14ac:dyDescent="0.3">
      <c r="A1603" t="s">
        <v>3217</v>
      </c>
      <c r="B1603" t="s">
        <v>3218</v>
      </c>
      <c r="C1603" t="s">
        <v>507</v>
      </c>
      <c r="D1603">
        <v>21039</v>
      </c>
      <c r="E1603">
        <v>489260</v>
      </c>
      <c r="F1603">
        <v>35</v>
      </c>
      <c r="G1603">
        <v>60</v>
      </c>
      <c r="H1603">
        <v>60</v>
      </c>
      <c r="I1603">
        <v>1</v>
      </c>
      <c r="J1603">
        <v>1</v>
      </c>
      <c r="K1603" t="s">
        <v>86</v>
      </c>
      <c r="P1603">
        <v>0</v>
      </c>
      <c r="R1603">
        <v>0</v>
      </c>
      <c r="T1603">
        <v>2</v>
      </c>
      <c r="U1603" t="b">
        <v>1</v>
      </c>
      <c r="V1603">
        <v>0.65733423852423656</v>
      </c>
      <c r="W1603">
        <v>0.14224289224289219</v>
      </c>
      <c r="X1603" t="b">
        <v>1</v>
      </c>
      <c r="Y1603">
        <v>0</v>
      </c>
      <c r="Z1603">
        <v>9288</v>
      </c>
      <c r="AA1603">
        <v>3.0094358264431999E-3</v>
      </c>
      <c r="AB1603">
        <v>0.2612064256166603</v>
      </c>
      <c r="AC1603">
        <v>2.5301124568482998E-3</v>
      </c>
      <c r="AD1603">
        <v>4.2532835221156997E-3</v>
      </c>
      <c r="AE1603">
        <v>2</v>
      </c>
      <c r="AF1603" t="b">
        <v>1</v>
      </c>
      <c r="AG1603">
        <v>0</v>
      </c>
      <c r="AH1603">
        <v>0</v>
      </c>
      <c r="AI1603" t="b">
        <v>1</v>
      </c>
    </row>
    <row r="1604" spans="1:35" x14ac:dyDescent="0.3">
      <c r="A1604" t="s">
        <v>3219</v>
      </c>
      <c r="B1604" t="s">
        <v>3220</v>
      </c>
      <c r="C1604" t="s">
        <v>549</v>
      </c>
      <c r="D1604">
        <v>6410</v>
      </c>
      <c r="E1604">
        <v>163965</v>
      </c>
      <c r="F1604">
        <v>19</v>
      </c>
      <c r="G1604">
        <v>60</v>
      </c>
      <c r="H1604">
        <v>60</v>
      </c>
      <c r="I1604">
        <v>1</v>
      </c>
      <c r="J1604">
        <v>1</v>
      </c>
      <c r="K1604" t="s">
        <v>86</v>
      </c>
      <c r="P1604">
        <v>0</v>
      </c>
      <c r="R1604">
        <v>0</v>
      </c>
      <c r="T1604">
        <v>0</v>
      </c>
      <c r="U1604" t="b">
        <v>0</v>
      </c>
      <c r="V1604">
        <v>4.6819395973663482</v>
      </c>
      <c r="Y1604">
        <v>0</v>
      </c>
      <c r="Z1604">
        <v>4175</v>
      </c>
      <c r="AA1604">
        <v>2.3079836840904002E-3</v>
      </c>
      <c r="AB1604">
        <v>0.1791291901548229</v>
      </c>
      <c r="AC1604">
        <v>-1.2511211147909601E-2</v>
      </c>
      <c r="AD1604">
        <v>1.54922242538473E-2</v>
      </c>
      <c r="AE1604">
        <v>0</v>
      </c>
      <c r="AF1604" t="b">
        <v>0</v>
      </c>
    </row>
    <row r="1605" spans="1:35" x14ac:dyDescent="0.3">
      <c r="A1605" t="s">
        <v>3221</v>
      </c>
      <c r="B1605" t="s">
        <v>3222</v>
      </c>
      <c r="C1605" t="s">
        <v>537</v>
      </c>
      <c r="D1605">
        <v>1405</v>
      </c>
      <c r="E1605">
        <v>2804</v>
      </c>
      <c r="F1605">
        <v>60</v>
      </c>
      <c r="G1605">
        <v>660</v>
      </c>
      <c r="H1605">
        <v>60</v>
      </c>
      <c r="I1605">
        <v>0.99572039942938662</v>
      </c>
      <c r="J1605">
        <v>0.99764761232651145</v>
      </c>
      <c r="K1605" t="s">
        <v>86</v>
      </c>
      <c r="P1605">
        <v>0</v>
      </c>
      <c r="R1605">
        <v>0</v>
      </c>
      <c r="T1605">
        <v>2</v>
      </c>
      <c r="U1605" t="b">
        <v>1</v>
      </c>
      <c r="V1605">
        <v>20.918650793650801</v>
      </c>
      <c r="W1605">
        <v>10.10581066053382</v>
      </c>
      <c r="X1605" t="b">
        <v>1</v>
      </c>
      <c r="Y1605">
        <v>0</v>
      </c>
      <c r="Z1605">
        <v>70</v>
      </c>
      <c r="AA1605">
        <v>4.1090438926450999E-3</v>
      </c>
      <c r="AB1605">
        <v>3.6691651534016079</v>
      </c>
      <c r="AC1605">
        <v>-8.0114496476260001E-3</v>
      </c>
      <c r="AD1605">
        <v>-2.9845324463812E-3</v>
      </c>
      <c r="AE1605">
        <v>2</v>
      </c>
      <c r="AF1605" t="b">
        <v>1</v>
      </c>
      <c r="AG1605">
        <v>7.3944745512447996E-3</v>
      </c>
      <c r="AH1605">
        <v>2.109646068293435</v>
      </c>
      <c r="AI1605" t="b">
        <v>0</v>
      </c>
    </row>
    <row r="1606" spans="1:35" x14ac:dyDescent="0.3">
      <c r="A1606" t="s">
        <v>3223</v>
      </c>
      <c r="B1606" t="s">
        <v>3224</v>
      </c>
      <c r="C1606" t="s">
        <v>431</v>
      </c>
      <c r="D1606">
        <v>356</v>
      </c>
      <c r="E1606">
        <v>225</v>
      </c>
      <c r="F1606">
        <v>8</v>
      </c>
      <c r="G1606">
        <v>240</v>
      </c>
      <c r="H1606">
        <v>60</v>
      </c>
      <c r="I1606">
        <v>1</v>
      </c>
      <c r="J1606">
        <v>1</v>
      </c>
      <c r="K1606" t="s">
        <v>86</v>
      </c>
      <c r="P1606">
        <v>0</v>
      </c>
      <c r="R1606">
        <v>0</v>
      </c>
      <c r="T1606">
        <v>0</v>
      </c>
      <c r="U1606" t="b">
        <v>0</v>
      </c>
      <c r="V1606">
        <v>0</v>
      </c>
      <c r="Y1606">
        <v>0.66335174953959486</v>
      </c>
      <c r="Z1606">
        <v>10</v>
      </c>
      <c r="AA1606">
        <v>0</v>
      </c>
      <c r="AB1606">
        <v>0</v>
      </c>
      <c r="AC1606">
        <v>0</v>
      </c>
      <c r="AD1606">
        <v>0</v>
      </c>
      <c r="AE1606">
        <v>0</v>
      </c>
      <c r="AF1606" t="b">
        <v>0</v>
      </c>
    </row>
    <row r="1607" spans="1:35" x14ac:dyDescent="0.3">
      <c r="A1607" t="s">
        <v>3225</v>
      </c>
      <c r="B1607" t="s">
        <v>3226</v>
      </c>
      <c r="C1607" t="s">
        <v>431</v>
      </c>
      <c r="D1607">
        <v>455</v>
      </c>
      <c r="E1607">
        <v>11713</v>
      </c>
      <c r="F1607">
        <v>154</v>
      </c>
      <c r="G1607">
        <v>38</v>
      </c>
      <c r="H1607">
        <v>1</v>
      </c>
      <c r="I1607">
        <v>2.50149406642192E-2</v>
      </c>
      <c r="J1607">
        <v>0.1988664366683095</v>
      </c>
      <c r="K1607" t="s">
        <v>86</v>
      </c>
      <c r="P1607">
        <v>0</v>
      </c>
      <c r="R1607">
        <v>0</v>
      </c>
      <c r="T1607">
        <v>0</v>
      </c>
      <c r="U1607" t="b">
        <v>0</v>
      </c>
      <c r="V1607">
        <v>0</v>
      </c>
      <c r="Y1607">
        <v>0</v>
      </c>
      <c r="Z1607">
        <v>526</v>
      </c>
      <c r="AA1607">
        <v>-6.3113604488069998E-4</v>
      </c>
      <c r="AB1607">
        <v>-3.4220532319391601E-2</v>
      </c>
      <c r="AC1607">
        <v>-5.7663690476190002E-3</v>
      </c>
      <c r="AD1607">
        <v>-5.7663690476190002E-3</v>
      </c>
      <c r="AE1607">
        <v>0</v>
      </c>
      <c r="AF1607" t="b">
        <v>0</v>
      </c>
    </row>
    <row r="1608" spans="1:35" x14ac:dyDescent="0.3">
      <c r="A1608" t="s">
        <v>3227</v>
      </c>
      <c r="B1608" t="s">
        <v>3228</v>
      </c>
      <c r="C1608" t="s">
        <v>431</v>
      </c>
      <c r="D1608">
        <v>820</v>
      </c>
      <c r="E1608">
        <v>15871</v>
      </c>
      <c r="F1608">
        <v>216</v>
      </c>
      <c r="G1608">
        <v>41</v>
      </c>
      <c r="H1608">
        <v>1</v>
      </c>
      <c r="I1608">
        <v>1.1593472370991099E-2</v>
      </c>
      <c r="J1608">
        <v>0.23551614642621771</v>
      </c>
      <c r="K1608" t="s">
        <v>86</v>
      </c>
      <c r="P1608">
        <v>0</v>
      </c>
      <c r="R1608">
        <v>0</v>
      </c>
      <c r="T1608">
        <v>0</v>
      </c>
      <c r="U1608" t="b">
        <v>0</v>
      </c>
      <c r="V1608">
        <v>2.0605117565698481</v>
      </c>
      <c r="Y1608">
        <v>0</v>
      </c>
      <c r="Z1608">
        <v>651</v>
      </c>
      <c r="AA1608">
        <v>-8.1852205352427009E-3</v>
      </c>
      <c r="AB1608">
        <v>-0.43116511837709992</v>
      </c>
      <c r="AC1608">
        <v>-1.8100506457757799E-2</v>
      </c>
      <c r="AD1608">
        <v>-3.1635627496979901E-2</v>
      </c>
      <c r="AE1608">
        <v>0</v>
      </c>
      <c r="AF1608" t="b">
        <v>0</v>
      </c>
    </row>
    <row r="1609" spans="1:35" x14ac:dyDescent="0.3">
      <c r="A1609" t="s">
        <v>3229</v>
      </c>
      <c r="B1609" t="s">
        <v>3230</v>
      </c>
      <c r="C1609" t="s">
        <v>431</v>
      </c>
      <c r="D1609">
        <v>906</v>
      </c>
      <c r="E1609">
        <v>25535</v>
      </c>
      <c r="F1609">
        <v>170</v>
      </c>
      <c r="G1609">
        <v>41</v>
      </c>
      <c r="H1609">
        <v>1</v>
      </c>
      <c r="I1609">
        <v>1.3902486782846999E-2</v>
      </c>
      <c r="J1609">
        <v>0.2043417419916039</v>
      </c>
      <c r="K1609" t="s">
        <v>86</v>
      </c>
      <c r="P1609">
        <v>0</v>
      </c>
      <c r="R1609">
        <v>0</v>
      </c>
      <c r="T1609">
        <v>0</v>
      </c>
      <c r="U1609" t="b">
        <v>0</v>
      </c>
      <c r="V1609">
        <v>2.9168195047258769</v>
      </c>
      <c r="Y1609">
        <v>0</v>
      </c>
      <c r="Z1609">
        <v>797</v>
      </c>
      <c r="AA1609">
        <v>4.8835517053071997E-3</v>
      </c>
      <c r="AB1609">
        <v>0.25036518270520769</v>
      </c>
      <c r="AC1609">
        <v>-1.99105351874749E-2</v>
      </c>
      <c r="AD1609">
        <v>2.56951262849839E-2</v>
      </c>
      <c r="AE1609">
        <v>0</v>
      </c>
      <c r="AF1609" t="b">
        <v>0</v>
      </c>
    </row>
    <row r="1610" spans="1:35" x14ac:dyDescent="0.3">
      <c r="A1610" t="s">
        <v>3231</v>
      </c>
      <c r="B1610" t="s">
        <v>3232</v>
      </c>
      <c r="C1610" t="s">
        <v>431</v>
      </c>
      <c r="D1610">
        <v>1976</v>
      </c>
      <c r="E1610">
        <v>88379</v>
      </c>
      <c r="F1610">
        <v>258</v>
      </c>
      <c r="G1610">
        <v>31</v>
      </c>
      <c r="H1610">
        <v>1</v>
      </c>
      <c r="I1610">
        <v>1.6734744679165799E-2</v>
      </c>
      <c r="J1610">
        <v>0.1456366554147529</v>
      </c>
      <c r="K1610" t="s">
        <v>86</v>
      </c>
      <c r="P1610">
        <v>0</v>
      </c>
      <c r="R1610">
        <v>0</v>
      </c>
      <c r="T1610">
        <v>0</v>
      </c>
      <c r="U1610" t="b">
        <v>0</v>
      </c>
      <c r="V1610">
        <v>4.5676678915303111</v>
      </c>
      <c r="Y1610">
        <v>0</v>
      </c>
      <c r="Z1610">
        <v>2660</v>
      </c>
      <c r="AA1610">
        <v>2.6503132837011001E-2</v>
      </c>
      <c r="AB1610">
        <v>0.95275989630001356</v>
      </c>
      <c r="AC1610">
        <v>-1.07162698240587E-2</v>
      </c>
      <c r="AD1610">
        <v>5.1683360279010902E-2</v>
      </c>
      <c r="AE1610">
        <v>0</v>
      </c>
      <c r="AF1610" t="b">
        <v>0</v>
      </c>
    </row>
    <row r="1611" spans="1:35" x14ac:dyDescent="0.3">
      <c r="A1611" t="s">
        <v>3233</v>
      </c>
      <c r="B1611" t="s">
        <v>3234</v>
      </c>
      <c r="C1611" t="s">
        <v>431</v>
      </c>
      <c r="D1611">
        <v>594</v>
      </c>
      <c r="E1611">
        <v>299</v>
      </c>
      <c r="F1611">
        <v>19</v>
      </c>
      <c r="G1611">
        <v>540</v>
      </c>
      <c r="H1611">
        <v>60</v>
      </c>
      <c r="I1611">
        <v>1</v>
      </c>
      <c r="J1611">
        <v>1</v>
      </c>
      <c r="K1611" t="s">
        <v>86</v>
      </c>
      <c r="P1611">
        <v>0</v>
      </c>
      <c r="R1611">
        <v>0</v>
      </c>
      <c r="T1611">
        <v>0</v>
      </c>
      <c r="U1611" t="b">
        <v>0</v>
      </c>
      <c r="Y1611">
        <v>0.89153748538157207</v>
      </c>
      <c r="Z1611">
        <v>10</v>
      </c>
      <c r="AA1611">
        <v>1.91358024691358E-2</v>
      </c>
      <c r="AB1611">
        <v>9.3000000000000007</v>
      </c>
      <c r="AC1611">
        <v>-1.85185185185185E-2</v>
      </c>
      <c r="AD1611">
        <v>0</v>
      </c>
      <c r="AE1611">
        <v>0</v>
      </c>
      <c r="AF1611" t="b">
        <v>0</v>
      </c>
    </row>
    <row r="1612" spans="1:35" x14ac:dyDescent="0.3">
      <c r="A1612" t="s">
        <v>3235</v>
      </c>
      <c r="B1612" t="s">
        <v>3236</v>
      </c>
      <c r="C1612" t="s">
        <v>431</v>
      </c>
      <c r="D1612">
        <v>443</v>
      </c>
      <c r="E1612">
        <v>20929</v>
      </c>
      <c r="F1612">
        <v>275</v>
      </c>
      <c r="G1612">
        <v>57</v>
      </c>
      <c r="H1612">
        <v>1</v>
      </c>
      <c r="I1612">
        <v>3.4163122939461901E-2</v>
      </c>
      <c r="J1612">
        <v>0.16947407823320229</v>
      </c>
      <c r="K1612" t="s">
        <v>432</v>
      </c>
      <c r="L1612">
        <v>0.84409507767171998</v>
      </c>
      <c r="M1612">
        <v>1</v>
      </c>
      <c r="N1612">
        <v>1.60753880266075E-2</v>
      </c>
      <c r="O1612" t="s">
        <v>433</v>
      </c>
      <c r="P1612">
        <v>17750</v>
      </c>
      <c r="Q1612">
        <v>0.16754929577464789</v>
      </c>
      <c r="R1612">
        <v>0</v>
      </c>
      <c r="T1612">
        <v>0</v>
      </c>
      <c r="U1612" t="b">
        <v>0</v>
      </c>
      <c r="V1612">
        <v>9.4501700680272105</v>
      </c>
      <c r="Y1612">
        <v>0</v>
      </c>
      <c r="Z1612">
        <v>864</v>
      </c>
      <c r="AA1612">
        <v>-5.1178954316863701E-2</v>
      </c>
      <c r="AB1612">
        <v>-3.3819316293274619</v>
      </c>
      <c r="AC1612">
        <v>-9.3642383907081406E-2</v>
      </c>
      <c r="AD1612">
        <v>-8.2063747782953004E-3</v>
      </c>
      <c r="AE1612">
        <v>0</v>
      </c>
      <c r="AF1612" t="b">
        <v>0</v>
      </c>
    </row>
    <row r="1613" spans="1:35" x14ac:dyDescent="0.3">
      <c r="A1613" t="s">
        <v>3237</v>
      </c>
      <c r="B1613" t="s">
        <v>3238</v>
      </c>
      <c r="C1613" t="s">
        <v>457</v>
      </c>
      <c r="D1613">
        <v>1749</v>
      </c>
      <c r="E1613">
        <v>118252</v>
      </c>
      <c r="F1613">
        <v>325</v>
      </c>
      <c r="G1613">
        <v>49</v>
      </c>
      <c r="H1613">
        <v>1</v>
      </c>
      <c r="I1613">
        <v>1.3209078916212799E-2</v>
      </c>
      <c r="J1613">
        <v>0.11351572070232741</v>
      </c>
      <c r="K1613" t="s">
        <v>432</v>
      </c>
      <c r="L1613">
        <v>0.88648427929767248</v>
      </c>
      <c r="M1613">
        <v>1</v>
      </c>
      <c r="N1613">
        <v>0</v>
      </c>
      <c r="O1613" t="s">
        <v>518</v>
      </c>
      <c r="P1613">
        <v>106379</v>
      </c>
      <c r="Q1613">
        <v>3.7761212269338797E-2</v>
      </c>
      <c r="R1613">
        <v>0</v>
      </c>
      <c r="T1613">
        <v>0</v>
      </c>
      <c r="U1613" t="b">
        <v>0</v>
      </c>
      <c r="V1613">
        <v>6.1893694485491357</v>
      </c>
      <c r="Y1613">
        <v>0</v>
      </c>
      <c r="Z1613">
        <v>2653</v>
      </c>
      <c r="AA1613">
        <v>5.2068828415539101E-2</v>
      </c>
      <c r="AB1613">
        <v>3.2443012715504178</v>
      </c>
      <c r="AC1613">
        <v>4.2550126944902303E-2</v>
      </c>
      <c r="AD1613">
        <v>6.9687423135580406E-2</v>
      </c>
      <c r="AE1613">
        <v>0</v>
      </c>
      <c r="AF1613" t="b">
        <v>0</v>
      </c>
    </row>
    <row r="1614" spans="1:35" x14ac:dyDescent="0.3">
      <c r="A1614" t="s">
        <v>3239</v>
      </c>
      <c r="B1614" t="s">
        <v>3240</v>
      </c>
      <c r="C1614" t="s">
        <v>431</v>
      </c>
      <c r="D1614">
        <v>8752</v>
      </c>
      <c r="E1614">
        <v>18095</v>
      </c>
      <c r="F1614">
        <v>51</v>
      </c>
      <c r="G1614">
        <v>360</v>
      </c>
      <c r="H1614">
        <v>1</v>
      </c>
      <c r="I1614">
        <v>0.95109146172975956</v>
      </c>
      <c r="J1614">
        <v>0.96826461057101365</v>
      </c>
      <c r="K1614" t="s">
        <v>432</v>
      </c>
      <c r="L1614">
        <v>0.94193019704250003</v>
      </c>
      <c r="M1614">
        <v>1</v>
      </c>
      <c r="N1614">
        <v>0.96630813033850038</v>
      </c>
      <c r="O1614" t="s">
        <v>518</v>
      </c>
      <c r="P1614">
        <v>0</v>
      </c>
      <c r="R1614">
        <v>0</v>
      </c>
      <c r="T1614">
        <v>0</v>
      </c>
      <c r="U1614" t="b">
        <v>0</v>
      </c>
      <c r="Y1614">
        <v>0</v>
      </c>
      <c r="Z1614">
        <v>2</v>
      </c>
      <c r="AA1614">
        <v>5.0182400222673811E-5</v>
      </c>
      <c r="AB1614">
        <v>1.8060203648104699E-2</v>
      </c>
      <c r="AC1614">
        <v>3.0234609554650001E-4</v>
      </c>
      <c r="AD1614">
        <v>-5.6581695287680005E-4</v>
      </c>
      <c r="AE1614">
        <v>0</v>
      </c>
      <c r="AF1614" t="b">
        <v>0</v>
      </c>
    </row>
    <row r="1615" spans="1:35" x14ac:dyDescent="0.3">
      <c r="A1615" t="s">
        <v>3241</v>
      </c>
      <c r="B1615" t="s">
        <v>3242</v>
      </c>
      <c r="C1615" t="s">
        <v>479</v>
      </c>
      <c r="D1615">
        <v>59581</v>
      </c>
      <c r="E1615">
        <v>1395023</v>
      </c>
      <c r="F1615">
        <v>53</v>
      </c>
      <c r="G1615">
        <v>120</v>
      </c>
      <c r="H1615">
        <v>60</v>
      </c>
      <c r="I1615">
        <v>1</v>
      </c>
      <c r="J1615">
        <v>1</v>
      </c>
      <c r="K1615" t="s">
        <v>86</v>
      </c>
      <c r="P1615">
        <v>0</v>
      </c>
      <c r="R1615">
        <v>0</v>
      </c>
      <c r="T1615">
        <v>3</v>
      </c>
      <c r="U1615" t="b">
        <v>1</v>
      </c>
      <c r="V1615">
        <v>19.44418016040969</v>
      </c>
      <c r="W1615">
        <v>11.6495231561635</v>
      </c>
      <c r="X1615" t="b">
        <v>1</v>
      </c>
      <c r="Y1615">
        <v>0</v>
      </c>
      <c r="Z1615">
        <v>14490</v>
      </c>
      <c r="AA1615">
        <v>7.1215569594355696E-2</v>
      </c>
      <c r="AB1615">
        <v>7.4849506208982124</v>
      </c>
      <c r="AC1615">
        <v>4.1725079472602601E-2</v>
      </c>
      <c r="AD1615">
        <v>0.1007890005962216</v>
      </c>
      <c r="AE1615">
        <v>3</v>
      </c>
      <c r="AF1615" t="b">
        <v>1</v>
      </c>
      <c r="AG1615">
        <v>1.7977757532945199E-2</v>
      </c>
      <c r="AH1615">
        <v>1.5634041100232481</v>
      </c>
      <c r="AI1615" t="b">
        <v>1</v>
      </c>
    </row>
    <row r="1616" spans="1:35" x14ac:dyDescent="0.3">
      <c r="A1616" t="s">
        <v>3243</v>
      </c>
      <c r="B1616" t="s">
        <v>3244</v>
      </c>
      <c r="C1616" t="s">
        <v>431</v>
      </c>
      <c r="D1616">
        <v>598</v>
      </c>
      <c r="E1616">
        <v>14779</v>
      </c>
      <c r="F1616">
        <v>17</v>
      </c>
      <c r="G1616">
        <v>60</v>
      </c>
      <c r="H1616">
        <v>60</v>
      </c>
      <c r="I1616">
        <v>1</v>
      </c>
      <c r="J1616">
        <v>1</v>
      </c>
      <c r="K1616" t="s">
        <v>432</v>
      </c>
      <c r="L1616">
        <v>0.79122915379864112</v>
      </c>
      <c r="M1616">
        <v>1</v>
      </c>
      <c r="N1616">
        <v>1</v>
      </c>
      <c r="O1616" t="s">
        <v>433</v>
      </c>
      <c r="P1616">
        <v>0</v>
      </c>
      <c r="R1616">
        <v>0</v>
      </c>
      <c r="T1616">
        <v>0</v>
      </c>
      <c r="U1616" t="b">
        <v>0</v>
      </c>
      <c r="V1616">
        <v>0</v>
      </c>
      <c r="Y1616">
        <v>0</v>
      </c>
      <c r="Z1616">
        <v>602</v>
      </c>
      <c r="AA1616">
        <v>0</v>
      </c>
      <c r="AB1616">
        <v>0</v>
      </c>
      <c r="AC1616">
        <v>0</v>
      </c>
      <c r="AD1616">
        <v>0</v>
      </c>
      <c r="AE1616">
        <v>0</v>
      </c>
      <c r="AF1616" t="b">
        <v>0</v>
      </c>
    </row>
    <row r="1617" spans="1:35" x14ac:dyDescent="0.3">
      <c r="A1617" t="s">
        <v>3245</v>
      </c>
      <c r="B1617" t="s">
        <v>3246</v>
      </c>
      <c r="C1617" t="s">
        <v>431</v>
      </c>
      <c r="D1617">
        <v>144</v>
      </c>
      <c r="E1617">
        <v>889</v>
      </c>
      <c r="F1617">
        <v>30</v>
      </c>
      <c r="G1617">
        <v>300</v>
      </c>
      <c r="H1617">
        <v>60</v>
      </c>
      <c r="I1617">
        <v>0.89651293588301462</v>
      </c>
      <c r="J1617">
        <v>0.93707647628267199</v>
      </c>
      <c r="K1617" t="s">
        <v>432</v>
      </c>
      <c r="L1617">
        <v>0.2255566311713455</v>
      </c>
      <c r="M1617">
        <v>0.995</v>
      </c>
      <c r="N1617">
        <v>0.7381974248927039</v>
      </c>
      <c r="O1617" t="s">
        <v>433</v>
      </c>
      <c r="P1617">
        <v>61</v>
      </c>
      <c r="Q1617">
        <v>1</v>
      </c>
      <c r="R1617">
        <v>0</v>
      </c>
      <c r="T1617">
        <v>0</v>
      </c>
      <c r="U1617" t="b">
        <v>0</v>
      </c>
      <c r="V1617">
        <v>12.5</v>
      </c>
      <c r="Y1617">
        <v>0</v>
      </c>
      <c r="Z1617">
        <v>25</v>
      </c>
      <c r="AA1617">
        <v>-1.4677103718199601E-2</v>
      </c>
      <c r="AB1617">
        <v>-4.5</v>
      </c>
      <c r="AC1617">
        <v>-3.6496350364963501E-2</v>
      </c>
      <c r="AD1617">
        <v>0</v>
      </c>
      <c r="AE1617">
        <v>0</v>
      </c>
      <c r="AF1617" t="b">
        <v>0</v>
      </c>
    </row>
    <row r="1618" spans="1:35" x14ac:dyDescent="0.3">
      <c r="A1618" t="s">
        <v>3247</v>
      </c>
      <c r="B1618" t="s">
        <v>3248</v>
      </c>
      <c r="C1618" t="s">
        <v>549</v>
      </c>
      <c r="D1618">
        <v>1107</v>
      </c>
      <c r="E1618">
        <v>17012</v>
      </c>
      <c r="F1618">
        <v>29</v>
      </c>
      <c r="G1618">
        <v>60</v>
      </c>
      <c r="H1618">
        <v>60</v>
      </c>
      <c r="I1618">
        <v>1</v>
      </c>
      <c r="J1618">
        <v>1</v>
      </c>
      <c r="K1618" t="s">
        <v>86</v>
      </c>
      <c r="P1618">
        <v>0</v>
      </c>
      <c r="R1618">
        <v>0</v>
      </c>
      <c r="T1618">
        <v>0</v>
      </c>
      <c r="U1618" t="b">
        <v>0</v>
      </c>
      <c r="V1618">
        <v>7.8244406196213427</v>
      </c>
      <c r="Y1618">
        <v>0</v>
      </c>
      <c r="Z1618">
        <v>687</v>
      </c>
      <c r="AA1618">
        <v>3.6290742055255502E-2</v>
      </c>
      <c r="AB1618">
        <v>3.8762949810984741</v>
      </c>
      <c r="AC1618">
        <v>2.0380370979102998E-2</v>
      </c>
      <c r="AD1618">
        <v>5.7966336177080899E-2</v>
      </c>
      <c r="AE1618">
        <v>0</v>
      </c>
      <c r="AF1618" t="b">
        <v>0</v>
      </c>
    </row>
    <row r="1619" spans="1:35" x14ac:dyDescent="0.3">
      <c r="A1619" t="s">
        <v>3249</v>
      </c>
      <c r="B1619" t="s">
        <v>3250</v>
      </c>
      <c r="C1619" t="s">
        <v>573</v>
      </c>
      <c r="D1619">
        <v>3214</v>
      </c>
      <c r="E1619">
        <v>62010</v>
      </c>
      <c r="F1619">
        <v>15</v>
      </c>
      <c r="G1619">
        <v>120</v>
      </c>
      <c r="H1619">
        <v>60</v>
      </c>
      <c r="I1619">
        <v>1</v>
      </c>
      <c r="J1619">
        <v>1</v>
      </c>
      <c r="K1619" t="s">
        <v>86</v>
      </c>
      <c r="P1619">
        <v>0</v>
      </c>
      <c r="R1619">
        <v>0</v>
      </c>
      <c r="T1619">
        <v>0</v>
      </c>
      <c r="U1619" t="b">
        <v>0</v>
      </c>
      <c r="V1619">
        <v>2.9093334868667702</v>
      </c>
      <c r="Y1619">
        <v>0</v>
      </c>
      <c r="Z1619">
        <v>838</v>
      </c>
      <c r="AA1619">
        <v>4.7413630220478004E-3</v>
      </c>
      <c r="AB1619">
        <v>0.56412358114035932</v>
      </c>
      <c r="AC1619">
        <v>6.0234833893526001E-3</v>
      </c>
      <c r="AD1619">
        <v>2.5040165241155998E-3</v>
      </c>
      <c r="AE1619">
        <v>0</v>
      </c>
      <c r="AF1619" t="b">
        <v>0</v>
      </c>
    </row>
    <row r="1620" spans="1:35" x14ac:dyDescent="0.3">
      <c r="A1620" t="s">
        <v>3251</v>
      </c>
      <c r="B1620" t="s">
        <v>3252</v>
      </c>
      <c r="C1620" t="s">
        <v>479</v>
      </c>
      <c r="D1620">
        <v>340</v>
      </c>
      <c r="E1620">
        <v>455</v>
      </c>
      <c r="F1620">
        <v>19</v>
      </c>
      <c r="G1620">
        <v>1800</v>
      </c>
      <c r="H1620">
        <v>300</v>
      </c>
      <c r="I1620">
        <v>1</v>
      </c>
      <c r="J1620">
        <v>1</v>
      </c>
      <c r="K1620" t="s">
        <v>86</v>
      </c>
      <c r="P1620">
        <v>0</v>
      </c>
      <c r="R1620">
        <v>0</v>
      </c>
      <c r="T1620">
        <v>0</v>
      </c>
      <c r="U1620" t="b">
        <v>0</v>
      </c>
      <c r="Y1620">
        <v>0</v>
      </c>
      <c r="Z1620">
        <v>2</v>
      </c>
      <c r="AA1620">
        <v>0</v>
      </c>
      <c r="AB1620">
        <v>0</v>
      </c>
      <c r="AE1620">
        <v>0</v>
      </c>
      <c r="AF1620" t="b">
        <v>0</v>
      </c>
    </row>
    <row r="1621" spans="1:35" x14ac:dyDescent="0.3">
      <c r="A1621" t="s">
        <v>3253</v>
      </c>
      <c r="B1621" t="s">
        <v>3254</v>
      </c>
      <c r="C1621" t="s">
        <v>507</v>
      </c>
      <c r="D1621">
        <v>5130</v>
      </c>
      <c r="E1621">
        <v>113018</v>
      </c>
      <c r="F1621">
        <v>22</v>
      </c>
      <c r="G1621">
        <v>60</v>
      </c>
      <c r="H1621">
        <v>60</v>
      </c>
      <c r="I1621">
        <v>1</v>
      </c>
      <c r="J1621">
        <v>1</v>
      </c>
      <c r="K1621" t="s">
        <v>86</v>
      </c>
      <c r="P1621">
        <v>0</v>
      </c>
      <c r="R1621">
        <v>0</v>
      </c>
      <c r="T1621">
        <v>0</v>
      </c>
      <c r="U1621" t="b">
        <v>0</v>
      </c>
      <c r="V1621">
        <v>0.61163069544364501</v>
      </c>
      <c r="Y1621">
        <v>0</v>
      </c>
      <c r="Z1621">
        <v>2061</v>
      </c>
      <c r="AA1621">
        <v>1.2015784543662001E-3</v>
      </c>
      <c r="AB1621">
        <v>9.7300161947488695E-2</v>
      </c>
      <c r="AC1621">
        <v>2.107247596825E-3</v>
      </c>
      <c r="AD1621">
        <v>2.5136351000558999E-3</v>
      </c>
      <c r="AE1621">
        <v>0</v>
      </c>
      <c r="AF1621" t="b">
        <v>0</v>
      </c>
    </row>
    <row r="1622" spans="1:35" x14ac:dyDescent="0.3">
      <c r="A1622" t="s">
        <v>3255</v>
      </c>
      <c r="B1622" t="s">
        <v>3256</v>
      </c>
      <c r="C1622" t="s">
        <v>831</v>
      </c>
      <c r="D1622">
        <v>2623</v>
      </c>
      <c r="E1622">
        <v>45474</v>
      </c>
      <c r="F1622">
        <v>3</v>
      </c>
      <c r="G1622">
        <v>60</v>
      </c>
      <c r="H1622">
        <v>60</v>
      </c>
      <c r="I1622">
        <v>1</v>
      </c>
      <c r="J1622">
        <v>1</v>
      </c>
      <c r="K1622" t="s">
        <v>86</v>
      </c>
      <c r="P1622">
        <v>0</v>
      </c>
      <c r="R1622">
        <v>0</v>
      </c>
      <c r="T1622">
        <v>1</v>
      </c>
      <c r="U1622" t="b">
        <v>1</v>
      </c>
      <c r="V1622">
        <v>0.6917954810549255</v>
      </c>
      <c r="W1622">
        <v>0</v>
      </c>
      <c r="X1622" t="b">
        <v>1</v>
      </c>
      <c r="Y1622">
        <v>0</v>
      </c>
      <c r="Z1622">
        <v>950</v>
      </c>
      <c r="AA1622">
        <v>1.11413005534352E-2</v>
      </c>
      <c r="AB1622">
        <v>0.9101494535012542</v>
      </c>
      <c r="AC1622">
        <v>1.0889181376151901E-2</v>
      </c>
      <c r="AD1622">
        <v>1.9621788974090101E-2</v>
      </c>
      <c r="AE1622">
        <v>1</v>
      </c>
      <c r="AF1622" t="b">
        <v>1</v>
      </c>
      <c r="AG1622">
        <v>4.4260320774904501E-2</v>
      </c>
      <c r="AH1622">
        <v>3.5798494983277598</v>
      </c>
      <c r="AI1622" t="b">
        <v>0</v>
      </c>
    </row>
    <row r="1623" spans="1:35" x14ac:dyDescent="0.3">
      <c r="A1623" t="s">
        <v>3257</v>
      </c>
      <c r="B1623" t="s">
        <v>3258</v>
      </c>
      <c r="C1623" t="s">
        <v>573</v>
      </c>
      <c r="D1623">
        <v>59</v>
      </c>
      <c r="E1623">
        <v>483</v>
      </c>
      <c r="F1623">
        <v>25</v>
      </c>
      <c r="G1623">
        <v>180</v>
      </c>
      <c r="H1623">
        <v>60</v>
      </c>
      <c r="I1623">
        <v>1</v>
      </c>
      <c r="J1623">
        <v>1</v>
      </c>
      <c r="K1623" t="s">
        <v>86</v>
      </c>
      <c r="P1623">
        <v>0</v>
      </c>
      <c r="R1623">
        <v>0</v>
      </c>
      <c r="T1623">
        <v>0</v>
      </c>
      <c r="U1623" t="b">
        <v>0</v>
      </c>
      <c r="Y1623">
        <v>0</v>
      </c>
      <c r="Z1623">
        <v>1</v>
      </c>
      <c r="AA1623">
        <v>0.44444444444444442</v>
      </c>
      <c r="AB1623">
        <v>640</v>
      </c>
      <c r="AE1623">
        <v>0</v>
      </c>
      <c r="AF1623" t="b">
        <v>0</v>
      </c>
    </row>
    <row r="1624" spans="1:35" x14ac:dyDescent="0.3">
      <c r="A1624" t="s">
        <v>3259</v>
      </c>
      <c r="B1624" t="s">
        <v>3260</v>
      </c>
      <c r="C1624" t="s">
        <v>549</v>
      </c>
      <c r="D1624">
        <v>712</v>
      </c>
      <c r="E1624">
        <v>15430</v>
      </c>
      <c r="F1624">
        <v>11</v>
      </c>
      <c r="G1624">
        <v>60</v>
      </c>
      <c r="H1624">
        <v>60</v>
      </c>
      <c r="I1624">
        <v>1</v>
      </c>
      <c r="J1624">
        <v>1</v>
      </c>
      <c r="K1624" t="s">
        <v>432</v>
      </c>
      <c r="L1624">
        <v>0.80804697694649852</v>
      </c>
      <c r="M1624">
        <v>1</v>
      </c>
      <c r="N1624">
        <v>1</v>
      </c>
      <c r="O1624" t="s">
        <v>518</v>
      </c>
      <c r="P1624">
        <v>0</v>
      </c>
      <c r="R1624">
        <v>0</v>
      </c>
      <c r="T1624">
        <v>0</v>
      </c>
      <c r="U1624" t="b">
        <v>0</v>
      </c>
      <c r="V1624">
        <v>0.5471124620060791</v>
      </c>
      <c r="Y1624">
        <v>0</v>
      </c>
      <c r="Z1624">
        <v>398</v>
      </c>
      <c r="AA1624">
        <v>-3.6634968722825002E-3</v>
      </c>
      <c r="AB1624">
        <v>-0.27345058626465663</v>
      </c>
      <c r="AC1624">
        <v>-5.2870493991988999E-3</v>
      </c>
      <c r="AD1624">
        <v>-7.4802390591860001E-4</v>
      </c>
      <c r="AE1624">
        <v>0</v>
      </c>
      <c r="AF1624" t="b">
        <v>0</v>
      </c>
    </row>
    <row r="1625" spans="1:35" x14ac:dyDescent="0.3">
      <c r="A1625" t="s">
        <v>3261</v>
      </c>
      <c r="B1625" t="s">
        <v>3262</v>
      </c>
      <c r="C1625" t="s">
        <v>786</v>
      </c>
      <c r="D1625">
        <v>636</v>
      </c>
      <c r="E1625">
        <v>26304</v>
      </c>
      <c r="F1625">
        <v>499</v>
      </c>
      <c r="G1625">
        <v>81</v>
      </c>
      <c r="H1625">
        <v>1</v>
      </c>
      <c r="I1625">
        <v>1.6651459854014599E-2</v>
      </c>
      <c r="J1625">
        <v>4.10897887977432E-2</v>
      </c>
      <c r="K1625" t="s">
        <v>86</v>
      </c>
      <c r="P1625">
        <v>0</v>
      </c>
      <c r="R1625">
        <v>0</v>
      </c>
      <c r="T1625">
        <v>0</v>
      </c>
      <c r="U1625" t="b">
        <v>0</v>
      </c>
      <c r="Y1625">
        <v>0</v>
      </c>
      <c r="Z1625">
        <v>0</v>
      </c>
      <c r="AE1625">
        <v>0</v>
      </c>
      <c r="AF1625" t="b">
        <v>0</v>
      </c>
    </row>
    <row r="1626" spans="1:35" x14ac:dyDescent="0.3">
      <c r="A1626" t="s">
        <v>3263</v>
      </c>
      <c r="B1626" t="s">
        <v>3264</v>
      </c>
      <c r="C1626" t="s">
        <v>431</v>
      </c>
      <c r="D1626">
        <v>180</v>
      </c>
      <c r="E1626">
        <v>2923</v>
      </c>
      <c r="F1626">
        <v>60</v>
      </c>
      <c r="G1626">
        <v>92</v>
      </c>
      <c r="H1626">
        <v>60</v>
      </c>
      <c r="I1626">
        <v>0.92678754704071165</v>
      </c>
      <c r="J1626">
        <v>0.95815645845967257</v>
      </c>
      <c r="K1626" t="s">
        <v>432</v>
      </c>
      <c r="L1626">
        <v>4.2753183747725798E-2</v>
      </c>
      <c r="M1626">
        <v>1</v>
      </c>
      <c r="N1626">
        <v>2.1276595744680799E-2</v>
      </c>
      <c r="O1626" t="s">
        <v>518</v>
      </c>
      <c r="P1626">
        <v>138</v>
      </c>
      <c r="Q1626">
        <v>0</v>
      </c>
      <c r="R1626">
        <v>0</v>
      </c>
      <c r="T1626">
        <v>0</v>
      </c>
      <c r="U1626" t="b">
        <v>0</v>
      </c>
      <c r="Y1626">
        <v>0</v>
      </c>
      <c r="Z1626">
        <v>120</v>
      </c>
      <c r="AA1626">
        <v>9.9601593625490005E-4</v>
      </c>
      <c r="AB1626">
        <v>0.125</v>
      </c>
      <c r="AC1626">
        <v>-7.69230769230769E-2</v>
      </c>
      <c r="AE1626">
        <v>0</v>
      </c>
      <c r="AF1626" t="b">
        <v>0</v>
      </c>
    </row>
    <row r="1627" spans="1:35" x14ac:dyDescent="0.3">
      <c r="A1627" t="s">
        <v>3265</v>
      </c>
      <c r="B1627" t="s">
        <v>3266</v>
      </c>
      <c r="C1627" t="s">
        <v>474</v>
      </c>
      <c r="D1627">
        <v>7681</v>
      </c>
      <c r="E1627">
        <v>164060</v>
      </c>
      <c r="F1627">
        <v>12</v>
      </c>
      <c r="G1627">
        <v>60</v>
      </c>
      <c r="H1627">
        <v>60</v>
      </c>
      <c r="I1627">
        <v>1</v>
      </c>
      <c r="J1627">
        <v>1</v>
      </c>
      <c r="K1627" t="s">
        <v>86</v>
      </c>
      <c r="P1627">
        <v>0</v>
      </c>
      <c r="R1627">
        <v>0</v>
      </c>
      <c r="T1627">
        <v>0</v>
      </c>
      <c r="U1627" t="b">
        <v>0</v>
      </c>
      <c r="V1627">
        <v>7.7696375913289586</v>
      </c>
      <c r="Y1627">
        <v>0</v>
      </c>
      <c r="Z1627">
        <v>2577</v>
      </c>
      <c r="AA1627">
        <v>3.7620790644225998E-3</v>
      </c>
      <c r="AB1627">
        <v>0.31387045417711829</v>
      </c>
      <c r="AC1627">
        <v>-1.52953117098234E-2</v>
      </c>
      <c r="AD1627">
        <v>2.69890751640725E-2</v>
      </c>
      <c r="AE1627">
        <v>0</v>
      </c>
      <c r="AF1627" t="b">
        <v>0</v>
      </c>
    </row>
    <row r="1628" spans="1:35" x14ac:dyDescent="0.3">
      <c r="A1628" t="s">
        <v>3267</v>
      </c>
      <c r="B1628" t="s">
        <v>3268</v>
      </c>
      <c r="C1628" t="s">
        <v>431</v>
      </c>
      <c r="D1628">
        <v>76</v>
      </c>
      <c r="E1628">
        <v>267</v>
      </c>
      <c r="F1628">
        <v>15</v>
      </c>
      <c r="G1628">
        <v>120</v>
      </c>
      <c r="H1628">
        <v>60</v>
      </c>
      <c r="I1628">
        <v>1</v>
      </c>
      <c r="J1628">
        <v>1</v>
      </c>
      <c r="K1628" t="s">
        <v>86</v>
      </c>
      <c r="P1628">
        <v>0</v>
      </c>
      <c r="R1628">
        <v>0</v>
      </c>
      <c r="T1628">
        <v>0</v>
      </c>
      <c r="U1628" t="b">
        <v>0</v>
      </c>
      <c r="Y1628">
        <v>0.62618670886075944</v>
      </c>
      <c r="Z1628">
        <v>11</v>
      </c>
      <c r="AA1628">
        <v>0</v>
      </c>
      <c r="AB1628">
        <v>0</v>
      </c>
      <c r="AE1628">
        <v>0</v>
      </c>
      <c r="AF1628" t="b">
        <v>0</v>
      </c>
    </row>
    <row r="1629" spans="1:35" x14ac:dyDescent="0.3">
      <c r="A1629" t="s">
        <v>3269</v>
      </c>
      <c r="B1629" t="s">
        <v>3270</v>
      </c>
      <c r="C1629" t="s">
        <v>1658</v>
      </c>
      <c r="D1629">
        <v>121806</v>
      </c>
      <c r="E1629">
        <v>1632401</v>
      </c>
      <c r="F1629">
        <v>57</v>
      </c>
      <c r="G1629">
        <v>60</v>
      </c>
      <c r="H1629">
        <v>60</v>
      </c>
      <c r="I1629">
        <v>1</v>
      </c>
      <c r="J1629">
        <v>1</v>
      </c>
      <c r="K1629" t="s">
        <v>86</v>
      </c>
      <c r="P1629">
        <v>0</v>
      </c>
      <c r="R1629">
        <v>0</v>
      </c>
      <c r="T1629">
        <v>2</v>
      </c>
      <c r="U1629" t="b">
        <v>1</v>
      </c>
      <c r="V1629">
        <v>2.7258628911630458</v>
      </c>
      <c r="W1629">
        <v>9.4606381827860435</v>
      </c>
      <c r="X1629" t="b">
        <v>0</v>
      </c>
      <c r="Y1629">
        <v>0</v>
      </c>
      <c r="Z1629">
        <v>41167</v>
      </c>
      <c r="AA1629">
        <v>7.5204247699714004E-3</v>
      </c>
      <c r="AB1629">
        <v>0.71898886061391842</v>
      </c>
      <c r="AC1629">
        <v>6.9468367997172001E-3</v>
      </c>
      <c r="AD1629">
        <v>1.33194998103179E-2</v>
      </c>
      <c r="AE1629">
        <v>3</v>
      </c>
      <c r="AF1629" t="b">
        <v>1</v>
      </c>
      <c r="AG1629">
        <v>1.7489428697357302E-2</v>
      </c>
      <c r="AH1629">
        <v>1.498443975389228</v>
      </c>
      <c r="AI1629" t="b">
        <v>0</v>
      </c>
    </row>
    <row r="1630" spans="1:35" x14ac:dyDescent="0.3">
      <c r="A1630" t="s">
        <v>3271</v>
      </c>
      <c r="B1630" t="s">
        <v>3272</v>
      </c>
      <c r="D1630">
        <v>2955</v>
      </c>
      <c r="E1630">
        <v>24107</v>
      </c>
      <c r="F1630">
        <v>61</v>
      </c>
      <c r="G1630">
        <v>1500</v>
      </c>
      <c r="H1630">
        <v>60</v>
      </c>
      <c r="I1630">
        <v>0.99415107645082357</v>
      </c>
      <c r="J1630">
        <v>0.95628480747350142</v>
      </c>
      <c r="K1630" t="s">
        <v>86</v>
      </c>
      <c r="P1630">
        <v>0</v>
      </c>
      <c r="R1630">
        <v>0</v>
      </c>
      <c r="T1630">
        <v>0</v>
      </c>
      <c r="U1630" t="b">
        <v>0</v>
      </c>
      <c r="Y1630">
        <v>0</v>
      </c>
      <c r="Z1630">
        <v>14</v>
      </c>
      <c r="AA1630">
        <v>-4.8374051975400003E-3</v>
      </c>
      <c r="AB1630">
        <v>-7.9448621553884617</v>
      </c>
      <c r="AC1630">
        <v>-1.5107495642068499E-2</v>
      </c>
      <c r="AD1630">
        <v>1.1459589867310001E-2</v>
      </c>
      <c r="AE1630">
        <v>1</v>
      </c>
      <c r="AF1630" t="b">
        <v>0</v>
      </c>
      <c r="AG1630">
        <v>1.0359729746180499E-2</v>
      </c>
      <c r="AH1630">
        <v>8.4817275747508329</v>
      </c>
    </row>
    <row r="1631" spans="1:35" x14ac:dyDescent="0.3">
      <c r="A1631" t="s">
        <v>3273</v>
      </c>
      <c r="B1631" t="s">
        <v>3274</v>
      </c>
      <c r="C1631" t="s">
        <v>479</v>
      </c>
      <c r="D1631">
        <v>2552</v>
      </c>
      <c r="E1631">
        <v>59379</v>
      </c>
      <c r="F1631">
        <v>335</v>
      </c>
      <c r="G1631">
        <v>74</v>
      </c>
      <c r="H1631">
        <v>1</v>
      </c>
      <c r="I1631">
        <v>3.9812054766836698E-2</v>
      </c>
      <c r="J1631">
        <v>0.31401075390353778</v>
      </c>
      <c r="K1631" t="s">
        <v>86</v>
      </c>
      <c r="P1631">
        <v>0</v>
      </c>
      <c r="R1631">
        <v>0</v>
      </c>
      <c r="T1631">
        <v>0</v>
      </c>
      <c r="U1631" t="b">
        <v>0</v>
      </c>
      <c r="V1631">
        <v>7.1726789961424897</v>
      </c>
      <c r="Y1631">
        <v>0</v>
      </c>
      <c r="Z1631">
        <v>1359</v>
      </c>
      <c r="AA1631">
        <v>5.4158093461271303E-2</v>
      </c>
      <c r="AB1631">
        <v>4.7294142867077724</v>
      </c>
      <c r="AC1631">
        <v>4.5391179780996598E-2</v>
      </c>
      <c r="AD1631">
        <v>7.0736181096340695E-2</v>
      </c>
      <c r="AE1631">
        <v>0</v>
      </c>
      <c r="AF1631" t="b">
        <v>0</v>
      </c>
    </row>
    <row r="1632" spans="1:35" x14ac:dyDescent="0.3">
      <c r="A1632" t="s">
        <v>3275</v>
      </c>
      <c r="B1632" t="s">
        <v>3276</v>
      </c>
      <c r="C1632" t="s">
        <v>479</v>
      </c>
      <c r="D1632">
        <v>353</v>
      </c>
      <c r="E1632">
        <v>4702</v>
      </c>
      <c r="F1632">
        <v>20</v>
      </c>
      <c r="G1632">
        <v>120</v>
      </c>
      <c r="H1632">
        <v>60</v>
      </c>
      <c r="I1632">
        <v>1</v>
      </c>
      <c r="J1632">
        <v>1</v>
      </c>
      <c r="K1632" t="s">
        <v>86</v>
      </c>
      <c r="P1632">
        <v>0</v>
      </c>
      <c r="R1632">
        <v>0</v>
      </c>
      <c r="T1632">
        <v>0</v>
      </c>
      <c r="U1632" t="b">
        <v>0</v>
      </c>
      <c r="Y1632">
        <v>0</v>
      </c>
      <c r="Z1632">
        <v>154</v>
      </c>
      <c r="AA1632">
        <v>-1.16352201257861E-2</v>
      </c>
      <c r="AB1632">
        <v>-1.2012987012987011</v>
      </c>
      <c r="AE1632">
        <v>0</v>
      </c>
      <c r="AF1632" t="b">
        <v>0</v>
      </c>
    </row>
    <row r="1633" spans="1:35" x14ac:dyDescent="0.3">
      <c r="A1633" t="s">
        <v>3277</v>
      </c>
      <c r="B1633" t="s">
        <v>3278</v>
      </c>
      <c r="C1633" t="s">
        <v>431</v>
      </c>
      <c r="D1633">
        <v>1388</v>
      </c>
      <c r="E1633">
        <v>17027</v>
      </c>
      <c r="F1633">
        <v>8</v>
      </c>
      <c r="G1633">
        <v>60</v>
      </c>
      <c r="H1633">
        <v>60</v>
      </c>
      <c r="I1633">
        <v>1</v>
      </c>
      <c r="J1633">
        <v>1</v>
      </c>
      <c r="K1633" t="s">
        <v>432</v>
      </c>
      <c r="L1633">
        <v>0.80605526706231456</v>
      </c>
      <c r="M1633">
        <v>1</v>
      </c>
      <c r="N1633">
        <v>1</v>
      </c>
      <c r="O1633" t="s">
        <v>433</v>
      </c>
      <c r="P1633">
        <v>0</v>
      </c>
      <c r="R1633">
        <v>0</v>
      </c>
      <c r="T1633">
        <v>0</v>
      </c>
      <c r="U1633" t="b">
        <v>0</v>
      </c>
      <c r="V1633">
        <v>3.3286735291140581</v>
      </c>
      <c r="Y1633">
        <v>0</v>
      </c>
      <c r="Z1633">
        <v>526</v>
      </c>
      <c r="AA1633">
        <v>-4.3635074925955E-3</v>
      </c>
      <c r="AB1633">
        <v>-0.37824291859654258</v>
      </c>
      <c r="AC1633">
        <v>-6.6387899266249E-3</v>
      </c>
      <c r="AD1633">
        <v>-1.6522077096155E-3</v>
      </c>
      <c r="AE1633">
        <v>0</v>
      </c>
      <c r="AF1633" t="b">
        <v>0</v>
      </c>
    </row>
    <row r="1634" spans="1:35" x14ac:dyDescent="0.3">
      <c r="A1634" t="s">
        <v>3279</v>
      </c>
      <c r="B1634" t="s">
        <v>3280</v>
      </c>
      <c r="C1634" t="s">
        <v>507</v>
      </c>
      <c r="D1634">
        <v>2116</v>
      </c>
      <c r="E1634">
        <v>61957</v>
      </c>
      <c r="F1634">
        <v>17</v>
      </c>
      <c r="G1634">
        <v>60</v>
      </c>
      <c r="H1634">
        <v>60</v>
      </c>
      <c r="I1634">
        <v>1</v>
      </c>
      <c r="J1634">
        <v>1</v>
      </c>
      <c r="K1634" t="s">
        <v>86</v>
      </c>
      <c r="P1634">
        <v>0</v>
      </c>
      <c r="R1634">
        <v>0</v>
      </c>
      <c r="T1634">
        <v>0</v>
      </c>
      <c r="U1634" t="b">
        <v>0</v>
      </c>
      <c r="V1634">
        <v>0.85777283676116356</v>
      </c>
      <c r="Y1634">
        <v>0</v>
      </c>
      <c r="Z1634">
        <v>1488</v>
      </c>
      <c r="AA1634">
        <v>9.8547771640194008E-3</v>
      </c>
      <c r="AB1634">
        <v>0.74113928976357812</v>
      </c>
      <c r="AC1634">
        <v>1.0736706401105999E-2</v>
      </c>
      <c r="AD1634">
        <v>4.9323277893744003E-3</v>
      </c>
      <c r="AE1634">
        <v>0</v>
      </c>
      <c r="AF1634" t="b">
        <v>0</v>
      </c>
    </row>
    <row r="1635" spans="1:35" x14ac:dyDescent="0.3">
      <c r="A1635" t="s">
        <v>3281</v>
      </c>
      <c r="B1635" t="s">
        <v>3282</v>
      </c>
      <c r="C1635" t="s">
        <v>1679</v>
      </c>
      <c r="D1635">
        <v>8781</v>
      </c>
      <c r="E1635">
        <v>118594</v>
      </c>
      <c r="F1635">
        <v>67</v>
      </c>
      <c r="G1635">
        <v>70</v>
      </c>
      <c r="H1635">
        <v>10</v>
      </c>
      <c r="I1635">
        <v>0.31532792552742972</v>
      </c>
      <c r="J1635">
        <v>0.28941315014720309</v>
      </c>
      <c r="K1635" t="s">
        <v>86</v>
      </c>
      <c r="P1635">
        <v>0</v>
      </c>
      <c r="R1635">
        <v>0</v>
      </c>
      <c r="T1635">
        <v>1</v>
      </c>
      <c r="U1635" t="b">
        <v>1</v>
      </c>
      <c r="V1635">
        <v>2.7297026413464769</v>
      </c>
      <c r="W1635">
        <v>4.9889204043544888</v>
      </c>
      <c r="X1635" t="b">
        <v>0</v>
      </c>
      <c r="Y1635">
        <v>0</v>
      </c>
      <c r="Z1635">
        <v>3081</v>
      </c>
      <c r="AA1635">
        <v>8.1344827803038998E-3</v>
      </c>
      <c r="AB1635">
        <v>0.71098494823160585</v>
      </c>
      <c r="AC1635">
        <v>9.9882446101136006E-3</v>
      </c>
      <c r="AD1635">
        <v>1.5577189544287E-3</v>
      </c>
      <c r="AE1635">
        <v>1</v>
      </c>
      <c r="AF1635" t="b">
        <v>1</v>
      </c>
      <c r="AG1635">
        <v>5.9710967940233797E-2</v>
      </c>
      <c r="AH1635">
        <v>6.7015906685466833</v>
      </c>
      <c r="AI1635" t="b">
        <v>0</v>
      </c>
    </row>
    <row r="1636" spans="1:35" x14ac:dyDescent="0.3">
      <c r="A1636" t="s">
        <v>3283</v>
      </c>
      <c r="B1636" t="s">
        <v>3284</v>
      </c>
      <c r="C1636" t="s">
        <v>831</v>
      </c>
      <c r="D1636">
        <v>92</v>
      </c>
      <c r="E1636">
        <v>2275</v>
      </c>
      <c r="F1636">
        <v>5</v>
      </c>
      <c r="G1636">
        <v>60</v>
      </c>
      <c r="H1636">
        <v>60</v>
      </c>
      <c r="I1636">
        <v>0.99648351648351641</v>
      </c>
      <c r="J1636">
        <v>0.99831009716941277</v>
      </c>
      <c r="K1636" t="s">
        <v>86</v>
      </c>
      <c r="P1636">
        <v>0</v>
      </c>
      <c r="R1636">
        <v>0</v>
      </c>
      <c r="T1636">
        <v>0</v>
      </c>
      <c r="U1636" t="b">
        <v>0</v>
      </c>
      <c r="V1636">
        <v>2.546391752577319</v>
      </c>
      <c r="Y1636">
        <v>0</v>
      </c>
      <c r="Z1636">
        <v>99</v>
      </c>
      <c r="AA1636">
        <v>1.60775650466372E-2</v>
      </c>
      <c r="AB1636">
        <v>1.1657046657046659</v>
      </c>
      <c r="AC1636">
        <v>1.14237949289495E-2</v>
      </c>
      <c r="AD1636">
        <v>2.0827429866817699E-2</v>
      </c>
      <c r="AE1636">
        <v>0</v>
      </c>
      <c r="AF1636" t="b">
        <v>0</v>
      </c>
    </row>
    <row r="1637" spans="1:35" x14ac:dyDescent="0.3">
      <c r="A1637" t="s">
        <v>3285</v>
      </c>
      <c r="B1637" t="s">
        <v>3286</v>
      </c>
      <c r="C1637" t="s">
        <v>431</v>
      </c>
      <c r="D1637">
        <v>92</v>
      </c>
      <c r="E1637">
        <v>2566</v>
      </c>
      <c r="F1637">
        <v>12</v>
      </c>
      <c r="G1637">
        <v>120</v>
      </c>
      <c r="H1637">
        <v>60</v>
      </c>
      <c r="I1637">
        <v>0.97817614964925959</v>
      </c>
      <c r="J1637">
        <v>0.8893905191873589</v>
      </c>
      <c r="K1637" t="s">
        <v>432</v>
      </c>
      <c r="L1637">
        <v>2.4078254326561299E-2</v>
      </c>
      <c r="M1637">
        <v>0.88666152659984576</v>
      </c>
      <c r="N1637">
        <v>1</v>
      </c>
      <c r="O1637" t="s">
        <v>433</v>
      </c>
      <c r="P1637">
        <v>0</v>
      </c>
      <c r="R1637">
        <v>280</v>
      </c>
      <c r="S1637">
        <v>0</v>
      </c>
      <c r="T1637">
        <v>0</v>
      </c>
      <c r="U1637" t="b">
        <v>0</v>
      </c>
      <c r="V1637">
        <v>0</v>
      </c>
      <c r="Y1637">
        <v>0</v>
      </c>
      <c r="Z1637">
        <v>137</v>
      </c>
      <c r="AA1637">
        <v>0</v>
      </c>
      <c r="AB1637">
        <v>0</v>
      </c>
      <c r="AC1637">
        <v>0</v>
      </c>
      <c r="AD1637">
        <v>0</v>
      </c>
      <c r="AE1637">
        <v>0</v>
      </c>
      <c r="AF1637" t="b">
        <v>0</v>
      </c>
    </row>
    <row r="1638" spans="1:35" x14ac:dyDescent="0.3">
      <c r="A1638" t="s">
        <v>3287</v>
      </c>
      <c r="B1638" t="s">
        <v>3288</v>
      </c>
      <c r="C1638" t="s">
        <v>431</v>
      </c>
      <c r="D1638">
        <v>404</v>
      </c>
      <c r="E1638">
        <v>12095</v>
      </c>
      <c r="F1638">
        <v>18</v>
      </c>
      <c r="G1638">
        <v>60</v>
      </c>
      <c r="H1638">
        <v>60</v>
      </c>
      <c r="I1638">
        <v>1</v>
      </c>
      <c r="J1638">
        <v>1</v>
      </c>
      <c r="K1638" t="s">
        <v>86</v>
      </c>
      <c r="P1638">
        <v>0</v>
      </c>
      <c r="R1638">
        <v>0</v>
      </c>
      <c r="T1638">
        <v>0</v>
      </c>
      <c r="U1638" t="b">
        <v>0</v>
      </c>
      <c r="V1638">
        <v>0.13581488933601599</v>
      </c>
      <c r="Y1638">
        <v>0</v>
      </c>
      <c r="Z1638">
        <v>485</v>
      </c>
      <c r="AA1638">
        <v>-6.8800396290279999E-4</v>
      </c>
      <c r="AB1638">
        <v>-5.5228276877761398E-2</v>
      </c>
      <c r="AC1638">
        <v>-1.5685199567514001E-3</v>
      </c>
      <c r="AD1638">
        <v>-7.7664580382839996E-4</v>
      </c>
      <c r="AE1638">
        <v>0</v>
      </c>
      <c r="AF1638" t="b">
        <v>0</v>
      </c>
    </row>
    <row r="1639" spans="1:35" x14ac:dyDescent="0.3">
      <c r="A1639" t="s">
        <v>3289</v>
      </c>
      <c r="B1639" t="s">
        <v>3290</v>
      </c>
      <c r="C1639" t="s">
        <v>431</v>
      </c>
      <c r="D1639">
        <v>398</v>
      </c>
      <c r="E1639">
        <v>15439</v>
      </c>
      <c r="F1639">
        <v>313</v>
      </c>
      <c r="G1639">
        <v>53</v>
      </c>
      <c r="H1639">
        <v>1</v>
      </c>
      <c r="I1639">
        <v>3.10253254744478E-2</v>
      </c>
      <c r="J1639">
        <v>0.19007638406666241</v>
      </c>
      <c r="K1639" t="s">
        <v>432</v>
      </c>
      <c r="L1639">
        <v>0.8099236159333375</v>
      </c>
      <c r="M1639">
        <v>1</v>
      </c>
      <c r="N1639">
        <v>0</v>
      </c>
      <c r="O1639" t="s">
        <v>518</v>
      </c>
      <c r="P1639">
        <v>12830</v>
      </c>
      <c r="Q1639">
        <v>4.3881527669524502E-2</v>
      </c>
      <c r="R1639">
        <v>0</v>
      </c>
      <c r="T1639">
        <v>0</v>
      </c>
      <c r="U1639" t="b">
        <v>0</v>
      </c>
      <c r="V1639">
        <v>6.5158436213991768</v>
      </c>
      <c r="Y1639">
        <v>0</v>
      </c>
      <c r="Z1639">
        <v>698</v>
      </c>
      <c r="AA1639">
        <v>1.08024241476591E-2</v>
      </c>
      <c r="AB1639">
        <v>0.77861747851002872</v>
      </c>
      <c r="AC1639">
        <v>3.0458592028544001E-3</v>
      </c>
      <c r="AD1639">
        <v>3.3627682342720698E-2</v>
      </c>
      <c r="AE1639">
        <v>0</v>
      </c>
      <c r="AF1639" t="b">
        <v>0</v>
      </c>
    </row>
    <row r="1640" spans="1:35" x14ac:dyDescent="0.3">
      <c r="A1640" t="s">
        <v>3291</v>
      </c>
      <c r="B1640" t="s">
        <v>3292</v>
      </c>
      <c r="C1640" t="s">
        <v>431</v>
      </c>
      <c r="D1640">
        <v>235</v>
      </c>
      <c r="E1640">
        <v>3187</v>
      </c>
      <c r="F1640">
        <v>299</v>
      </c>
      <c r="G1640">
        <v>119</v>
      </c>
      <c r="H1640">
        <v>1</v>
      </c>
      <c r="I1640">
        <v>0.16159397552557259</v>
      </c>
      <c r="J1640">
        <v>0.4576271186440678</v>
      </c>
      <c r="K1640" t="s">
        <v>432</v>
      </c>
      <c r="L1640">
        <v>0.54880187025131499</v>
      </c>
      <c r="M1640">
        <v>1</v>
      </c>
      <c r="N1640">
        <v>1.1714589989350301E-2</v>
      </c>
      <c r="O1640" t="s">
        <v>433</v>
      </c>
      <c r="P1640">
        <v>1856</v>
      </c>
      <c r="Q1640">
        <v>0.43157327586206889</v>
      </c>
      <c r="R1640">
        <v>0</v>
      </c>
      <c r="T1640">
        <v>0</v>
      </c>
      <c r="U1640" t="b">
        <v>0</v>
      </c>
      <c r="V1640">
        <v>0</v>
      </c>
      <c r="Y1640">
        <v>0</v>
      </c>
      <c r="Z1640">
        <v>106</v>
      </c>
      <c r="AA1640">
        <v>0</v>
      </c>
      <c r="AB1640">
        <v>0</v>
      </c>
      <c r="AC1640">
        <v>0</v>
      </c>
      <c r="AD1640">
        <v>0</v>
      </c>
      <c r="AE1640">
        <v>0</v>
      </c>
      <c r="AF1640" t="b">
        <v>0</v>
      </c>
    </row>
    <row r="1641" spans="1:35" x14ac:dyDescent="0.3">
      <c r="A1641" t="s">
        <v>3293</v>
      </c>
      <c r="B1641" t="s">
        <v>3294</v>
      </c>
      <c r="C1641" t="s">
        <v>431</v>
      </c>
      <c r="D1641">
        <v>903</v>
      </c>
      <c r="E1641">
        <v>11537</v>
      </c>
      <c r="F1641">
        <v>101</v>
      </c>
      <c r="G1641">
        <v>30</v>
      </c>
      <c r="H1641">
        <v>1</v>
      </c>
      <c r="I1641">
        <v>4.4638987605096603E-2</v>
      </c>
      <c r="J1641">
        <v>0.3132636655948553</v>
      </c>
      <c r="K1641" t="s">
        <v>432</v>
      </c>
      <c r="L1641">
        <v>0.73311897106109325</v>
      </c>
      <c r="M1641">
        <v>1</v>
      </c>
      <c r="N1641">
        <v>6.3267543859649097E-2</v>
      </c>
      <c r="O1641" t="s">
        <v>433</v>
      </c>
      <c r="P1641">
        <v>8541</v>
      </c>
      <c r="Q1641">
        <v>0.55321390937829296</v>
      </c>
      <c r="R1641">
        <v>0</v>
      </c>
      <c r="T1641">
        <v>0</v>
      </c>
      <c r="U1641" t="b">
        <v>0</v>
      </c>
      <c r="V1641">
        <v>0</v>
      </c>
      <c r="Y1641">
        <v>0</v>
      </c>
      <c r="Z1641">
        <v>327</v>
      </c>
      <c r="AA1641">
        <v>0</v>
      </c>
      <c r="AB1641">
        <v>0</v>
      </c>
      <c r="AC1641">
        <v>0</v>
      </c>
      <c r="AD1641">
        <v>0</v>
      </c>
      <c r="AE1641">
        <v>0</v>
      </c>
      <c r="AF1641" t="b">
        <v>0</v>
      </c>
    </row>
    <row r="1642" spans="1:35" x14ac:dyDescent="0.3">
      <c r="A1642" t="s">
        <v>3295</v>
      </c>
      <c r="B1642" t="s">
        <v>3296</v>
      </c>
      <c r="C1642" t="s">
        <v>431</v>
      </c>
      <c r="D1642">
        <v>707</v>
      </c>
      <c r="E1642">
        <v>63908</v>
      </c>
      <c r="F1642">
        <v>232</v>
      </c>
      <c r="G1642">
        <v>29</v>
      </c>
      <c r="H1642">
        <v>1</v>
      </c>
      <c r="I1642">
        <v>7.0257244789383999E-3</v>
      </c>
      <c r="J1642">
        <v>9.0211251257447903E-2</v>
      </c>
      <c r="K1642" t="s">
        <v>432</v>
      </c>
      <c r="L1642">
        <v>0.92559003327400757</v>
      </c>
      <c r="M1642">
        <v>1</v>
      </c>
      <c r="N1642">
        <v>1.70715802498035E-2</v>
      </c>
      <c r="O1642" t="s">
        <v>433</v>
      </c>
      <c r="P1642">
        <v>58786</v>
      </c>
      <c r="Q1642">
        <v>1</v>
      </c>
      <c r="R1642">
        <v>0</v>
      </c>
      <c r="T1642">
        <v>0</v>
      </c>
      <c r="U1642" t="b">
        <v>0</v>
      </c>
      <c r="Y1642">
        <v>0</v>
      </c>
      <c r="Z1642">
        <v>2977</v>
      </c>
      <c r="AA1642">
        <v>-1.039279948181E-4</v>
      </c>
      <c r="AB1642">
        <v>-3.8517523233679999E-3</v>
      </c>
      <c r="AC1642">
        <v>-2.5955486340919999E-4</v>
      </c>
      <c r="AD1642">
        <v>-2.7653337757859998E-4</v>
      </c>
      <c r="AE1642">
        <v>0</v>
      </c>
      <c r="AF1642" t="b">
        <v>0</v>
      </c>
    </row>
    <row r="1643" spans="1:35" x14ac:dyDescent="0.3">
      <c r="A1643" t="s">
        <v>3297</v>
      </c>
      <c r="B1643" t="s">
        <v>3298</v>
      </c>
      <c r="C1643" t="s">
        <v>431</v>
      </c>
      <c r="D1643">
        <v>384</v>
      </c>
      <c r="E1643">
        <v>7242</v>
      </c>
      <c r="F1643">
        <v>6</v>
      </c>
      <c r="G1643">
        <v>60</v>
      </c>
      <c r="H1643">
        <v>60</v>
      </c>
      <c r="I1643">
        <v>1</v>
      </c>
      <c r="J1643">
        <v>1</v>
      </c>
      <c r="K1643" t="s">
        <v>432</v>
      </c>
      <c r="L1643">
        <v>0.78837097549255164</v>
      </c>
      <c r="M1643">
        <v>1</v>
      </c>
      <c r="N1643">
        <v>1</v>
      </c>
      <c r="O1643" t="s">
        <v>433</v>
      </c>
      <c r="P1643">
        <v>0</v>
      </c>
      <c r="R1643">
        <v>0</v>
      </c>
      <c r="T1643">
        <v>0</v>
      </c>
      <c r="U1643" t="b">
        <v>0</v>
      </c>
      <c r="V1643">
        <v>0.68571428571428572</v>
      </c>
      <c r="Y1643">
        <v>0</v>
      </c>
      <c r="Z1643">
        <v>464</v>
      </c>
      <c r="AA1643">
        <v>4.1736227045069998E-4</v>
      </c>
      <c r="AB1643">
        <v>3.2327586206896498E-2</v>
      </c>
      <c r="AC1643">
        <v>0</v>
      </c>
      <c r="AD1643">
        <v>-4.3290043290043004E-3</v>
      </c>
      <c r="AE1643">
        <v>0</v>
      </c>
      <c r="AF1643" t="b">
        <v>0</v>
      </c>
    </row>
    <row r="1644" spans="1:35" x14ac:dyDescent="0.3">
      <c r="A1644" t="s">
        <v>3299</v>
      </c>
      <c r="B1644" t="s">
        <v>3300</v>
      </c>
      <c r="C1644" t="s">
        <v>431</v>
      </c>
      <c r="D1644">
        <v>389</v>
      </c>
      <c r="E1644">
        <v>3944</v>
      </c>
      <c r="F1644">
        <v>30</v>
      </c>
      <c r="G1644">
        <v>60</v>
      </c>
      <c r="H1644">
        <v>60</v>
      </c>
      <c r="I1644">
        <v>1</v>
      </c>
      <c r="J1644">
        <v>1</v>
      </c>
      <c r="K1644" t="s">
        <v>432</v>
      </c>
      <c r="L1644">
        <v>2.1008403361343999E-3</v>
      </c>
      <c r="M1644">
        <v>1</v>
      </c>
      <c r="O1644" t="s">
        <v>433</v>
      </c>
      <c r="P1644">
        <v>0</v>
      </c>
      <c r="R1644">
        <v>0</v>
      </c>
      <c r="T1644">
        <v>0</v>
      </c>
      <c r="U1644" t="b">
        <v>0</v>
      </c>
      <c r="Y1644">
        <v>8.0055690915418996E-3</v>
      </c>
      <c r="Z1644">
        <v>139</v>
      </c>
      <c r="AA1644">
        <v>-1.38575031112857E-2</v>
      </c>
      <c r="AB1644">
        <v>-1.7394655704008219</v>
      </c>
      <c r="AC1644">
        <v>-4.1241496598639397E-2</v>
      </c>
      <c r="AD1644">
        <v>0</v>
      </c>
      <c r="AE1644">
        <v>0</v>
      </c>
      <c r="AF1644" t="b">
        <v>0</v>
      </c>
    </row>
    <row r="1645" spans="1:35" x14ac:dyDescent="0.3">
      <c r="A1645" t="s">
        <v>3301</v>
      </c>
      <c r="B1645" t="s">
        <v>3302</v>
      </c>
      <c r="C1645" t="s">
        <v>431</v>
      </c>
      <c r="D1645">
        <v>716</v>
      </c>
      <c r="E1645">
        <v>34290</v>
      </c>
      <c r="F1645">
        <v>166</v>
      </c>
      <c r="G1645">
        <v>41</v>
      </c>
      <c r="H1645">
        <v>1</v>
      </c>
      <c r="I1645">
        <v>2.3972003499562501E-2</v>
      </c>
      <c r="J1645">
        <v>0.12926355481917379</v>
      </c>
      <c r="K1645" t="s">
        <v>432</v>
      </c>
      <c r="L1645">
        <v>0.89381820259384104</v>
      </c>
      <c r="M1645">
        <v>0.99892386333064298</v>
      </c>
      <c r="N1645">
        <v>2.5951612387740099E-2</v>
      </c>
      <c r="O1645" t="s">
        <v>433</v>
      </c>
      <c r="P1645">
        <v>30477</v>
      </c>
      <c r="Q1645">
        <v>0.1856810053482954</v>
      </c>
      <c r="R1645">
        <v>0</v>
      </c>
      <c r="T1645">
        <v>0</v>
      </c>
      <c r="U1645" t="b">
        <v>0</v>
      </c>
      <c r="V1645">
        <v>1.8140442890442889</v>
      </c>
      <c r="Y1645">
        <v>0</v>
      </c>
      <c r="Z1645">
        <v>1786</v>
      </c>
      <c r="AA1645">
        <v>2.2951246523328001E-3</v>
      </c>
      <c r="AB1645">
        <v>0.11030841126025891</v>
      </c>
      <c r="AC1645">
        <v>2.2700862092259999E-4</v>
      </c>
      <c r="AD1645">
        <v>1.1120391007615501E-2</v>
      </c>
      <c r="AE1645">
        <v>0</v>
      </c>
      <c r="AF1645" t="b">
        <v>0</v>
      </c>
    </row>
    <row r="1646" spans="1:35" x14ac:dyDescent="0.3">
      <c r="A1646" t="s">
        <v>3303</v>
      </c>
      <c r="B1646" t="s">
        <v>3304</v>
      </c>
      <c r="C1646" t="s">
        <v>431</v>
      </c>
      <c r="D1646">
        <v>704</v>
      </c>
      <c r="E1646">
        <v>20663</v>
      </c>
      <c r="F1646">
        <v>24</v>
      </c>
      <c r="G1646">
        <v>60</v>
      </c>
      <c r="H1646">
        <v>1</v>
      </c>
      <c r="I1646">
        <v>0.50984852151188109</v>
      </c>
      <c r="J1646">
        <v>0.74001965647961809</v>
      </c>
      <c r="K1646" t="s">
        <v>432</v>
      </c>
      <c r="L1646">
        <v>0.87841063321945057</v>
      </c>
      <c r="M1646">
        <v>1</v>
      </c>
      <c r="N1646">
        <v>0.70403324631040543</v>
      </c>
      <c r="O1646" t="s">
        <v>433</v>
      </c>
      <c r="P1646">
        <v>5555</v>
      </c>
      <c r="Q1646">
        <v>4.6264626462646202E-2</v>
      </c>
      <c r="R1646">
        <v>0</v>
      </c>
      <c r="T1646">
        <v>0</v>
      </c>
      <c r="U1646" t="b">
        <v>0</v>
      </c>
      <c r="V1646">
        <v>0</v>
      </c>
      <c r="Y1646">
        <v>0</v>
      </c>
      <c r="Z1646">
        <v>1115</v>
      </c>
      <c r="AA1646">
        <v>1.0719017222689999E-3</v>
      </c>
      <c r="AB1646">
        <v>5.9865470852017898E-2</v>
      </c>
      <c r="AC1646">
        <v>7.4565037282517998E-3</v>
      </c>
      <c r="AD1646">
        <v>4.3124101581216998E-3</v>
      </c>
      <c r="AE1646">
        <v>0</v>
      </c>
      <c r="AF1646" t="b">
        <v>0</v>
      </c>
    </row>
    <row r="1647" spans="1:35" x14ac:dyDescent="0.3">
      <c r="A1647" t="s">
        <v>3305</v>
      </c>
      <c r="B1647" t="s">
        <v>3306</v>
      </c>
      <c r="C1647" t="s">
        <v>431</v>
      </c>
      <c r="D1647">
        <v>5822</v>
      </c>
      <c r="E1647">
        <v>273931</v>
      </c>
      <c r="F1647">
        <v>476</v>
      </c>
      <c r="G1647">
        <v>42</v>
      </c>
      <c r="H1647">
        <v>1</v>
      </c>
      <c r="I1647">
        <v>1.12254545852787E-2</v>
      </c>
      <c r="J1647">
        <v>0.13077912794853461</v>
      </c>
      <c r="K1647" t="s">
        <v>432</v>
      </c>
      <c r="L1647">
        <v>0.88373481057898495</v>
      </c>
      <c r="M1647">
        <v>1</v>
      </c>
      <c r="N1647">
        <v>1.6423409323449299E-2</v>
      </c>
      <c r="O1647" t="s">
        <v>433</v>
      </c>
      <c r="P1647">
        <v>197769</v>
      </c>
      <c r="Q1647">
        <v>0.25483771470756289</v>
      </c>
      <c r="R1647">
        <v>0</v>
      </c>
      <c r="T1647">
        <v>0</v>
      </c>
      <c r="U1647" t="b">
        <v>0</v>
      </c>
      <c r="V1647">
        <v>5.7962383521749734</v>
      </c>
      <c r="Y1647">
        <v>0</v>
      </c>
      <c r="Z1647">
        <v>7474</v>
      </c>
      <c r="AA1647">
        <v>4.9904936655207698E-2</v>
      </c>
      <c r="AB1647">
        <v>2.681654136952929</v>
      </c>
      <c r="AC1647">
        <v>1.277972392708E-4</v>
      </c>
      <c r="AD1647">
        <v>9.3157433548040194E-2</v>
      </c>
      <c r="AE1647">
        <v>0</v>
      </c>
      <c r="AF1647" t="b">
        <v>0</v>
      </c>
    </row>
    <row r="1648" spans="1:35" x14ac:dyDescent="0.3">
      <c r="A1648" t="s">
        <v>3307</v>
      </c>
      <c r="B1648" t="s">
        <v>3308</v>
      </c>
      <c r="C1648" t="s">
        <v>431</v>
      </c>
      <c r="D1648">
        <v>792</v>
      </c>
      <c r="E1648">
        <v>14529</v>
      </c>
      <c r="F1648">
        <v>52</v>
      </c>
      <c r="G1648">
        <v>60</v>
      </c>
      <c r="H1648">
        <v>60</v>
      </c>
      <c r="I1648">
        <v>0.6704521990501755</v>
      </c>
      <c r="J1648">
        <v>0.83225638013184522</v>
      </c>
      <c r="K1648" t="s">
        <v>432</v>
      </c>
      <c r="L1648">
        <v>0.8013184517981855</v>
      </c>
      <c r="M1648">
        <v>1</v>
      </c>
      <c r="N1648">
        <v>0.79066547202085202</v>
      </c>
      <c r="O1648" t="s">
        <v>433</v>
      </c>
      <c r="P1648">
        <v>2570</v>
      </c>
      <c r="Q1648">
        <v>8.9494163424124005E-3</v>
      </c>
      <c r="R1648">
        <v>0</v>
      </c>
      <c r="T1648">
        <v>0</v>
      </c>
      <c r="U1648" t="b">
        <v>0</v>
      </c>
      <c r="V1648">
        <v>6.2098757112908061</v>
      </c>
      <c r="Y1648">
        <v>0</v>
      </c>
      <c r="Z1648">
        <v>516</v>
      </c>
      <c r="AA1648">
        <v>-7.5066102158235001E-3</v>
      </c>
      <c r="AB1648">
        <v>-0.66127998831487211</v>
      </c>
      <c r="AC1648">
        <v>-7.3267037145364E-3</v>
      </c>
      <c r="AD1648">
        <v>-1.23436157646048E-2</v>
      </c>
      <c r="AE1648">
        <v>0</v>
      </c>
      <c r="AF1648" t="b">
        <v>0</v>
      </c>
    </row>
    <row r="1649" spans="1:35" x14ac:dyDescent="0.3">
      <c r="A1649" t="s">
        <v>3309</v>
      </c>
      <c r="B1649" t="s">
        <v>3310</v>
      </c>
      <c r="C1649" t="s">
        <v>474</v>
      </c>
      <c r="D1649">
        <v>413</v>
      </c>
      <c r="E1649">
        <v>7654</v>
      </c>
      <c r="F1649">
        <v>16</v>
      </c>
      <c r="G1649">
        <v>60</v>
      </c>
      <c r="H1649">
        <v>60</v>
      </c>
      <c r="I1649">
        <v>1</v>
      </c>
      <c r="J1649">
        <v>1</v>
      </c>
      <c r="K1649" t="s">
        <v>86</v>
      </c>
      <c r="P1649">
        <v>0</v>
      </c>
      <c r="R1649">
        <v>0</v>
      </c>
      <c r="T1649">
        <v>0</v>
      </c>
      <c r="U1649" t="b">
        <v>0</v>
      </c>
      <c r="V1649">
        <v>25.435594381637539</v>
      </c>
      <c r="Y1649">
        <v>0</v>
      </c>
      <c r="Z1649">
        <v>222</v>
      </c>
      <c r="AA1649">
        <v>0.119323718733104</v>
      </c>
      <c r="AB1649">
        <v>13.67688617688618</v>
      </c>
      <c r="AC1649">
        <v>0.16785475593956539</v>
      </c>
      <c r="AD1649">
        <v>9.5285190763258198E-2</v>
      </c>
      <c r="AE1649">
        <v>0</v>
      </c>
      <c r="AF1649" t="b">
        <v>0</v>
      </c>
    </row>
    <row r="1650" spans="1:35" x14ac:dyDescent="0.3">
      <c r="A1650" t="s">
        <v>3311</v>
      </c>
      <c r="B1650" t="s">
        <v>3312</v>
      </c>
      <c r="C1650" t="s">
        <v>431</v>
      </c>
      <c r="D1650">
        <v>162</v>
      </c>
      <c r="E1650">
        <v>70</v>
      </c>
      <c r="F1650">
        <v>4</v>
      </c>
      <c r="G1650">
        <v>240</v>
      </c>
      <c r="H1650">
        <v>60</v>
      </c>
      <c r="I1650">
        <v>1</v>
      </c>
      <c r="J1650">
        <v>1</v>
      </c>
      <c r="K1650" t="s">
        <v>432</v>
      </c>
      <c r="L1650">
        <v>0.61882858019012577</v>
      </c>
      <c r="M1650">
        <v>1</v>
      </c>
      <c r="O1650" t="s">
        <v>433</v>
      </c>
      <c r="P1650">
        <v>0</v>
      </c>
      <c r="R1650">
        <v>0</v>
      </c>
      <c r="T1650">
        <v>0</v>
      </c>
      <c r="U1650" t="b">
        <v>0</v>
      </c>
      <c r="Y1650">
        <v>0.61882858019012577</v>
      </c>
      <c r="Z1650">
        <v>2</v>
      </c>
      <c r="AA1650">
        <v>-8.5227272727272693E-2</v>
      </c>
      <c r="AB1650">
        <v>-15.34090909090909</v>
      </c>
      <c r="AC1650">
        <v>-0.125</v>
      </c>
      <c r="AD1650">
        <v>-5.3571428571428499E-2</v>
      </c>
      <c r="AE1650">
        <v>0</v>
      </c>
      <c r="AF1650" t="b">
        <v>0</v>
      </c>
    </row>
    <row r="1651" spans="1:35" x14ac:dyDescent="0.3">
      <c r="A1651" t="s">
        <v>3313</v>
      </c>
      <c r="B1651" t="s">
        <v>3314</v>
      </c>
      <c r="C1651" t="s">
        <v>431</v>
      </c>
      <c r="D1651">
        <v>678</v>
      </c>
      <c r="E1651">
        <v>26275</v>
      </c>
      <c r="F1651">
        <v>23</v>
      </c>
      <c r="G1651">
        <v>60</v>
      </c>
      <c r="H1651">
        <v>60</v>
      </c>
      <c r="I1651">
        <v>0.65705042816365367</v>
      </c>
      <c r="J1651">
        <v>0.82870181426928358</v>
      </c>
      <c r="K1651" t="s">
        <v>432</v>
      </c>
      <c r="L1651">
        <v>0.83708678069231623</v>
      </c>
      <c r="M1651">
        <v>1</v>
      </c>
      <c r="N1651">
        <v>0.79536388618030318</v>
      </c>
      <c r="O1651" t="s">
        <v>433</v>
      </c>
      <c r="P1651">
        <v>4617</v>
      </c>
      <c r="Q1651">
        <v>3.0322720381199899E-2</v>
      </c>
      <c r="R1651">
        <v>0</v>
      </c>
      <c r="T1651">
        <v>0</v>
      </c>
      <c r="U1651" t="b">
        <v>0</v>
      </c>
      <c r="V1651">
        <v>0.62968515742128939</v>
      </c>
      <c r="Y1651">
        <v>0</v>
      </c>
      <c r="Z1651">
        <v>1401</v>
      </c>
      <c r="AA1651">
        <v>-5.0689655172413001E-3</v>
      </c>
      <c r="AB1651">
        <v>-0.31477516059957172</v>
      </c>
      <c r="AC1651">
        <v>-8.4235860409144995E-3</v>
      </c>
      <c r="AD1651">
        <v>0</v>
      </c>
      <c r="AE1651">
        <v>0</v>
      </c>
      <c r="AF1651" t="b">
        <v>0</v>
      </c>
    </row>
    <row r="1652" spans="1:35" x14ac:dyDescent="0.3">
      <c r="A1652" t="s">
        <v>3315</v>
      </c>
      <c r="B1652" t="s">
        <v>3316</v>
      </c>
      <c r="C1652" t="s">
        <v>431</v>
      </c>
      <c r="D1652">
        <v>1844</v>
      </c>
      <c r="E1652">
        <v>46719</v>
      </c>
      <c r="F1652">
        <v>25</v>
      </c>
      <c r="G1652">
        <v>60</v>
      </c>
      <c r="H1652">
        <v>60</v>
      </c>
      <c r="I1652">
        <v>1</v>
      </c>
      <c r="J1652">
        <v>1</v>
      </c>
      <c r="K1652" t="s">
        <v>432</v>
      </c>
      <c r="L1652">
        <v>0.8527246992215145</v>
      </c>
      <c r="M1652">
        <v>1</v>
      </c>
      <c r="N1652">
        <v>1</v>
      </c>
      <c r="O1652" t="s">
        <v>433</v>
      </c>
      <c r="P1652">
        <v>0</v>
      </c>
      <c r="R1652">
        <v>0</v>
      </c>
      <c r="T1652">
        <v>1</v>
      </c>
      <c r="U1652" t="b">
        <v>1</v>
      </c>
      <c r="V1652">
        <v>8.5633060515873023</v>
      </c>
      <c r="W1652">
        <v>11.201831501831499</v>
      </c>
      <c r="X1652" t="b">
        <v>0</v>
      </c>
      <c r="Y1652">
        <v>0</v>
      </c>
      <c r="Z1652">
        <v>1611</v>
      </c>
      <c r="AA1652">
        <v>1.09221162600933E-2</v>
      </c>
      <c r="AB1652">
        <v>1.0588222040736011</v>
      </c>
      <c r="AC1652">
        <v>1.9388512504407E-3</v>
      </c>
      <c r="AD1652">
        <v>8.0212164191963004E-3</v>
      </c>
      <c r="AE1652">
        <v>1</v>
      </c>
      <c r="AF1652" t="b">
        <v>1</v>
      </c>
      <c r="AG1652">
        <v>-9.5785440613019995E-4</v>
      </c>
      <c r="AH1652">
        <v>-0.1111111111111116</v>
      </c>
      <c r="AI1652" t="b">
        <v>1</v>
      </c>
    </row>
    <row r="1653" spans="1:35" x14ac:dyDescent="0.3">
      <c r="A1653" t="s">
        <v>3317</v>
      </c>
      <c r="B1653" t="s">
        <v>3318</v>
      </c>
      <c r="C1653" t="s">
        <v>1120</v>
      </c>
      <c r="D1653">
        <v>8799</v>
      </c>
      <c r="E1653">
        <v>144219</v>
      </c>
      <c r="F1653">
        <v>25</v>
      </c>
      <c r="G1653">
        <v>60</v>
      </c>
      <c r="H1653">
        <v>15</v>
      </c>
      <c r="I1653">
        <v>0.93241528508726323</v>
      </c>
      <c r="J1653">
        <v>0.9295386918570484</v>
      </c>
      <c r="K1653" t="s">
        <v>86</v>
      </c>
      <c r="P1653">
        <v>0</v>
      </c>
      <c r="R1653">
        <v>0</v>
      </c>
      <c r="T1653">
        <v>1</v>
      </c>
      <c r="U1653" t="b">
        <v>1</v>
      </c>
      <c r="V1653">
        <v>0</v>
      </c>
      <c r="W1653">
        <v>0</v>
      </c>
      <c r="X1653" t="b">
        <v>0</v>
      </c>
      <c r="Y1653">
        <v>0</v>
      </c>
      <c r="Z1653">
        <v>1817</v>
      </c>
      <c r="AA1653">
        <v>0</v>
      </c>
      <c r="AB1653">
        <v>0</v>
      </c>
      <c r="AC1653">
        <v>0</v>
      </c>
      <c r="AD1653">
        <v>0</v>
      </c>
      <c r="AE1653">
        <v>1</v>
      </c>
      <c r="AF1653" t="b">
        <v>1</v>
      </c>
      <c r="AG1653">
        <v>0</v>
      </c>
      <c r="AH1653">
        <v>0</v>
      </c>
      <c r="AI1653" t="b">
        <v>0</v>
      </c>
    </row>
    <row r="1654" spans="1:35" x14ac:dyDescent="0.3">
      <c r="A1654" t="s">
        <v>3319</v>
      </c>
      <c r="B1654" t="s">
        <v>3320</v>
      </c>
      <c r="C1654" t="s">
        <v>431</v>
      </c>
      <c r="D1654">
        <v>149</v>
      </c>
      <c r="E1654">
        <v>2809</v>
      </c>
      <c r="F1654">
        <v>7</v>
      </c>
      <c r="G1654">
        <v>60</v>
      </c>
      <c r="H1654">
        <v>60</v>
      </c>
      <c r="I1654">
        <v>1</v>
      </c>
      <c r="J1654">
        <v>1</v>
      </c>
      <c r="K1654" t="s">
        <v>432</v>
      </c>
      <c r="L1654">
        <v>0.90723562152133597</v>
      </c>
      <c r="M1654">
        <v>1</v>
      </c>
      <c r="N1654">
        <v>1</v>
      </c>
      <c r="O1654" t="s">
        <v>433</v>
      </c>
      <c r="P1654">
        <v>0</v>
      </c>
      <c r="R1654">
        <v>0</v>
      </c>
      <c r="T1654">
        <v>0</v>
      </c>
      <c r="U1654" t="b">
        <v>0</v>
      </c>
      <c r="V1654">
        <v>0</v>
      </c>
      <c r="Y1654">
        <v>0</v>
      </c>
      <c r="Z1654">
        <v>20</v>
      </c>
      <c r="AA1654">
        <v>0</v>
      </c>
      <c r="AB1654">
        <v>0</v>
      </c>
      <c r="AC1654">
        <v>0</v>
      </c>
      <c r="AD1654">
        <v>0</v>
      </c>
      <c r="AE1654">
        <v>0</v>
      </c>
      <c r="AF1654" t="b">
        <v>0</v>
      </c>
    </row>
    <row r="1655" spans="1:35" x14ac:dyDescent="0.3">
      <c r="A1655" t="s">
        <v>3321</v>
      </c>
      <c r="B1655" t="s">
        <v>3322</v>
      </c>
      <c r="C1655" t="s">
        <v>431</v>
      </c>
      <c r="D1655">
        <v>367</v>
      </c>
      <c r="E1655">
        <v>3609</v>
      </c>
      <c r="F1655">
        <v>15</v>
      </c>
      <c r="G1655">
        <v>300</v>
      </c>
      <c r="H1655">
        <v>60</v>
      </c>
      <c r="I1655">
        <v>1</v>
      </c>
      <c r="J1655">
        <v>1</v>
      </c>
      <c r="K1655" t="s">
        <v>432</v>
      </c>
      <c r="L1655">
        <v>7.4244751664106004E-3</v>
      </c>
      <c r="M1655">
        <v>1</v>
      </c>
      <c r="N1655">
        <v>1</v>
      </c>
      <c r="O1655" t="s">
        <v>433</v>
      </c>
      <c r="P1655">
        <v>0</v>
      </c>
      <c r="R1655">
        <v>0</v>
      </c>
      <c r="T1655">
        <v>0</v>
      </c>
      <c r="U1655" t="b">
        <v>0</v>
      </c>
      <c r="V1655">
        <v>10.56818181818182</v>
      </c>
      <c r="Y1655">
        <v>1.8877057115198399E-2</v>
      </c>
      <c r="Z1655">
        <v>141</v>
      </c>
      <c r="AA1655">
        <v>1.5919391691950001E-4</v>
      </c>
      <c r="AB1655">
        <v>5.4803352675693202E-2</v>
      </c>
      <c r="AC1655">
        <v>-2.13307863737663E-2</v>
      </c>
      <c r="AD1655">
        <v>-1.0928961748632999E-3</v>
      </c>
      <c r="AE1655">
        <v>0</v>
      </c>
      <c r="AF1655" t="b">
        <v>0</v>
      </c>
    </row>
    <row r="1656" spans="1:35" x14ac:dyDescent="0.3">
      <c r="A1656" t="s">
        <v>3323</v>
      </c>
      <c r="B1656" t="s">
        <v>3324</v>
      </c>
      <c r="C1656" t="s">
        <v>431</v>
      </c>
      <c r="D1656">
        <v>558</v>
      </c>
      <c r="E1656">
        <v>26141</v>
      </c>
      <c r="F1656">
        <v>140</v>
      </c>
      <c r="G1656">
        <v>33</v>
      </c>
      <c r="H1656">
        <v>1</v>
      </c>
      <c r="I1656">
        <v>1.0558127080065699E-2</v>
      </c>
      <c r="J1656">
        <v>0.1158844900558073</v>
      </c>
      <c r="K1656" t="s">
        <v>432</v>
      </c>
      <c r="L1656">
        <v>0.91186935840293637</v>
      </c>
      <c r="M1656">
        <v>1</v>
      </c>
      <c r="N1656">
        <v>3.0436211287275101E-2</v>
      </c>
      <c r="O1656" t="s">
        <v>433</v>
      </c>
      <c r="P1656">
        <v>23605</v>
      </c>
      <c r="Q1656">
        <v>0.125015886464732</v>
      </c>
      <c r="R1656">
        <v>0</v>
      </c>
      <c r="T1656">
        <v>0</v>
      </c>
      <c r="U1656" t="b">
        <v>0</v>
      </c>
      <c r="V1656">
        <v>0.45428571428571429</v>
      </c>
      <c r="Y1656">
        <v>0</v>
      </c>
      <c r="Z1656">
        <v>1185</v>
      </c>
      <c r="AA1656">
        <v>3.9316723291807996E-3</v>
      </c>
      <c r="AB1656">
        <v>0.17578059071729951</v>
      </c>
      <c r="AC1656">
        <v>0</v>
      </c>
      <c r="AD1656">
        <v>1.0325345801675399E-2</v>
      </c>
      <c r="AE1656">
        <v>0</v>
      </c>
      <c r="AF1656" t="b">
        <v>0</v>
      </c>
    </row>
    <row r="1657" spans="1:35" x14ac:dyDescent="0.3">
      <c r="A1657" t="s">
        <v>3325</v>
      </c>
      <c r="B1657" t="s">
        <v>3326</v>
      </c>
      <c r="C1657" t="s">
        <v>431</v>
      </c>
      <c r="D1657">
        <v>594</v>
      </c>
      <c r="E1657">
        <v>20794</v>
      </c>
      <c r="F1657">
        <v>201</v>
      </c>
      <c r="G1657">
        <v>50</v>
      </c>
      <c r="H1657">
        <v>1</v>
      </c>
      <c r="I1657">
        <v>1.44753294219486E-2</v>
      </c>
      <c r="J1657">
        <v>0.16041705629324851</v>
      </c>
      <c r="K1657" t="s">
        <v>432</v>
      </c>
      <c r="L1657">
        <v>0.85122498597344309</v>
      </c>
      <c r="M1657">
        <v>1</v>
      </c>
      <c r="N1657">
        <v>1.3676809842908901E-2</v>
      </c>
      <c r="O1657" t="s">
        <v>433</v>
      </c>
      <c r="P1657">
        <v>17957</v>
      </c>
      <c r="Q1657">
        <v>0.42217519630227768</v>
      </c>
      <c r="R1657">
        <v>0</v>
      </c>
      <c r="T1657">
        <v>0</v>
      </c>
      <c r="U1657" t="b">
        <v>0</v>
      </c>
      <c r="Y1657">
        <v>0</v>
      </c>
      <c r="Z1657">
        <v>1134</v>
      </c>
      <c r="AA1657">
        <v>-1.0707362361476E-3</v>
      </c>
      <c r="AB1657">
        <v>-6.9326866549088706E-2</v>
      </c>
      <c r="AC1657">
        <v>-1.4266220071951E-3</v>
      </c>
      <c r="AD1657">
        <v>0</v>
      </c>
      <c r="AE1657">
        <v>0</v>
      </c>
      <c r="AF1657" t="b">
        <v>0</v>
      </c>
    </row>
    <row r="1658" spans="1:35" x14ac:dyDescent="0.3">
      <c r="A1658" t="s">
        <v>3327</v>
      </c>
      <c r="B1658" t="s">
        <v>3328</v>
      </c>
      <c r="C1658" t="s">
        <v>3329</v>
      </c>
      <c r="D1658">
        <v>2764</v>
      </c>
      <c r="E1658">
        <v>65322</v>
      </c>
      <c r="F1658">
        <v>40</v>
      </c>
      <c r="G1658">
        <v>60</v>
      </c>
      <c r="H1658">
        <v>60</v>
      </c>
      <c r="I1658">
        <v>1</v>
      </c>
      <c r="J1658">
        <v>1</v>
      </c>
      <c r="K1658" t="s">
        <v>86</v>
      </c>
      <c r="P1658">
        <v>0</v>
      </c>
      <c r="R1658">
        <v>0</v>
      </c>
      <c r="T1658">
        <v>0</v>
      </c>
      <c r="U1658" t="b">
        <v>0</v>
      </c>
      <c r="V1658">
        <v>6.1558756267964663</v>
      </c>
      <c r="Y1658">
        <v>0</v>
      </c>
      <c r="Z1658">
        <v>1417</v>
      </c>
      <c r="AA1658">
        <v>2.5316094644349502E-2</v>
      </c>
      <c r="AB1658">
        <v>2.0916557488035181</v>
      </c>
      <c r="AC1658">
        <v>1.4164859616975001E-2</v>
      </c>
      <c r="AD1658">
        <v>4.1666506151454397E-2</v>
      </c>
      <c r="AE1658">
        <v>0</v>
      </c>
      <c r="AF1658" t="b">
        <v>0</v>
      </c>
    </row>
    <row r="1659" spans="1:35" x14ac:dyDescent="0.3">
      <c r="A1659" t="s">
        <v>3330</v>
      </c>
      <c r="B1659" t="s">
        <v>3331</v>
      </c>
      <c r="C1659" t="s">
        <v>431</v>
      </c>
      <c r="D1659">
        <v>188</v>
      </c>
      <c r="E1659">
        <v>4111</v>
      </c>
      <c r="F1659">
        <v>13</v>
      </c>
      <c r="G1659">
        <v>120</v>
      </c>
      <c r="H1659">
        <v>60</v>
      </c>
      <c r="I1659">
        <v>1</v>
      </c>
      <c r="J1659">
        <v>1</v>
      </c>
      <c r="K1659" t="s">
        <v>432</v>
      </c>
      <c r="L1659">
        <v>0.43745789355490677</v>
      </c>
      <c r="M1659">
        <v>1</v>
      </c>
      <c r="N1659">
        <v>1</v>
      </c>
      <c r="O1659" t="s">
        <v>433</v>
      </c>
      <c r="P1659">
        <v>0</v>
      </c>
      <c r="R1659">
        <v>0</v>
      </c>
      <c r="T1659">
        <v>0</v>
      </c>
      <c r="U1659" t="b">
        <v>0</v>
      </c>
      <c r="V1659">
        <v>5</v>
      </c>
      <c r="Y1659">
        <v>1.9088255108915299E-2</v>
      </c>
      <c r="Z1659">
        <v>216</v>
      </c>
      <c r="AA1659">
        <v>1.8766756032170999E-3</v>
      </c>
      <c r="AB1659">
        <v>0.2430555555555555</v>
      </c>
      <c r="AC1659">
        <v>5.5325034578145998E-3</v>
      </c>
      <c r="AD1659">
        <v>4.4370493621740999E-3</v>
      </c>
      <c r="AE1659">
        <v>0</v>
      </c>
      <c r="AF1659" t="b">
        <v>0</v>
      </c>
    </row>
    <row r="1660" spans="1:35" x14ac:dyDescent="0.3">
      <c r="A1660" t="s">
        <v>3332</v>
      </c>
      <c r="B1660" t="s">
        <v>3333</v>
      </c>
      <c r="C1660" t="s">
        <v>431</v>
      </c>
      <c r="D1660">
        <v>168</v>
      </c>
      <c r="E1660">
        <v>13185</v>
      </c>
      <c r="F1660">
        <v>34</v>
      </c>
      <c r="G1660">
        <v>30</v>
      </c>
      <c r="H1660">
        <v>5</v>
      </c>
      <c r="I1660">
        <v>0.28448995070155481</v>
      </c>
      <c r="J1660">
        <v>0.27162435407773527</v>
      </c>
      <c r="K1660" t="s">
        <v>432</v>
      </c>
      <c r="L1660">
        <v>0.81809331236426275</v>
      </c>
      <c r="M1660">
        <v>0.51173322354878548</v>
      </c>
      <c r="N1660">
        <v>0.21823507872574149</v>
      </c>
      <c r="O1660" t="s">
        <v>433</v>
      </c>
      <c r="P1660">
        <v>8491</v>
      </c>
      <c r="Q1660">
        <v>6.2183488399481797E-2</v>
      </c>
      <c r="R1660">
        <v>1072</v>
      </c>
      <c r="S1660">
        <v>5.2238805970149203E-2</v>
      </c>
      <c r="T1660">
        <v>0</v>
      </c>
      <c r="U1660" t="b">
        <v>0</v>
      </c>
      <c r="V1660">
        <v>0</v>
      </c>
      <c r="Y1660">
        <v>0</v>
      </c>
      <c r="Z1660">
        <v>778</v>
      </c>
      <c r="AA1660">
        <v>0</v>
      </c>
      <c r="AB1660">
        <v>0</v>
      </c>
      <c r="AC1660">
        <v>0</v>
      </c>
      <c r="AD1660">
        <v>0</v>
      </c>
      <c r="AE1660">
        <v>0</v>
      </c>
      <c r="AF1660" t="b">
        <v>0</v>
      </c>
    </row>
    <row r="1661" spans="1:35" x14ac:dyDescent="0.3">
      <c r="A1661" t="s">
        <v>3334</v>
      </c>
      <c r="B1661" t="s">
        <v>3335</v>
      </c>
      <c r="C1661" t="s">
        <v>431</v>
      </c>
      <c r="D1661">
        <v>72</v>
      </c>
      <c r="E1661">
        <v>1322</v>
      </c>
      <c r="F1661">
        <v>261</v>
      </c>
      <c r="G1661">
        <v>103</v>
      </c>
      <c r="H1661">
        <v>1</v>
      </c>
      <c r="I1661">
        <v>3.9334341906202698E-2</v>
      </c>
      <c r="J1661">
        <v>0.2582496413199426</v>
      </c>
      <c r="K1661" t="s">
        <v>432</v>
      </c>
      <c r="L1661">
        <v>0.75609756097560976</v>
      </c>
      <c r="M1661">
        <v>1</v>
      </c>
      <c r="N1661">
        <v>1.8975332068311101E-2</v>
      </c>
      <c r="O1661" t="s">
        <v>433</v>
      </c>
      <c r="P1661">
        <v>1034</v>
      </c>
      <c r="Q1661">
        <v>1</v>
      </c>
      <c r="R1661">
        <v>0</v>
      </c>
      <c r="T1661">
        <v>0</v>
      </c>
      <c r="U1661" t="b">
        <v>0</v>
      </c>
      <c r="V1661">
        <v>6.0000000000000044</v>
      </c>
      <c r="Y1661">
        <v>0</v>
      </c>
      <c r="Z1661">
        <v>23</v>
      </c>
      <c r="AA1661">
        <v>-3.5546382295608199E-2</v>
      </c>
      <c r="AB1661">
        <v>-4.4927536231884053</v>
      </c>
      <c r="AC1661">
        <v>5.7142857142857197E-2</v>
      </c>
      <c r="AD1661">
        <v>-5.7142857142857099E-2</v>
      </c>
      <c r="AE1661">
        <v>0</v>
      </c>
      <c r="AF1661" t="b">
        <v>0</v>
      </c>
    </row>
    <row r="1662" spans="1:35" x14ac:dyDescent="0.3">
      <c r="A1662" t="s">
        <v>3336</v>
      </c>
      <c r="B1662" t="s">
        <v>3337</v>
      </c>
      <c r="C1662" t="s">
        <v>431</v>
      </c>
      <c r="D1662">
        <v>336</v>
      </c>
      <c r="E1662">
        <v>4243</v>
      </c>
      <c r="F1662">
        <v>5</v>
      </c>
      <c r="G1662">
        <v>60</v>
      </c>
      <c r="H1662">
        <v>60</v>
      </c>
      <c r="I1662">
        <v>1</v>
      </c>
      <c r="J1662">
        <v>1</v>
      </c>
      <c r="K1662" t="s">
        <v>432</v>
      </c>
      <c r="L1662">
        <v>0.87140137996669043</v>
      </c>
      <c r="M1662">
        <v>1</v>
      </c>
      <c r="N1662">
        <v>1</v>
      </c>
      <c r="O1662" t="s">
        <v>433</v>
      </c>
      <c r="P1662">
        <v>0</v>
      </c>
      <c r="R1662">
        <v>0</v>
      </c>
      <c r="T1662">
        <v>0</v>
      </c>
      <c r="U1662" t="b">
        <v>0</v>
      </c>
      <c r="V1662">
        <v>0</v>
      </c>
      <c r="Y1662">
        <v>0</v>
      </c>
      <c r="Z1662">
        <v>253</v>
      </c>
      <c r="AA1662">
        <v>-3.2894736842105001E-3</v>
      </c>
      <c r="AB1662">
        <v>-0.23715415019762839</v>
      </c>
      <c r="AC1662">
        <v>0</v>
      </c>
      <c r="AD1662">
        <v>0</v>
      </c>
      <c r="AE1662">
        <v>0</v>
      </c>
      <c r="AF1662" t="b">
        <v>0</v>
      </c>
    </row>
    <row r="1663" spans="1:35" x14ac:dyDescent="0.3">
      <c r="A1663" t="s">
        <v>3338</v>
      </c>
      <c r="B1663" t="s">
        <v>3339</v>
      </c>
      <c r="C1663" t="s">
        <v>431</v>
      </c>
      <c r="D1663">
        <v>927</v>
      </c>
      <c r="E1663">
        <v>20878</v>
      </c>
      <c r="F1663">
        <v>21</v>
      </c>
      <c r="G1663">
        <v>60</v>
      </c>
      <c r="H1663">
        <v>60</v>
      </c>
      <c r="I1663">
        <v>1</v>
      </c>
      <c r="J1663">
        <v>1</v>
      </c>
      <c r="K1663" t="s">
        <v>86</v>
      </c>
      <c r="P1663">
        <v>0</v>
      </c>
      <c r="R1663">
        <v>0</v>
      </c>
      <c r="T1663">
        <v>0</v>
      </c>
      <c r="U1663" t="b">
        <v>0</v>
      </c>
      <c r="V1663">
        <v>0.34482758620689657</v>
      </c>
      <c r="Y1663">
        <v>0</v>
      </c>
      <c r="Z1663">
        <v>1045</v>
      </c>
      <c r="AA1663">
        <v>6.3128745091290002E-4</v>
      </c>
      <c r="AB1663">
        <v>5.5160628844839299E-2</v>
      </c>
      <c r="AC1663">
        <v>2.9330572808832999E-3</v>
      </c>
      <c r="AD1663">
        <v>1.8726591760290001E-4</v>
      </c>
      <c r="AE1663">
        <v>0</v>
      </c>
      <c r="AF1663" t="b">
        <v>0</v>
      </c>
    </row>
    <row r="1664" spans="1:35" x14ac:dyDescent="0.3">
      <c r="A1664" t="s">
        <v>3340</v>
      </c>
      <c r="B1664" t="s">
        <v>3341</v>
      </c>
      <c r="C1664" t="s">
        <v>431</v>
      </c>
      <c r="D1664">
        <v>155</v>
      </c>
      <c r="E1664">
        <v>2146</v>
      </c>
      <c r="F1664">
        <v>17</v>
      </c>
      <c r="G1664">
        <v>120</v>
      </c>
      <c r="H1664">
        <v>5</v>
      </c>
      <c r="I1664">
        <v>0.98275862068965525</v>
      </c>
      <c r="J1664">
        <v>0.98459616985845122</v>
      </c>
      <c r="K1664" t="s">
        <v>432</v>
      </c>
      <c r="L1664">
        <v>0.49167360532889259</v>
      </c>
      <c r="M1664">
        <v>0.97624897624897622</v>
      </c>
      <c r="N1664">
        <v>0.99322607959356479</v>
      </c>
      <c r="O1664" t="s">
        <v>433</v>
      </c>
      <c r="P1664">
        <v>0</v>
      </c>
      <c r="R1664">
        <v>0</v>
      </c>
      <c r="T1664">
        <v>0</v>
      </c>
      <c r="U1664" t="b">
        <v>0</v>
      </c>
      <c r="V1664">
        <v>0</v>
      </c>
      <c r="Y1664">
        <v>0</v>
      </c>
      <c r="Z1664">
        <v>77</v>
      </c>
      <c r="AA1664">
        <v>1.148258273503E-4</v>
      </c>
      <c r="AB1664">
        <v>2.05627705627703E-2</v>
      </c>
      <c r="AC1664">
        <v>0</v>
      </c>
      <c r="AD1664">
        <v>0</v>
      </c>
      <c r="AE1664">
        <v>0</v>
      </c>
      <c r="AF1664" t="b">
        <v>0</v>
      </c>
    </row>
    <row r="1665" spans="1:32" x14ac:dyDescent="0.3">
      <c r="A1665" t="s">
        <v>3342</v>
      </c>
      <c r="B1665" t="s">
        <v>3343</v>
      </c>
      <c r="C1665" t="s">
        <v>431</v>
      </c>
      <c r="D1665">
        <v>598</v>
      </c>
      <c r="E1665">
        <v>23977</v>
      </c>
      <c r="F1665">
        <v>53</v>
      </c>
      <c r="G1665">
        <v>59</v>
      </c>
      <c r="H1665">
        <v>1</v>
      </c>
      <c r="I1665">
        <v>0.36580890019602119</v>
      </c>
      <c r="J1665">
        <v>0.63804679552390642</v>
      </c>
      <c r="K1665" t="s">
        <v>432</v>
      </c>
      <c r="L1665">
        <v>0.7986164801627671</v>
      </c>
      <c r="M1665">
        <v>1</v>
      </c>
      <c r="N1665">
        <v>0.54677468664017115</v>
      </c>
      <c r="O1665" t="s">
        <v>433</v>
      </c>
      <c r="P1665">
        <v>8877</v>
      </c>
      <c r="Q1665">
        <v>4.53982201194097E-2</v>
      </c>
      <c r="R1665">
        <v>0</v>
      </c>
      <c r="T1665">
        <v>0</v>
      </c>
      <c r="U1665" t="b">
        <v>0</v>
      </c>
      <c r="V1665">
        <v>3.8909985935302398</v>
      </c>
      <c r="Y1665">
        <v>0</v>
      </c>
      <c r="Z1665">
        <v>1100</v>
      </c>
      <c r="AA1665">
        <v>5.5401081592440999E-3</v>
      </c>
      <c r="AB1665">
        <v>0.28956709956709958</v>
      </c>
      <c r="AC1665">
        <v>9.2306171456344992E-3</v>
      </c>
      <c r="AD1665">
        <v>-1.8276155481673001E-3</v>
      </c>
      <c r="AE1665">
        <v>0</v>
      </c>
      <c r="AF1665" t="b">
        <v>0</v>
      </c>
    </row>
    <row r="1666" spans="1:32" x14ac:dyDescent="0.3">
      <c r="A1666" t="s">
        <v>3344</v>
      </c>
      <c r="B1666" t="s">
        <v>3345</v>
      </c>
      <c r="C1666" t="s">
        <v>462</v>
      </c>
      <c r="D1666">
        <v>656</v>
      </c>
      <c r="E1666">
        <v>20465</v>
      </c>
      <c r="F1666">
        <v>336</v>
      </c>
      <c r="G1666">
        <v>60</v>
      </c>
      <c r="H1666">
        <v>1</v>
      </c>
      <c r="I1666">
        <v>0.15274859516247249</v>
      </c>
      <c r="J1666">
        <v>0.28827762522488398</v>
      </c>
      <c r="K1666" t="s">
        <v>432</v>
      </c>
      <c r="L1666">
        <v>0.7955686014581953</v>
      </c>
      <c r="M1666">
        <v>0.97035664659564602</v>
      </c>
      <c r="N1666">
        <v>0.1130088074268031</v>
      </c>
      <c r="O1666" t="s">
        <v>433</v>
      </c>
      <c r="P1666">
        <v>14905</v>
      </c>
      <c r="Q1666">
        <v>0.50144246897014422</v>
      </c>
      <c r="R1666">
        <v>113</v>
      </c>
      <c r="S1666">
        <v>0.34513274336283178</v>
      </c>
      <c r="T1666">
        <v>0</v>
      </c>
      <c r="U1666" t="b">
        <v>0</v>
      </c>
      <c r="V1666">
        <v>0</v>
      </c>
      <c r="Y1666">
        <v>0</v>
      </c>
      <c r="Z1666">
        <v>180</v>
      </c>
      <c r="AA1666">
        <v>-1.2112688835457001E-3</v>
      </c>
      <c r="AB1666">
        <v>-9.8888888888888901E-2</v>
      </c>
      <c r="AC1666">
        <v>1.14431404728382E-18</v>
      </c>
      <c r="AD1666">
        <v>0</v>
      </c>
      <c r="AE1666">
        <v>0</v>
      </c>
      <c r="AF1666" t="b">
        <v>0</v>
      </c>
    </row>
    <row r="1667" spans="1:32" x14ac:dyDescent="0.3">
      <c r="A1667" t="s">
        <v>3346</v>
      </c>
      <c r="B1667" t="s">
        <v>3347</v>
      </c>
      <c r="C1667" t="s">
        <v>462</v>
      </c>
      <c r="D1667">
        <v>212</v>
      </c>
      <c r="E1667">
        <v>6130</v>
      </c>
      <c r="F1667">
        <v>180</v>
      </c>
      <c r="G1667">
        <v>61</v>
      </c>
      <c r="H1667">
        <v>1</v>
      </c>
      <c r="I1667">
        <v>9.3637846655791196E-2</v>
      </c>
      <c r="J1667">
        <v>0.31330810469883319</v>
      </c>
      <c r="K1667" t="s">
        <v>432</v>
      </c>
      <c r="L1667">
        <v>0.7100283822138127</v>
      </c>
      <c r="M1667">
        <v>0.92224034801522559</v>
      </c>
      <c r="N1667">
        <v>6.4623584277148496E-2</v>
      </c>
      <c r="O1667" t="s">
        <v>433</v>
      </c>
      <c r="P1667">
        <v>4212</v>
      </c>
      <c r="Q1667">
        <v>0.90859449192782515</v>
      </c>
      <c r="R1667">
        <v>143</v>
      </c>
      <c r="S1667">
        <v>0.2377622377622377</v>
      </c>
      <c r="T1667">
        <v>0</v>
      </c>
      <c r="U1667" t="b">
        <v>0</v>
      </c>
      <c r="V1667">
        <v>2.441365461847389</v>
      </c>
      <c r="Y1667">
        <v>0</v>
      </c>
      <c r="Z1667">
        <v>248</v>
      </c>
      <c r="AA1667">
        <v>-4.7150942843840003E-3</v>
      </c>
      <c r="AB1667">
        <v>-0.32530057308283122</v>
      </c>
      <c r="AC1667">
        <v>-9.4038620094495998E-3</v>
      </c>
      <c r="AD1667">
        <v>-6.5879329729002997E-3</v>
      </c>
      <c r="AE1667">
        <v>0</v>
      </c>
      <c r="AF1667" t="b">
        <v>0</v>
      </c>
    </row>
    <row r="1668" spans="1:32" x14ac:dyDescent="0.3">
      <c r="A1668" t="s">
        <v>3348</v>
      </c>
      <c r="B1668" t="s">
        <v>3349</v>
      </c>
      <c r="C1668" t="s">
        <v>462</v>
      </c>
      <c r="D1668">
        <v>425</v>
      </c>
      <c r="E1668">
        <v>11640</v>
      </c>
      <c r="F1668">
        <v>7</v>
      </c>
      <c r="G1668">
        <v>60</v>
      </c>
      <c r="H1668">
        <v>30</v>
      </c>
      <c r="I1668">
        <v>0.79604810996563569</v>
      </c>
      <c r="J1668">
        <v>0.88901782014090347</v>
      </c>
      <c r="K1668" t="s">
        <v>432</v>
      </c>
      <c r="L1668">
        <v>0.62378781599668465</v>
      </c>
      <c r="M1668">
        <v>0.91650143203348755</v>
      </c>
      <c r="N1668">
        <v>0.87244220037204356</v>
      </c>
      <c r="O1668" t="s">
        <v>433</v>
      </c>
      <c r="P1668">
        <v>960</v>
      </c>
      <c r="Q1668">
        <v>0.11041666666666659</v>
      </c>
      <c r="R1668">
        <v>379</v>
      </c>
      <c r="S1668">
        <v>2.6385224274406002E-3</v>
      </c>
      <c r="T1668">
        <v>0</v>
      </c>
      <c r="U1668" t="b">
        <v>0</v>
      </c>
      <c r="V1668">
        <v>0</v>
      </c>
      <c r="Y1668">
        <v>0</v>
      </c>
      <c r="Z1668">
        <v>429</v>
      </c>
      <c r="AA1668">
        <v>0</v>
      </c>
      <c r="AB1668">
        <v>0</v>
      </c>
      <c r="AC1668">
        <v>0</v>
      </c>
      <c r="AD1668">
        <v>0</v>
      </c>
      <c r="AE1668">
        <v>0</v>
      </c>
      <c r="AF1668" t="b">
        <v>0</v>
      </c>
    </row>
    <row r="1669" spans="1:32" x14ac:dyDescent="0.3">
      <c r="A1669" t="s">
        <v>3350</v>
      </c>
      <c r="B1669" t="s">
        <v>3351</v>
      </c>
      <c r="C1669" t="s">
        <v>462</v>
      </c>
      <c r="D1669">
        <v>80</v>
      </c>
      <c r="E1669">
        <v>1977</v>
      </c>
      <c r="F1669">
        <v>8</v>
      </c>
      <c r="G1669">
        <v>60</v>
      </c>
      <c r="H1669">
        <v>30</v>
      </c>
      <c r="I1669">
        <v>0.76732422862923622</v>
      </c>
      <c r="J1669">
        <v>0.84103062712688381</v>
      </c>
      <c r="K1669" t="s">
        <v>432</v>
      </c>
      <c r="L1669">
        <v>0.87603305785123964</v>
      </c>
      <c r="M1669">
        <v>1</v>
      </c>
      <c r="N1669">
        <v>0.81853496115427304</v>
      </c>
      <c r="O1669" t="s">
        <v>433</v>
      </c>
      <c r="P1669">
        <v>327</v>
      </c>
      <c r="Q1669">
        <v>7.3394495412843999E-2</v>
      </c>
      <c r="R1669">
        <v>0</v>
      </c>
      <c r="T1669">
        <v>0</v>
      </c>
      <c r="U1669" t="b">
        <v>0</v>
      </c>
      <c r="V1669">
        <v>0</v>
      </c>
      <c r="Y1669">
        <v>0</v>
      </c>
      <c r="Z1669">
        <v>85</v>
      </c>
      <c r="AA1669">
        <v>-4.6153846153846101E-2</v>
      </c>
      <c r="AB1669">
        <v>-2.9647058823529409</v>
      </c>
      <c r="AC1669">
        <v>-4.1407867494824002E-2</v>
      </c>
      <c r="AD1669">
        <v>-1.0178117048345999E-2</v>
      </c>
      <c r="AE1669">
        <v>0</v>
      </c>
      <c r="AF1669" t="b">
        <v>0</v>
      </c>
    </row>
    <row r="1670" spans="1:32" x14ac:dyDescent="0.3">
      <c r="A1670" t="s">
        <v>3352</v>
      </c>
      <c r="B1670" t="s">
        <v>3353</v>
      </c>
      <c r="C1670" t="s">
        <v>462</v>
      </c>
      <c r="D1670">
        <v>75</v>
      </c>
      <c r="E1670">
        <v>1779</v>
      </c>
      <c r="F1670">
        <v>8</v>
      </c>
      <c r="G1670">
        <v>90</v>
      </c>
      <c r="H1670">
        <v>30</v>
      </c>
      <c r="I1670">
        <v>0.86509274873524455</v>
      </c>
      <c r="J1670">
        <v>0.90560949298813376</v>
      </c>
      <c r="K1670" t="s">
        <v>432</v>
      </c>
      <c r="L1670">
        <v>0.60895361380798274</v>
      </c>
      <c r="M1670">
        <v>0.95862068965517244</v>
      </c>
      <c r="N1670">
        <v>0.87156775907883077</v>
      </c>
      <c r="O1670" t="s">
        <v>433</v>
      </c>
      <c r="P1670">
        <v>145</v>
      </c>
      <c r="Q1670">
        <v>1.3793103448275799E-2</v>
      </c>
      <c r="R1670">
        <v>30</v>
      </c>
      <c r="S1670">
        <v>0</v>
      </c>
      <c r="T1670">
        <v>0</v>
      </c>
      <c r="U1670" t="b">
        <v>0</v>
      </c>
      <c r="V1670">
        <v>0</v>
      </c>
      <c r="Y1670">
        <v>0</v>
      </c>
      <c r="Z1670">
        <v>96</v>
      </c>
      <c r="AA1670">
        <v>-4.2619542619541997E-3</v>
      </c>
      <c r="AB1670">
        <v>-0.42708333333333331</v>
      </c>
      <c r="AC1670">
        <v>-1.3495276653170999E-3</v>
      </c>
      <c r="AD1670">
        <v>-1.4771048744459999E-3</v>
      </c>
      <c r="AE1670">
        <v>0</v>
      </c>
      <c r="AF1670" t="b">
        <v>0</v>
      </c>
    </row>
    <row r="1671" spans="1:32" x14ac:dyDescent="0.3">
      <c r="A1671" t="s">
        <v>3354</v>
      </c>
      <c r="B1671" t="s">
        <v>3355</v>
      </c>
      <c r="C1671" t="s">
        <v>462</v>
      </c>
      <c r="D1671">
        <v>287</v>
      </c>
      <c r="E1671">
        <v>8246</v>
      </c>
      <c r="F1671">
        <v>11</v>
      </c>
      <c r="G1671">
        <v>90</v>
      </c>
      <c r="H1671">
        <v>30</v>
      </c>
      <c r="I1671">
        <v>0.51152073732718895</v>
      </c>
      <c r="J1671">
        <v>0.57131137935075593</v>
      </c>
      <c r="K1671" t="s">
        <v>432</v>
      </c>
      <c r="L1671">
        <v>0.73877885854916203</v>
      </c>
      <c r="M1671">
        <v>0.70435172723194261</v>
      </c>
      <c r="N1671">
        <v>0.52427030456852797</v>
      </c>
      <c r="O1671" t="s">
        <v>433</v>
      </c>
      <c r="P1671">
        <v>2999</v>
      </c>
      <c r="Q1671">
        <v>6.33544514838279E-2</v>
      </c>
      <c r="R1671">
        <v>633</v>
      </c>
      <c r="S1671">
        <v>0</v>
      </c>
      <c r="T1671">
        <v>0</v>
      </c>
      <c r="U1671" t="b">
        <v>0</v>
      </c>
      <c r="V1671">
        <v>0.11538461538461529</v>
      </c>
      <c r="Y1671">
        <v>0</v>
      </c>
      <c r="Z1671">
        <v>403</v>
      </c>
      <c r="AA1671">
        <v>-5.3104864405570005E-4</v>
      </c>
      <c r="AB1671">
        <v>-4.6526054590570701E-2</v>
      </c>
      <c r="AC1671">
        <v>-7.7649799404679997E-4</v>
      </c>
      <c r="AD1671">
        <v>4.3258832011530002E-4</v>
      </c>
      <c r="AE1671">
        <v>0</v>
      </c>
      <c r="AF1671" t="b">
        <v>0</v>
      </c>
    </row>
    <row r="1672" spans="1:32" x14ac:dyDescent="0.3">
      <c r="A1672" t="s">
        <v>3356</v>
      </c>
      <c r="B1672" t="s">
        <v>3357</v>
      </c>
      <c r="C1672" t="s">
        <v>462</v>
      </c>
      <c r="D1672">
        <v>332</v>
      </c>
      <c r="E1672">
        <v>7717</v>
      </c>
      <c r="F1672">
        <v>12</v>
      </c>
      <c r="G1672">
        <v>60</v>
      </c>
      <c r="H1672">
        <v>30</v>
      </c>
      <c r="I1672">
        <v>0.52649993520798233</v>
      </c>
      <c r="J1672">
        <v>0.55000621195179522</v>
      </c>
      <c r="K1672" t="s">
        <v>432</v>
      </c>
      <c r="L1672">
        <v>0.7793514722325755</v>
      </c>
      <c r="M1672">
        <v>0.62725225225225223</v>
      </c>
      <c r="N1672">
        <v>0.52813645783516661</v>
      </c>
      <c r="O1672" t="s">
        <v>433</v>
      </c>
      <c r="P1672">
        <v>2960</v>
      </c>
      <c r="Q1672">
        <v>0.1013513513513513</v>
      </c>
      <c r="R1672">
        <v>650</v>
      </c>
      <c r="S1672">
        <v>4.6153846153846002E-3</v>
      </c>
      <c r="T1672">
        <v>0</v>
      </c>
      <c r="U1672" t="b">
        <v>0</v>
      </c>
      <c r="V1672">
        <v>0.54289052069425936</v>
      </c>
      <c r="Y1672">
        <v>0</v>
      </c>
      <c r="Z1672">
        <v>266</v>
      </c>
      <c r="AA1672">
        <v>-8.5227693392592001E-3</v>
      </c>
      <c r="AB1672">
        <v>-0.60039866148888688</v>
      </c>
      <c r="AC1672">
        <v>-3.071157759138E-3</v>
      </c>
      <c r="AD1672">
        <v>2.1048603138155001E-3</v>
      </c>
      <c r="AE1672">
        <v>0</v>
      </c>
      <c r="AF1672" t="b">
        <v>0</v>
      </c>
    </row>
    <row r="1673" spans="1:32" x14ac:dyDescent="0.3">
      <c r="A1673" t="s">
        <v>3358</v>
      </c>
      <c r="B1673" t="s">
        <v>3359</v>
      </c>
      <c r="C1673" t="s">
        <v>431</v>
      </c>
      <c r="D1673">
        <v>208</v>
      </c>
      <c r="E1673">
        <v>1664</v>
      </c>
      <c r="F1673">
        <v>6</v>
      </c>
      <c r="G1673">
        <v>240</v>
      </c>
      <c r="H1673">
        <v>60</v>
      </c>
      <c r="I1673">
        <v>1</v>
      </c>
      <c r="J1673">
        <v>1</v>
      </c>
      <c r="K1673" t="s">
        <v>86</v>
      </c>
      <c r="P1673">
        <v>0</v>
      </c>
      <c r="R1673">
        <v>0</v>
      </c>
      <c r="T1673">
        <v>0</v>
      </c>
      <c r="U1673" t="b">
        <v>0</v>
      </c>
      <c r="V1673">
        <v>0</v>
      </c>
      <c r="Y1673">
        <v>0</v>
      </c>
      <c r="Z1673">
        <v>32</v>
      </c>
      <c r="AA1673">
        <v>0</v>
      </c>
      <c r="AB1673">
        <v>0</v>
      </c>
      <c r="AC1673">
        <v>0</v>
      </c>
      <c r="AD1673">
        <v>0</v>
      </c>
      <c r="AE1673">
        <v>0</v>
      </c>
      <c r="AF1673" t="b">
        <v>0</v>
      </c>
    </row>
    <row r="1674" spans="1:32" x14ac:dyDescent="0.3">
      <c r="A1674" t="s">
        <v>3360</v>
      </c>
      <c r="B1674" t="s">
        <v>3361</v>
      </c>
      <c r="C1674" t="s">
        <v>431</v>
      </c>
      <c r="D1674">
        <v>364</v>
      </c>
      <c r="E1674">
        <v>164</v>
      </c>
      <c r="F1674">
        <v>11</v>
      </c>
      <c r="G1674">
        <v>180</v>
      </c>
      <c r="H1674">
        <v>60</v>
      </c>
      <c r="I1674">
        <v>1</v>
      </c>
      <c r="J1674">
        <v>1</v>
      </c>
      <c r="K1674" t="s">
        <v>432</v>
      </c>
      <c r="L1674">
        <v>0.82087063366684221</v>
      </c>
      <c r="M1674">
        <v>1</v>
      </c>
      <c r="O1674" t="s">
        <v>518</v>
      </c>
      <c r="P1674">
        <v>0</v>
      </c>
      <c r="R1674">
        <v>0</v>
      </c>
      <c r="T1674">
        <v>0</v>
      </c>
      <c r="U1674" t="b">
        <v>0</v>
      </c>
      <c r="Y1674">
        <v>0.82087063366684221</v>
      </c>
      <c r="Z1674">
        <v>0</v>
      </c>
      <c r="AE1674">
        <v>0</v>
      </c>
      <c r="AF1674" t="b">
        <v>0</v>
      </c>
    </row>
    <row r="1675" spans="1:32" x14ac:dyDescent="0.3">
      <c r="A1675" t="s">
        <v>3362</v>
      </c>
      <c r="B1675" t="s">
        <v>3363</v>
      </c>
      <c r="C1675" t="s">
        <v>431</v>
      </c>
      <c r="D1675">
        <v>117</v>
      </c>
      <c r="E1675">
        <v>1187</v>
      </c>
      <c r="F1675">
        <v>24</v>
      </c>
      <c r="G1675">
        <v>240</v>
      </c>
      <c r="H1675">
        <v>60</v>
      </c>
      <c r="I1675">
        <v>1</v>
      </c>
      <c r="J1675">
        <v>1</v>
      </c>
      <c r="K1675" t="s">
        <v>86</v>
      </c>
      <c r="P1675">
        <v>0</v>
      </c>
      <c r="R1675">
        <v>0</v>
      </c>
      <c r="T1675">
        <v>0</v>
      </c>
      <c r="U1675" t="b">
        <v>0</v>
      </c>
      <c r="Y1675">
        <v>0</v>
      </c>
      <c r="Z1675">
        <v>31</v>
      </c>
      <c r="AA1675">
        <v>-1.1933174224343601E-2</v>
      </c>
      <c r="AB1675">
        <v>-3.225806451612903</v>
      </c>
      <c r="AC1675">
        <v>0</v>
      </c>
      <c r="AE1675">
        <v>0</v>
      </c>
      <c r="AF1675" t="b">
        <v>0</v>
      </c>
    </row>
    <row r="1676" spans="1:32" x14ac:dyDescent="0.3">
      <c r="A1676" t="s">
        <v>3364</v>
      </c>
      <c r="B1676" t="s">
        <v>3365</v>
      </c>
      <c r="C1676" t="s">
        <v>431</v>
      </c>
      <c r="D1676">
        <v>135</v>
      </c>
      <c r="E1676">
        <v>1183</v>
      </c>
      <c r="F1676">
        <v>8</v>
      </c>
      <c r="G1676">
        <v>120</v>
      </c>
      <c r="H1676">
        <v>60</v>
      </c>
      <c r="I1676">
        <v>1</v>
      </c>
      <c r="J1676">
        <v>1</v>
      </c>
      <c r="K1676" t="s">
        <v>86</v>
      </c>
      <c r="P1676">
        <v>0</v>
      </c>
      <c r="R1676">
        <v>0</v>
      </c>
      <c r="T1676">
        <v>0</v>
      </c>
      <c r="U1676" t="b">
        <v>0</v>
      </c>
      <c r="Y1676">
        <v>0</v>
      </c>
      <c r="Z1676">
        <v>27</v>
      </c>
      <c r="AA1676">
        <v>1.2803281351624E-3</v>
      </c>
      <c r="AB1676">
        <v>0.1870157133315041</v>
      </c>
      <c r="AC1676">
        <v>7.7168317054760998E-3</v>
      </c>
      <c r="AD1676">
        <v>-4.6422128683102004E-3</v>
      </c>
      <c r="AE1676">
        <v>0</v>
      </c>
      <c r="AF1676" t="b">
        <v>0</v>
      </c>
    </row>
    <row r="1677" spans="1:32" x14ac:dyDescent="0.3">
      <c r="A1677" t="s">
        <v>3366</v>
      </c>
      <c r="B1677" t="s">
        <v>3367</v>
      </c>
      <c r="C1677" t="s">
        <v>431</v>
      </c>
      <c r="D1677">
        <v>114</v>
      </c>
      <c r="E1677">
        <v>96</v>
      </c>
      <c r="F1677">
        <v>23</v>
      </c>
      <c r="G1677">
        <v>2400</v>
      </c>
      <c r="H1677">
        <v>120</v>
      </c>
      <c r="I1677">
        <v>1</v>
      </c>
      <c r="J1677">
        <v>1</v>
      </c>
      <c r="K1677" t="s">
        <v>86</v>
      </c>
      <c r="P1677">
        <v>0</v>
      </c>
      <c r="R1677">
        <v>0</v>
      </c>
      <c r="T1677">
        <v>0</v>
      </c>
      <c r="U1677" t="b">
        <v>0</v>
      </c>
      <c r="Y1677">
        <v>0</v>
      </c>
      <c r="Z1677">
        <v>5</v>
      </c>
      <c r="AA1677">
        <v>7.1292775665398999E-3</v>
      </c>
      <c r="AB1677">
        <v>15</v>
      </c>
      <c r="AC1677">
        <v>-0.1257861635220125</v>
      </c>
      <c r="AD1677">
        <v>0</v>
      </c>
      <c r="AE1677">
        <v>0</v>
      </c>
      <c r="AF1677" t="b">
        <v>0</v>
      </c>
    </row>
    <row r="1678" spans="1:32" x14ac:dyDescent="0.3">
      <c r="A1678" t="s">
        <v>3368</v>
      </c>
      <c r="B1678" t="s">
        <v>3369</v>
      </c>
      <c r="C1678" t="s">
        <v>431</v>
      </c>
      <c r="D1678">
        <v>96</v>
      </c>
      <c r="E1678">
        <v>1488</v>
      </c>
      <c r="F1678">
        <v>7</v>
      </c>
      <c r="G1678">
        <v>60</v>
      </c>
      <c r="H1678">
        <v>30</v>
      </c>
      <c r="I1678">
        <v>0.72580645161290325</v>
      </c>
      <c r="J1678">
        <v>0.52112676056338025</v>
      </c>
      <c r="K1678" t="s">
        <v>432</v>
      </c>
      <c r="L1678">
        <v>0.19318181818181809</v>
      </c>
      <c r="M1678">
        <v>0.52112676056338025</v>
      </c>
      <c r="O1678" t="s">
        <v>518</v>
      </c>
      <c r="P1678">
        <v>0</v>
      </c>
      <c r="R1678">
        <v>720</v>
      </c>
      <c r="S1678">
        <v>0.5</v>
      </c>
      <c r="T1678">
        <v>0</v>
      </c>
      <c r="U1678" t="b">
        <v>0</v>
      </c>
      <c r="V1678">
        <v>0</v>
      </c>
      <c r="Y1678">
        <v>0.19318181818181809</v>
      </c>
      <c r="Z1678">
        <v>79</v>
      </c>
      <c r="AA1678">
        <v>0</v>
      </c>
      <c r="AB1678">
        <v>0</v>
      </c>
      <c r="AC1678">
        <v>0</v>
      </c>
      <c r="AD1678">
        <v>0</v>
      </c>
      <c r="AE1678">
        <v>0</v>
      </c>
      <c r="AF1678" t="b">
        <v>0</v>
      </c>
    </row>
    <row r="1679" spans="1:32" x14ac:dyDescent="0.3">
      <c r="A1679" t="s">
        <v>3370</v>
      </c>
      <c r="B1679" t="s">
        <v>3371</v>
      </c>
      <c r="C1679" t="s">
        <v>431</v>
      </c>
      <c r="D1679">
        <v>278</v>
      </c>
      <c r="E1679">
        <v>24</v>
      </c>
      <c r="F1679">
        <v>2</v>
      </c>
      <c r="G1679">
        <v>900</v>
      </c>
      <c r="I1679">
        <v>1</v>
      </c>
      <c r="J1679">
        <v>1</v>
      </c>
      <c r="K1679" t="s">
        <v>432</v>
      </c>
      <c r="L1679">
        <v>0.84477748891267779</v>
      </c>
      <c r="M1679">
        <v>1</v>
      </c>
      <c r="O1679" t="s">
        <v>433</v>
      </c>
      <c r="P1679">
        <v>0</v>
      </c>
      <c r="R1679">
        <v>0</v>
      </c>
      <c r="T1679">
        <v>0</v>
      </c>
      <c r="U1679" t="b">
        <v>0</v>
      </c>
      <c r="Y1679">
        <v>0.84477748891267779</v>
      </c>
      <c r="Z1679">
        <v>0</v>
      </c>
      <c r="AE1679">
        <v>0</v>
      </c>
      <c r="AF1679" t="b">
        <v>0</v>
      </c>
    </row>
    <row r="1680" spans="1:32" x14ac:dyDescent="0.3">
      <c r="A1680" t="s">
        <v>3372</v>
      </c>
      <c r="B1680" t="s">
        <v>3373</v>
      </c>
      <c r="C1680" t="s">
        <v>431</v>
      </c>
      <c r="D1680">
        <v>480</v>
      </c>
      <c r="E1680">
        <v>524</v>
      </c>
      <c r="F1680">
        <v>5</v>
      </c>
      <c r="G1680">
        <v>60</v>
      </c>
      <c r="H1680">
        <v>60</v>
      </c>
      <c r="I1680">
        <v>1</v>
      </c>
      <c r="J1680">
        <v>1</v>
      </c>
      <c r="K1680" t="s">
        <v>432</v>
      </c>
      <c r="L1680">
        <v>0.82789915966386551</v>
      </c>
      <c r="M1680">
        <v>1</v>
      </c>
      <c r="N1680">
        <v>1</v>
      </c>
      <c r="O1680" t="s">
        <v>433</v>
      </c>
      <c r="P1680">
        <v>0</v>
      </c>
      <c r="R1680">
        <v>0</v>
      </c>
      <c r="T1680">
        <v>0</v>
      </c>
      <c r="U1680" t="b">
        <v>0</v>
      </c>
      <c r="Y1680">
        <v>0.74386554621848744</v>
      </c>
      <c r="Z1680">
        <v>26</v>
      </c>
      <c r="AA1680">
        <v>0</v>
      </c>
      <c r="AB1680">
        <v>0</v>
      </c>
      <c r="AC1680">
        <v>0</v>
      </c>
      <c r="AD1680">
        <v>0</v>
      </c>
      <c r="AE1680">
        <v>0</v>
      </c>
      <c r="AF1680" t="b">
        <v>0</v>
      </c>
    </row>
    <row r="1681" spans="1:32" x14ac:dyDescent="0.3">
      <c r="A1681" t="s">
        <v>3374</v>
      </c>
      <c r="B1681" t="s">
        <v>3375</v>
      </c>
      <c r="C1681" t="s">
        <v>431</v>
      </c>
      <c r="D1681">
        <v>251</v>
      </c>
      <c r="E1681">
        <v>5805</v>
      </c>
      <c r="F1681">
        <v>16</v>
      </c>
      <c r="G1681">
        <v>60</v>
      </c>
      <c r="H1681">
        <v>60</v>
      </c>
      <c r="I1681">
        <v>1</v>
      </c>
      <c r="J1681">
        <v>1</v>
      </c>
      <c r="K1681" t="s">
        <v>432</v>
      </c>
      <c r="L1681">
        <v>2.5624599615630999E-2</v>
      </c>
      <c r="M1681">
        <v>1</v>
      </c>
      <c r="O1681" t="s">
        <v>433</v>
      </c>
      <c r="P1681">
        <v>0</v>
      </c>
      <c r="R1681">
        <v>0</v>
      </c>
      <c r="T1681">
        <v>0</v>
      </c>
      <c r="U1681" t="b">
        <v>0</v>
      </c>
      <c r="Y1681">
        <v>2.5624599615630999E-2</v>
      </c>
      <c r="Z1681">
        <v>113</v>
      </c>
      <c r="AA1681">
        <v>0</v>
      </c>
      <c r="AB1681">
        <v>0</v>
      </c>
      <c r="AC1681">
        <v>0</v>
      </c>
      <c r="AD1681">
        <v>0</v>
      </c>
      <c r="AE1681">
        <v>0</v>
      </c>
      <c r="AF1681" t="b">
        <v>0</v>
      </c>
    </row>
    <row r="1682" spans="1:32" x14ac:dyDescent="0.3">
      <c r="A1682" t="s">
        <v>3376</v>
      </c>
      <c r="B1682" t="s">
        <v>3377</v>
      </c>
      <c r="C1682" t="s">
        <v>465</v>
      </c>
      <c r="D1682">
        <v>19476</v>
      </c>
      <c r="E1682">
        <v>399133</v>
      </c>
      <c r="F1682">
        <v>43</v>
      </c>
      <c r="G1682">
        <v>120</v>
      </c>
      <c r="H1682">
        <v>60</v>
      </c>
      <c r="I1682">
        <v>0.99997244026427279</v>
      </c>
      <c r="J1682">
        <v>0.99998351478841241</v>
      </c>
      <c r="K1682" t="s">
        <v>86</v>
      </c>
      <c r="P1682">
        <v>0</v>
      </c>
      <c r="R1682">
        <v>0</v>
      </c>
      <c r="T1682">
        <v>0</v>
      </c>
      <c r="U1682" t="b">
        <v>0</v>
      </c>
      <c r="Y1682">
        <v>0</v>
      </c>
      <c r="Z1682">
        <v>8885</v>
      </c>
      <c r="AA1682">
        <v>5.9245797489402098E-2</v>
      </c>
      <c r="AB1682">
        <v>6.0093796601947869</v>
      </c>
      <c r="AC1682">
        <v>4.8397140704432899E-2</v>
      </c>
      <c r="AD1682">
        <v>7.1087717138983403E-2</v>
      </c>
      <c r="AE1682">
        <v>0</v>
      </c>
      <c r="AF1682" t="b">
        <v>0</v>
      </c>
    </row>
    <row r="1683" spans="1:32" x14ac:dyDescent="0.3">
      <c r="A1683" t="s">
        <v>3378</v>
      </c>
      <c r="B1683" t="s">
        <v>3379</v>
      </c>
      <c r="C1683" t="s">
        <v>431</v>
      </c>
      <c r="D1683">
        <v>152</v>
      </c>
      <c r="E1683">
        <v>1687</v>
      </c>
      <c r="F1683">
        <v>35</v>
      </c>
      <c r="G1683">
        <v>180</v>
      </c>
      <c r="H1683">
        <v>30</v>
      </c>
      <c r="I1683">
        <v>0.87788974510966211</v>
      </c>
      <c r="J1683">
        <v>0.94399129961935835</v>
      </c>
      <c r="K1683" t="s">
        <v>432</v>
      </c>
      <c r="L1683">
        <v>5.6008700380641603E-2</v>
      </c>
      <c r="M1683">
        <v>1</v>
      </c>
      <c r="N1683">
        <v>0</v>
      </c>
      <c r="O1683" t="s">
        <v>433</v>
      </c>
      <c r="P1683">
        <v>103</v>
      </c>
      <c r="Q1683">
        <v>1</v>
      </c>
      <c r="R1683">
        <v>0</v>
      </c>
      <c r="T1683">
        <v>0</v>
      </c>
      <c r="U1683" t="b">
        <v>0</v>
      </c>
      <c r="V1683">
        <v>1.1111111111111109</v>
      </c>
      <c r="Y1683">
        <v>0</v>
      </c>
      <c r="Z1683">
        <v>94</v>
      </c>
      <c r="AA1683">
        <v>5.1266171208367E-3</v>
      </c>
      <c r="AB1683">
        <v>1.3209219858156029</v>
      </c>
      <c r="AC1683">
        <v>0</v>
      </c>
      <c r="AD1683">
        <v>2.3529411764705799E-2</v>
      </c>
      <c r="AE1683">
        <v>0</v>
      </c>
      <c r="AF1683" t="b">
        <v>0</v>
      </c>
    </row>
    <row r="1684" spans="1:32" x14ac:dyDescent="0.3">
      <c r="A1684" t="s">
        <v>3380</v>
      </c>
      <c r="B1684" t="s">
        <v>3381</v>
      </c>
      <c r="C1684" t="s">
        <v>1434</v>
      </c>
      <c r="D1684">
        <v>86</v>
      </c>
      <c r="E1684">
        <v>533</v>
      </c>
      <c r="F1684">
        <v>13</v>
      </c>
      <c r="G1684">
        <v>120</v>
      </c>
      <c r="H1684">
        <v>60</v>
      </c>
      <c r="I1684">
        <v>1</v>
      </c>
      <c r="J1684">
        <v>1</v>
      </c>
      <c r="K1684" t="s">
        <v>86</v>
      </c>
      <c r="P1684">
        <v>0</v>
      </c>
      <c r="R1684">
        <v>0</v>
      </c>
      <c r="T1684">
        <v>0</v>
      </c>
      <c r="U1684" t="b">
        <v>0</v>
      </c>
      <c r="V1684">
        <v>8.3333333333333339</v>
      </c>
      <c r="Y1684">
        <v>0</v>
      </c>
      <c r="Z1684">
        <v>9</v>
      </c>
      <c r="AA1684">
        <v>-2.0161290322580599E-2</v>
      </c>
      <c r="AB1684">
        <v>-4.166666666666667</v>
      </c>
      <c r="AC1684">
        <v>-4.0322580645161199E-2</v>
      </c>
      <c r="AD1684">
        <v>0</v>
      </c>
      <c r="AE1684">
        <v>0</v>
      </c>
      <c r="AF1684" t="b">
        <v>0</v>
      </c>
    </row>
    <row r="1685" spans="1:32" x14ac:dyDescent="0.3">
      <c r="A1685" t="s">
        <v>3382</v>
      </c>
      <c r="B1685" t="s">
        <v>3383</v>
      </c>
      <c r="C1685" t="s">
        <v>431</v>
      </c>
      <c r="D1685">
        <v>467</v>
      </c>
      <c r="E1685">
        <v>18843</v>
      </c>
      <c r="F1685">
        <v>44</v>
      </c>
      <c r="G1685">
        <v>1</v>
      </c>
      <c r="H1685">
        <v>1</v>
      </c>
      <c r="I1685">
        <v>0.14196253250543969</v>
      </c>
      <c r="J1685">
        <v>0.45183842568617288</v>
      </c>
      <c r="K1685" t="s">
        <v>432</v>
      </c>
      <c r="L1685">
        <v>0.8859140341791818</v>
      </c>
      <c r="M1685">
        <v>1</v>
      </c>
      <c r="N1685">
        <v>0.38124744256737009</v>
      </c>
      <c r="O1685" t="s">
        <v>433</v>
      </c>
      <c r="P1685">
        <v>10568</v>
      </c>
      <c r="Q1685">
        <v>1.7884178652535901E-2</v>
      </c>
      <c r="R1685">
        <v>0</v>
      </c>
      <c r="T1685">
        <v>0</v>
      </c>
      <c r="U1685" t="b">
        <v>0</v>
      </c>
      <c r="V1685">
        <v>4.4970344009489924</v>
      </c>
      <c r="Y1685">
        <v>0</v>
      </c>
      <c r="Z1685">
        <v>789</v>
      </c>
      <c r="AA1685">
        <v>-4.2460039659810503E-2</v>
      </c>
      <c r="AB1685">
        <v>-1.2683927817007661</v>
      </c>
      <c r="AC1685">
        <v>-1.98331418294449E-2</v>
      </c>
      <c r="AD1685">
        <v>-7.4241089168783095E-2</v>
      </c>
      <c r="AE1685">
        <v>0</v>
      </c>
      <c r="AF1685" t="b">
        <v>0</v>
      </c>
    </row>
    <row r="1686" spans="1:32" x14ac:dyDescent="0.3">
      <c r="A1686" t="s">
        <v>3384</v>
      </c>
      <c r="B1686" t="s">
        <v>3385</v>
      </c>
      <c r="C1686" t="s">
        <v>431</v>
      </c>
      <c r="D1686">
        <v>255</v>
      </c>
      <c r="E1686">
        <v>1986</v>
      </c>
      <c r="F1686">
        <v>279</v>
      </c>
      <c r="G1686">
        <v>142.5</v>
      </c>
      <c r="H1686">
        <v>1</v>
      </c>
      <c r="I1686">
        <v>7.7542799597180204E-2</v>
      </c>
      <c r="J1686">
        <v>0.4323962516733601</v>
      </c>
      <c r="K1686" t="s">
        <v>432</v>
      </c>
      <c r="L1686">
        <v>0.58411423471664436</v>
      </c>
      <c r="M1686">
        <v>1</v>
      </c>
      <c r="N1686">
        <v>2.8265851795263499E-2</v>
      </c>
      <c r="O1686" t="s">
        <v>433</v>
      </c>
      <c r="P1686">
        <v>1272</v>
      </c>
      <c r="Q1686">
        <v>0.86792452830188682</v>
      </c>
      <c r="R1686">
        <v>0</v>
      </c>
      <c r="T1686">
        <v>0</v>
      </c>
      <c r="U1686" t="b">
        <v>0</v>
      </c>
      <c r="V1686">
        <v>0</v>
      </c>
      <c r="Y1686">
        <v>0</v>
      </c>
      <c r="Z1686">
        <v>115</v>
      </c>
      <c r="AA1686">
        <v>-1.0043197850996999E-3</v>
      </c>
      <c r="AB1686">
        <v>-0.18043478260869561</v>
      </c>
      <c r="AC1686">
        <v>0</v>
      </c>
      <c r="AD1686">
        <v>0</v>
      </c>
      <c r="AE1686">
        <v>0</v>
      </c>
      <c r="AF1686" t="b">
        <v>0</v>
      </c>
    </row>
    <row r="1687" spans="1:32" x14ac:dyDescent="0.3">
      <c r="A1687" t="s">
        <v>3386</v>
      </c>
      <c r="B1687" t="s">
        <v>3387</v>
      </c>
      <c r="C1687" t="s">
        <v>431</v>
      </c>
      <c r="D1687">
        <v>419</v>
      </c>
      <c r="E1687">
        <v>19768</v>
      </c>
      <c r="F1687">
        <v>231</v>
      </c>
      <c r="G1687">
        <v>25</v>
      </c>
      <c r="H1687">
        <v>1</v>
      </c>
      <c r="I1687">
        <v>7.1934439498178807E-2</v>
      </c>
      <c r="J1687">
        <v>0.24401842770099569</v>
      </c>
      <c r="K1687" t="s">
        <v>432</v>
      </c>
      <c r="L1687">
        <v>0.86818249368405409</v>
      </c>
      <c r="M1687">
        <v>1</v>
      </c>
      <c r="N1687">
        <v>0.12923656282095169</v>
      </c>
      <c r="O1687" t="s">
        <v>433</v>
      </c>
      <c r="P1687">
        <v>15261</v>
      </c>
      <c r="Q1687">
        <v>0.1791494659589804</v>
      </c>
      <c r="R1687">
        <v>0</v>
      </c>
      <c r="T1687">
        <v>0</v>
      </c>
      <c r="U1687" t="b">
        <v>0</v>
      </c>
      <c r="V1687">
        <v>7.0833333333333339</v>
      </c>
      <c r="Y1687">
        <v>0</v>
      </c>
      <c r="Z1687">
        <v>1259</v>
      </c>
      <c r="AA1687">
        <v>-1.5872592210502901E-2</v>
      </c>
      <c r="AB1687">
        <v>-0.70064866296002115</v>
      </c>
      <c r="AC1687">
        <v>-4.8113933795227097E-2</v>
      </c>
      <c r="AD1687">
        <v>-9.0980392156862697E-2</v>
      </c>
      <c r="AE1687">
        <v>0</v>
      </c>
      <c r="AF1687" t="b">
        <v>0</v>
      </c>
    </row>
    <row r="1688" spans="1:32" x14ac:dyDescent="0.3">
      <c r="A1688" t="s">
        <v>3388</v>
      </c>
      <c r="B1688" t="s">
        <v>3389</v>
      </c>
      <c r="C1688" t="s">
        <v>431</v>
      </c>
      <c r="D1688">
        <v>508</v>
      </c>
      <c r="E1688">
        <v>11161</v>
      </c>
      <c r="F1688">
        <v>27</v>
      </c>
      <c r="G1688">
        <v>60</v>
      </c>
      <c r="H1688">
        <v>1</v>
      </c>
      <c r="I1688">
        <v>0.6184033688737568</v>
      </c>
      <c r="J1688">
        <v>0.80683863227354524</v>
      </c>
      <c r="K1688" t="s">
        <v>432</v>
      </c>
      <c r="L1688">
        <v>0.79766903762104724</v>
      </c>
      <c r="M1688">
        <v>1</v>
      </c>
      <c r="N1688">
        <v>0.75784271594327457</v>
      </c>
      <c r="O1688" t="s">
        <v>433</v>
      </c>
      <c r="P1688">
        <v>2254</v>
      </c>
      <c r="Q1688">
        <v>3.14995563442768E-2</v>
      </c>
      <c r="R1688">
        <v>0</v>
      </c>
      <c r="T1688">
        <v>0</v>
      </c>
      <c r="U1688" t="b">
        <v>0</v>
      </c>
      <c r="V1688">
        <v>0</v>
      </c>
      <c r="Y1688">
        <v>0</v>
      </c>
      <c r="Z1688">
        <v>613</v>
      </c>
      <c r="AA1688">
        <v>4.877065699314E-4</v>
      </c>
      <c r="AB1688">
        <v>3.9477977161500699E-2</v>
      </c>
      <c r="AC1688">
        <v>2.3423737344405999E-3</v>
      </c>
      <c r="AD1688">
        <v>0</v>
      </c>
      <c r="AE1688">
        <v>0</v>
      </c>
      <c r="AF1688" t="b">
        <v>0</v>
      </c>
    </row>
    <row r="1689" spans="1:32" x14ac:dyDescent="0.3">
      <c r="A1689" t="s">
        <v>3390</v>
      </c>
      <c r="B1689" t="s">
        <v>3391</v>
      </c>
      <c r="C1689" t="s">
        <v>431</v>
      </c>
      <c r="D1689">
        <v>494</v>
      </c>
      <c r="E1689">
        <v>15056</v>
      </c>
      <c r="F1689">
        <v>270</v>
      </c>
      <c r="G1689">
        <v>80</v>
      </c>
      <c r="H1689">
        <v>1</v>
      </c>
      <c r="I1689">
        <v>2.1984590860786399E-2</v>
      </c>
      <c r="J1689">
        <v>0.12636655948553049</v>
      </c>
      <c r="K1689" t="s">
        <v>432</v>
      </c>
      <c r="L1689">
        <v>0.89472668810289391</v>
      </c>
      <c r="M1689">
        <v>0.99938912645082478</v>
      </c>
      <c r="N1689">
        <v>2.36469488967153E-2</v>
      </c>
      <c r="O1689" t="s">
        <v>433</v>
      </c>
      <c r="P1689">
        <v>13584</v>
      </c>
      <c r="Q1689">
        <v>0.16725559481743221</v>
      </c>
      <c r="R1689">
        <v>1</v>
      </c>
      <c r="S1689">
        <v>1</v>
      </c>
      <c r="T1689">
        <v>0</v>
      </c>
      <c r="U1689" t="b">
        <v>0</v>
      </c>
      <c r="V1689">
        <v>11.47566988210075</v>
      </c>
      <c r="Y1689">
        <v>0</v>
      </c>
      <c r="Z1689">
        <v>568</v>
      </c>
      <c r="AA1689">
        <v>-1.0646538633193099E-2</v>
      </c>
      <c r="AB1689">
        <v>-1.103353454057679</v>
      </c>
      <c r="AC1689">
        <v>-7.2655292308780095E-2</v>
      </c>
      <c r="AD1689">
        <v>3.9814618660823801E-2</v>
      </c>
      <c r="AE1689">
        <v>0</v>
      </c>
      <c r="AF1689" t="b">
        <v>0</v>
      </c>
    </row>
    <row r="1690" spans="1:32" x14ac:dyDescent="0.3">
      <c r="A1690" t="s">
        <v>3392</v>
      </c>
      <c r="B1690" t="s">
        <v>3393</v>
      </c>
      <c r="C1690" t="s">
        <v>431</v>
      </c>
      <c r="D1690">
        <v>55</v>
      </c>
      <c r="E1690">
        <v>2060</v>
      </c>
      <c r="F1690">
        <v>149</v>
      </c>
      <c r="G1690">
        <v>53</v>
      </c>
      <c r="H1690">
        <v>1</v>
      </c>
      <c r="I1690">
        <v>0.2058252427184466</v>
      </c>
      <c r="J1690">
        <v>0.44066193853427899</v>
      </c>
      <c r="K1690" t="s">
        <v>432</v>
      </c>
      <c r="L1690">
        <v>0.56312056737588656</v>
      </c>
      <c r="M1690">
        <v>1</v>
      </c>
      <c r="N1690">
        <v>6.7170445004198004E-3</v>
      </c>
      <c r="O1690" t="s">
        <v>433</v>
      </c>
      <c r="P1690">
        <v>1183</v>
      </c>
      <c r="Q1690">
        <v>1</v>
      </c>
      <c r="R1690">
        <v>0</v>
      </c>
      <c r="T1690">
        <v>0</v>
      </c>
      <c r="U1690" t="b">
        <v>0</v>
      </c>
      <c r="Y1690">
        <v>0</v>
      </c>
      <c r="Z1690">
        <v>149</v>
      </c>
      <c r="AA1690">
        <v>2.6996558680431001E-3</v>
      </c>
      <c r="AB1690">
        <v>0.2035794183445189</v>
      </c>
      <c r="AE1690">
        <v>0</v>
      </c>
      <c r="AF1690" t="b">
        <v>0</v>
      </c>
    </row>
    <row r="1691" spans="1:32" x14ac:dyDescent="0.3">
      <c r="A1691" t="s">
        <v>3394</v>
      </c>
      <c r="B1691" t="s">
        <v>3395</v>
      </c>
      <c r="C1691" t="s">
        <v>431</v>
      </c>
      <c r="D1691">
        <v>154</v>
      </c>
      <c r="E1691">
        <v>3214</v>
      </c>
      <c r="F1691">
        <v>244</v>
      </c>
      <c r="G1691">
        <v>60</v>
      </c>
      <c r="H1691">
        <v>1</v>
      </c>
      <c r="I1691">
        <v>0.1210329807093963</v>
      </c>
      <c r="J1691">
        <v>0.42191211401425172</v>
      </c>
      <c r="K1691" t="s">
        <v>432</v>
      </c>
      <c r="L1691">
        <v>0.59144893111638952</v>
      </c>
      <c r="M1691">
        <v>1</v>
      </c>
      <c r="N1691">
        <v>2.2590361445783101E-2</v>
      </c>
      <c r="O1691" t="s">
        <v>433</v>
      </c>
      <c r="P1691">
        <v>1947</v>
      </c>
      <c r="Q1691">
        <v>0.99486389316897805</v>
      </c>
      <c r="R1691">
        <v>0</v>
      </c>
      <c r="T1691">
        <v>0</v>
      </c>
      <c r="U1691" t="b">
        <v>0</v>
      </c>
      <c r="Y1691">
        <v>0</v>
      </c>
      <c r="Z1691">
        <v>175</v>
      </c>
      <c r="AA1691">
        <v>0</v>
      </c>
      <c r="AB1691">
        <v>0</v>
      </c>
      <c r="AE1691">
        <v>0</v>
      </c>
      <c r="AF1691" t="b">
        <v>0</v>
      </c>
    </row>
    <row r="1692" spans="1:32" x14ac:dyDescent="0.3">
      <c r="A1692" t="s">
        <v>3396</v>
      </c>
      <c r="B1692" t="s">
        <v>3397</v>
      </c>
      <c r="C1692" t="s">
        <v>431</v>
      </c>
      <c r="D1692">
        <v>138</v>
      </c>
      <c r="E1692">
        <v>1196</v>
      </c>
      <c r="F1692">
        <v>109</v>
      </c>
      <c r="G1692">
        <v>213</v>
      </c>
      <c r="H1692">
        <v>1</v>
      </c>
      <c r="I1692">
        <v>0.28428093645484948</v>
      </c>
      <c r="J1692">
        <v>0.65292353823088456</v>
      </c>
      <c r="K1692" t="s">
        <v>432</v>
      </c>
      <c r="L1692">
        <v>0.3500749625187406</v>
      </c>
      <c r="M1692">
        <v>1</v>
      </c>
      <c r="N1692">
        <v>8.5653104925053E-3</v>
      </c>
      <c r="O1692" t="s">
        <v>433</v>
      </c>
      <c r="P1692">
        <v>463</v>
      </c>
      <c r="Q1692">
        <v>1</v>
      </c>
      <c r="R1692">
        <v>0</v>
      </c>
      <c r="T1692">
        <v>0</v>
      </c>
      <c r="U1692" t="b">
        <v>0</v>
      </c>
      <c r="Y1692">
        <v>0</v>
      </c>
      <c r="Z1692">
        <v>80</v>
      </c>
      <c r="AA1692">
        <v>-8.6263129168386004E-3</v>
      </c>
      <c r="AB1692">
        <v>-2.0249999999999999</v>
      </c>
      <c r="AE1692">
        <v>0</v>
      </c>
      <c r="AF1692" t="b">
        <v>0</v>
      </c>
    </row>
    <row r="1693" spans="1:32" x14ac:dyDescent="0.3">
      <c r="A1693" t="s">
        <v>3398</v>
      </c>
      <c r="B1693" t="s">
        <v>3399</v>
      </c>
      <c r="C1693" t="s">
        <v>431</v>
      </c>
      <c r="D1693">
        <v>281</v>
      </c>
      <c r="E1693">
        <v>38</v>
      </c>
      <c r="F1693">
        <v>4</v>
      </c>
      <c r="G1693">
        <v>60</v>
      </c>
      <c r="H1693">
        <v>60</v>
      </c>
      <c r="I1693">
        <v>1</v>
      </c>
      <c r="J1693">
        <v>1</v>
      </c>
      <c r="K1693" t="s">
        <v>432</v>
      </c>
      <c r="L1693">
        <v>0.84280575539568348</v>
      </c>
      <c r="M1693">
        <v>1</v>
      </c>
      <c r="N1693">
        <v>1</v>
      </c>
      <c r="O1693" t="s">
        <v>433</v>
      </c>
      <c r="P1693">
        <v>0</v>
      </c>
      <c r="R1693">
        <v>0</v>
      </c>
      <c r="T1693">
        <v>0</v>
      </c>
      <c r="U1693" t="b">
        <v>0</v>
      </c>
      <c r="Y1693">
        <v>0.83669064748201438</v>
      </c>
      <c r="Z1693">
        <v>0</v>
      </c>
      <c r="AE1693">
        <v>0</v>
      </c>
      <c r="AF1693" t="b">
        <v>0</v>
      </c>
    </row>
    <row r="1694" spans="1:32" x14ac:dyDescent="0.3">
      <c r="A1694" t="s">
        <v>3400</v>
      </c>
      <c r="B1694" t="s">
        <v>3401</v>
      </c>
      <c r="C1694" t="s">
        <v>431</v>
      </c>
      <c r="D1694">
        <v>323</v>
      </c>
      <c r="E1694">
        <v>8610</v>
      </c>
      <c r="F1694">
        <v>167</v>
      </c>
      <c r="G1694">
        <v>42</v>
      </c>
      <c r="H1694">
        <v>1</v>
      </c>
      <c r="I1694">
        <v>7.5493612078977E-3</v>
      </c>
      <c r="J1694">
        <v>0.1666853240792566</v>
      </c>
      <c r="K1694" t="s">
        <v>432</v>
      </c>
      <c r="L1694">
        <v>0.83991939997761111</v>
      </c>
      <c r="M1694">
        <v>1</v>
      </c>
      <c r="N1694">
        <v>7.8635212581634004E-3</v>
      </c>
      <c r="O1694" t="s">
        <v>433</v>
      </c>
      <c r="P1694">
        <v>7444</v>
      </c>
      <c r="Q1694">
        <v>0.9951638903815152</v>
      </c>
      <c r="R1694">
        <v>0</v>
      </c>
      <c r="T1694">
        <v>0</v>
      </c>
      <c r="U1694" t="b">
        <v>0</v>
      </c>
      <c r="V1694">
        <v>0.20370370370370491</v>
      </c>
      <c r="Y1694">
        <v>0</v>
      </c>
      <c r="Z1694">
        <v>566</v>
      </c>
      <c r="AA1694">
        <v>1.203187166003E-4</v>
      </c>
      <c r="AB1694">
        <v>7.1176173649670996E-3</v>
      </c>
      <c r="AC1694">
        <v>-4.5804705392463001E-3</v>
      </c>
      <c r="AD1694">
        <v>0</v>
      </c>
      <c r="AE1694">
        <v>0</v>
      </c>
      <c r="AF1694" t="b">
        <v>0</v>
      </c>
    </row>
    <row r="1695" spans="1:32" x14ac:dyDescent="0.3">
      <c r="A1695" t="s">
        <v>3402</v>
      </c>
      <c r="B1695" t="s">
        <v>3403</v>
      </c>
      <c r="C1695" t="s">
        <v>431</v>
      </c>
      <c r="D1695">
        <v>560</v>
      </c>
      <c r="E1695">
        <v>7575</v>
      </c>
      <c r="F1695">
        <v>281</v>
      </c>
      <c r="G1695">
        <v>73</v>
      </c>
      <c r="H1695">
        <v>1</v>
      </c>
      <c r="I1695">
        <v>0.15775577557755771</v>
      </c>
      <c r="J1695">
        <v>0.38512599877074372</v>
      </c>
      <c r="K1695" t="s">
        <v>432</v>
      </c>
      <c r="L1695">
        <v>0.63134603564843272</v>
      </c>
      <c r="M1695">
        <v>1</v>
      </c>
      <c r="N1695">
        <v>2.6090342679127701E-2</v>
      </c>
      <c r="O1695" t="s">
        <v>433</v>
      </c>
      <c r="P1695">
        <v>5002</v>
      </c>
      <c r="Q1695">
        <v>0.30127948820471812</v>
      </c>
      <c r="R1695">
        <v>0</v>
      </c>
      <c r="T1695">
        <v>0</v>
      </c>
      <c r="U1695" t="b">
        <v>0</v>
      </c>
      <c r="V1695">
        <v>2.341297935103245</v>
      </c>
      <c r="Y1695">
        <v>0</v>
      </c>
      <c r="Z1695">
        <v>267</v>
      </c>
      <c r="AA1695">
        <v>-5.9022389999651001E-3</v>
      </c>
      <c r="AB1695">
        <v>-0.63828696272516539</v>
      </c>
      <c r="AC1695">
        <v>-1.06793669636821E-2</v>
      </c>
      <c r="AD1695">
        <v>-4.3170720305387E-3</v>
      </c>
      <c r="AE1695">
        <v>0</v>
      </c>
      <c r="AF1695" t="b">
        <v>0</v>
      </c>
    </row>
    <row r="1696" spans="1:32" x14ac:dyDescent="0.3">
      <c r="A1696" t="s">
        <v>3404</v>
      </c>
      <c r="B1696" t="s">
        <v>3405</v>
      </c>
      <c r="C1696" t="s">
        <v>431</v>
      </c>
      <c r="D1696">
        <v>199</v>
      </c>
      <c r="E1696">
        <v>3583</v>
      </c>
      <c r="F1696">
        <v>28</v>
      </c>
      <c r="G1696">
        <v>60</v>
      </c>
      <c r="H1696">
        <v>1</v>
      </c>
      <c r="I1696">
        <v>0.50544236673178899</v>
      </c>
      <c r="J1696">
        <v>0.7310946589106293</v>
      </c>
      <c r="K1696" t="s">
        <v>432</v>
      </c>
      <c r="L1696">
        <v>0.70465362242199892</v>
      </c>
      <c r="M1696">
        <v>1</v>
      </c>
      <c r="N1696">
        <v>0.61838649155722325</v>
      </c>
      <c r="O1696" t="s">
        <v>433</v>
      </c>
      <c r="P1696">
        <v>1017</v>
      </c>
      <c r="Q1696">
        <v>1.86823992133726E-2</v>
      </c>
      <c r="R1696">
        <v>0</v>
      </c>
      <c r="T1696">
        <v>0</v>
      </c>
      <c r="U1696" t="b">
        <v>0</v>
      </c>
      <c r="Y1696">
        <v>0</v>
      </c>
      <c r="Z1696">
        <v>225</v>
      </c>
      <c r="AA1696">
        <v>0</v>
      </c>
      <c r="AB1696">
        <v>0</v>
      </c>
      <c r="AE1696">
        <v>0</v>
      </c>
      <c r="AF1696" t="b">
        <v>0</v>
      </c>
    </row>
    <row r="1697" spans="1:32" x14ac:dyDescent="0.3">
      <c r="A1697" t="s">
        <v>3406</v>
      </c>
      <c r="B1697" t="s">
        <v>3407</v>
      </c>
      <c r="C1697" t="s">
        <v>549</v>
      </c>
      <c r="D1697">
        <v>198</v>
      </c>
      <c r="E1697">
        <v>3944</v>
      </c>
      <c r="F1697">
        <v>6</v>
      </c>
      <c r="G1697">
        <v>60</v>
      </c>
      <c r="H1697">
        <v>60</v>
      </c>
      <c r="I1697">
        <v>1</v>
      </c>
      <c r="J1697">
        <v>1</v>
      </c>
      <c r="K1697" t="s">
        <v>432</v>
      </c>
      <c r="L1697">
        <v>0.82083639031548061</v>
      </c>
      <c r="M1697">
        <v>1</v>
      </c>
      <c r="N1697">
        <v>1</v>
      </c>
      <c r="O1697" t="s">
        <v>433</v>
      </c>
      <c r="P1697">
        <v>0</v>
      </c>
      <c r="R1697">
        <v>0</v>
      </c>
      <c r="T1697">
        <v>0</v>
      </c>
      <c r="U1697" t="b">
        <v>0</v>
      </c>
      <c r="V1697">
        <v>0</v>
      </c>
      <c r="Y1697">
        <v>0</v>
      </c>
      <c r="Z1697">
        <v>125</v>
      </c>
      <c r="AA1697">
        <v>0</v>
      </c>
      <c r="AB1697">
        <v>0</v>
      </c>
      <c r="AC1697">
        <v>0</v>
      </c>
      <c r="AD1697">
        <v>0</v>
      </c>
      <c r="AE1697">
        <v>0</v>
      </c>
      <c r="AF1697" t="b">
        <v>0</v>
      </c>
    </row>
    <row r="1698" spans="1:32" x14ac:dyDescent="0.3">
      <c r="A1698" t="s">
        <v>3408</v>
      </c>
      <c r="B1698" t="s">
        <v>3409</v>
      </c>
      <c r="C1698" t="s">
        <v>431</v>
      </c>
      <c r="D1698">
        <v>115</v>
      </c>
      <c r="E1698">
        <v>2571</v>
      </c>
      <c r="F1698">
        <v>202</v>
      </c>
      <c r="G1698">
        <v>33</v>
      </c>
      <c r="H1698">
        <v>1</v>
      </c>
      <c r="I1698">
        <v>2.3337222870478399E-2</v>
      </c>
      <c r="J1698">
        <v>0.21779597915115409</v>
      </c>
      <c r="K1698" t="s">
        <v>432</v>
      </c>
      <c r="L1698">
        <v>0.7948622486969471</v>
      </c>
      <c r="M1698">
        <v>1</v>
      </c>
      <c r="N1698">
        <v>1.59250585480093E-2</v>
      </c>
      <c r="O1698" t="s">
        <v>433</v>
      </c>
      <c r="P1698">
        <v>2101</v>
      </c>
      <c r="Q1698">
        <v>1</v>
      </c>
      <c r="R1698">
        <v>0</v>
      </c>
      <c r="T1698">
        <v>0</v>
      </c>
      <c r="U1698" t="b">
        <v>0</v>
      </c>
      <c r="Y1698">
        <v>0</v>
      </c>
      <c r="Z1698">
        <v>143</v>
      </c>
      <c r="AA1698">
        <v>-7.9159775525493595E-2</v>
      </c>
      <c r="AB1698">
        <v>-6.526806526806527</v>
      </c>
      <c r="AD1698">
        <v>-0.14915254237288131</v>
      </c>
      <c r="AE1698">
        <v>0</v>
      </c>
      <c r="AF1698" t="b">
        <v>0</v>
      </c>
    </row>
    <row r="1699" spans="1:32" x14ac:dyDescent="0.3">
      <c r="A1699" t="s">
        <v>3410</v>
      </c>
      <c r="B1699" t="s">
        <v>3411</v>
      </c>
      <c r="C1699" t="s">
        <v>549</v>
      </c>
      <c r="D1699">
        <v>476</v>
      </c>
      <c r="E1699">
        <v>8779</v>
      </c>
      <c r="F1699">
        <v>126</v>
      </c>
      <c r="G1699">
        <v>53</v>
      </c>
      <c r="H1699">
        <v>1</v>
      </c>
      <c r="I1699">
        <v>6.4699851919352999E-2</v>
      </c>
      <c r="J1699">
        <v>0.28941078665696768</v>
      </c>
      <c r="K1699" t="s">
        <v>432</v>
      </c>
      <c r="L1699">
        <v>0.27912293463576848</v>
      </c>
      <c r="M1699">
        <v>0.37235116044399591</v>
      </c>
      <c r="N1699">
        <v>7.5204765450483907E-2</v>
      </c>
      <c r="O1699" t="s">
        <v>433</v>
      </c>
      <c r="P1699">
        <v>2484</v>
      </c>
      <c r="Q1699">
        <v>4.5088566827697199E-2</v>
      </c>
      <c r="R1699">
        <v>4015</v>
      </c>
      <c r="S1699">
        <v>0.13599003735990031</v>
      </c>
      <c r="T1699">
        <v>0</v>
      </c>
      <c r="U1699" t="b">
        <v>0</v>
      </c>
      <c r="V1699">
        <v>0</v>
      </c>
      <c r="Y1699">
        <v>0</v>
      </c>
      <c r="Z1699">
        <v>239</v>
      </c>
      <c r="AA1699">
        <v>0</v>
      </c>
      <c r="AB1699">
        <v>0</v>
      </c>
      <c r="AC1699">
        <v>0</v>
      </c>
      <c r="AD1699">
        <v>0</v>
      </c>
      <c r="AE1699">
        <v>0</v>
      </c>
      <c r="AF1699" t="b">
        <v>0</v>
      </c>
    </row>
    <row r="1700" spans="1:32" x14ac:dyDescent="0.3">
      <c r="A1700" t="s">
        <v>3412</v>
      </c>
      <c r="B1700" t="s">
        <v>3413</v>
      </c>
      <c r="C1700" t="s">
        <v>549</v>
      </c>
      <c r="D1700">
        <v>216</v>
      </c>
      <c r="E1700">
        <v>6619</v>
      </c>
      <c r="F1700">
        <v>6</v>
      </c>
      <c r="G1700">
        <v>60</v>
      </c>
      <c r="H1700">
        <v>60</v>
      </c>
      <c r="I1700">
        <v>1</v>
      </c>
      <c r="J1700">
        <v>1</v>
      </c>
      <c r="K1700" t="s">
        <v>432</v>
      </c>
      <c r="L1700">
        <v>0.809369548965861</v>
      </c>
      <c r="M1700">
        <v>1</v>
      </c>
      <c r="N1700">
        <v>1</v>
      </c>
      <c r="O1700" t="s">
        <v>433</v>
      </c>
      <c r="P1700">
        <v>0</v>
      </c>
      <c r="R1700">
        <v>0</v>
      </c>
      <c r="T1700">
        <v>0</v>
      </c>
      <c r="U1700" t="b">
        <v>0</v>
      </c>
      <c r="V1700">
        <v>0</v>
      </c>
      <c r="Y1700">
        <v>0</v>
      </c>
      <c r="Z1700">
        <v>327</v>
      </c>
      <c r="AA1700">
        <v>0</v>
      </c>
      <c r="AB1700">
        <v>0</v>
      </c>
      <c r="AC1700">
        <v>0</v>
      </c>
      <c r="AD1700">
        <v>0</v>
      </c>
      <c r="AE1700">
        <v>0</v>
      </c>
      <c r="AF1700" t="b">
        <v>0</v>
      </c>
    </row>
    <row r="1701" spans="1:32" x14ac:dyDescent="0.3">
      <c r="A1701" t="s">
        <v>3414</v>
      </c>
      <c r="B1701" t="s">
        <v>3415</v>
      </c>
      <c r="C1701" t="s">
        <v>549</v>
      </c>
      <c r="D1701">
        <v>95</v>
      </c>
      <c r="E1701">
        <v>1542</v>
      </c>
      <c r="F1701">
        <v>8</v>
      </c>
      <c r="G1701">
        <v>60</v>
      </c>
      <c r="H1701">
        <v>60</v>
      </c>
      <c r="I1701">
        <v>1</v>
      </c>
      <c r="J1701">
        <v>1</v>
      </c>
      <c r="K1701" t="s">
        <v>432</v>
      </c>
      <c r="L1701">
        <v>0.49295039164490861</v>
      </c>
      <c r="M1701">
        <v>1</v>
      </c>
      <c r="N1701">
        <v>1</v>
      </c>
      <c r="O1701" t="s">
        <v>433</v>
      </c>
      <c r="P1701">
        <v>0</v>
      </c>
      <c r="R1701">
        <v>0</v>
      </c>
      <c r="T1701">
        <v>0</v>
      </c>
      <c r="U1701" t="b">
        <v>0</v>
      </c>
      <c r="V1701">
        <v>6.2987012987012987</v>
      </c>
      <c r="Y1701">
        <v>0</v>
      </c>
      <c r="Z1701">
        <v>84</v>
      </c>
      <c r="AA1701">
        <v>2.3840622978554001E-2</v>
      </c>
      <c r="AB1701">
        <v>1.975365903937333</v>
      </c>
      <c r="AC1701">
        <v>7.7881619937694001E-3</v>
      </c>
      <c r="AD1701">
        <v>4.3965517241379301E-2</v>
      </c>
      <c r="AE1701">
        <v>0</v>
      </c>
      <c r="AF1701" t="b">
        <v>0</v>
      </c>
    </row>
    <row r="1702" spans="1:32" x14ac:dyDescent="0.3">
      <c r="A1702" t="s">
        <v>3416</v>
      </c>
      <c r="B1702" t="s">
        <v>3417</v>
      </c>
      <c r="C1702" t="s">
        <v>431</v>
      </c>
      <c r="D1702">
        <v>95</v>
      </c>
      <c r="E1702">
        <v>71</v>
      </c>
      <c r="F1702">
        <v>3</v>
      </c>
      <c r="G1702">
        <v>120</v>
      </c>
      <c r="H1702">
        <v>60</v>
      </c>
      <c r="I1702">
        <v>1</v>
      </c>
      <c r="J1702">
        <v>1</v>
      </c>
      <c r="K1702" t="s">
        <v>86</v>
      </c>
      <c r="P1702">
        <v>0</v>
      </c>
      <c r="R1702">
        <v>0</v>
      </c>
      <c r="T1702">
        <v>0</v>
      </c>
      <c r="U1702" t="b">
        <v>0</v>
      </c>
      <c r="Y1702">
        <v>0.72613307618129219</v>
      </c>
      <c r="Z1702">
        <v>6</v>
      </c>
      <c r="AA1702">
        <v>0</v>
      </c>
      <c r="AB1702">
        <v>0</v>
      </c>
      <c r="AE1702">
        <v>0</v>
      </c>
      <c r="AF1702" t="b">
        <v>0</v>
      </c>
    </row>
    <row r="1703" spans="1:32" x14ac:dyDescent="0.3">
      <c r="A1703" t="s">
        <v>3418</v>
      </c>
      <c r="B1703" t="s">
        <v>3419</v>
      </c>
      <c r="C1703" t="s">
        <v>549</v>
      </c>
      <c r="D1703">
        <v>60</v>
      </c>
      <c r="E1703">
        <v>2445</v>
      </c>
      <c r="F1703">
        <v>4</v>
      </c>
      <c r="G1703">
        <v>60</v>
      </c>
      <c r="H1703">
        <v>60</v>
      </c>
      <c r="I1703">
        <v>1</v>
      </c>
      <c r="J1703">
        <v>1</v>
      </c>
      <c r="K1703" t="s">
        <v>432</v>
      </c>
      <c r="L1703">
        <v>0.83606557377049184</v>
      </c>
      <c r="M1703">
        <v>1</v>
      </c>
      <c r="N1703">
        <v>1</v>
      </c>
      <c r="O1703" t="s">
        <v>433</v>
      </c>
      <c r="P1703">
        <v>0</v>
      </c>
      <c r="R1703">
        <v>0</v>
      </c>
      <c r="T1703">
        <v>0</v>
      </c>
      <c r="U1703" t="b">
        <v>0</v>
      </c>
      <c r="Y1703">
        <v>0</v>
      </c>
      <c r="Z1703">
        <v>163</v>
      </c>
      <c r="AA1703">
        <v>0</v>
      </c>
      <c r="AB1703">
        <v>0</v>
      </c>
      <c r="AE1703">
        <v>0</v>
      </c>
      <c r="AF1703" t="b">
        <v>0</v>
      </c>
    </row>
    <row r="1704" spans="1:32" x14ac:dyDescent="0.3">
      <c r="A1704" t="s">
        <v>3420</v>
      </c>
      <c r="B1704" t="s">
        <v>3421</v>
      </c>
      <c r="C1704" t="s">
        <v>549</v>
      </c>
      <c r="D1704">
        <v>287</v>
      </c>
      <c r="E1704">
        <v>6914</v>
      </c>
      <c r="F1704">
        <v>8</v>
      </c>
      <c r="G1704">
        <v>60</v>
      </c>
      <c r="H1704">
        <v>60</v>
      </c>
      <c r="I1704">
        <v>1</v>
      </c>
      <c r="J1704">
        <v>1</v>
      </c>
      <c r="K1704" t="s">
        <v>432</v>
      </c>
      <c r="L1704">
        <v>0.79778733866011065</v>
      </c>
      <c r="M1704">
        <v>1</v>
      </c>
      <c r="N1704">
        <v>1</v>
      </c>
      <c r="O1704" t="s">
        <v>433</v>
      </c>
      <c r="P1704">
        <v>0</v>
      </c>
      <c r="R1704">
        <v>0</v>
      </c>
      <c r="T1704">
        <v>0</v>
      </c>
      <c r="U1704" t="b">
        <v>0</v>
      </c>
      <c r="V1704">
        <v>0</v>
      </c>
      <c r="Y1704">
        <v>0</v>
      </c>
      <c r="Z1704">
        <v>349</v>
      </c>
      <c r="AA1704">
        <v>3.2894736842099999E-4</v>
      </c>
      <c r="AB1704">
        <v>3.4383954154727697E-2</v>
      </c>
      <c r="AC1704">
        <v>1.1904761904760999E-3</v>
      </c>
      <c r="AD1704">
        <v>0</v>
      </c>
      <c r="AE1704">
        <v>0</v>
      </c>
      <c r="AF1704" t="b">
        <v>0</v>
      </c>
    </row>
    <row r="1705" spans="1:32" x14ac:dyDescent="0.3">
      <c r="A1705" t="s">
        <v>3422</v>
      </c>
      <c r="B1705" t="s">
        <v>3423</v>
      </c>
      <c r="C1705" t="s">
        <v>549</v>
      </c>
      <c r="D1705">
        <v>213</v>
      </c>
      <c r="E1705">
        <v>13357</v>
      </c>
      <c r="F1705">
        <v>7</v>
      </c>
      <c r="G1705">
        <v>60</v>
      </c>
      <c r="H1705">
        <v>60</v>
      </c>
      <c r="I1705">
        <v>1</v>
      </c>
      <c r="J1705">
        <v>1</v>
      </c>
      <c r="K1705" t="s">
        <v>432</v>
      </c>
      <c r="L1705">
        <v>0.88852505028769235</v>
      </c>
      <c r="M1705">
        <v>1</v>
      </c>
      <c r="N1705">
        <v>1</v>
      </c>
      <c r="O1705" t="s">
        <v>433</v>
      </c>
      <c r="P1705">
        <v>0</v>
      </c>
      <c r="R1705">
        <v>0</v>
      </c>
      <c r="T1705">
        <v>0</v>
      </c>
      <c r="U1705" t="b">
        <v>0</v>
      </c>
      <c r="V1705">
        <v>1.0714285714285701E-2</v>
      </c>
      <c r="Y1705">
        <v>0</v>
      </c>
      <c r="Z1705">
        <v>467</v>
      </c>
      <c r="AA1705">
        <v>-6.2227753578095825E-5</v>
      </c>
      <c r="AB1705">
        <v>-4.2826552462525997E-3</v>
      </c>
      <c r="AC1705">
        <v>-1.6662963785819999E-4</v>
      </c>
      <c r="AD1705">
        <v>0</v>
      </c>
      <c r="AE1705">
        <v>0</v>
      </c>
      <c r="AF1705" t="b">
        <v>0</v>
      </c>
    </row>
    <row r="1706" spans="1:32" x14ac:dyDescent="0.3">
      <c r="A1706" t="s">
        <v>3424</v>
      </c>
      <c r="B1706" t="s">
        <v>3425</v>
      </c>
      <c r="C1706" t="s">
        <v>549</v>
      </c>
      <c r="D1706">
        <v>163</v>
      </c>
      <c r="E1706">
        <v>1879</v>
      </c>
      <c r="F1706">
        <v>20</v>
      </c>
      <c r="G1706">
        <v>120</v>
      </c>
      <c r="H1706">
        <v>60</v>
      </c>
      <c r="I1706">
        <v>0.90207557211282596</v>
      </c>
      <c r="J1706">
        <v>0.95523114355231142</v>
      </c>
      <c r="K1706" t="s">
        <v>432</v>
      </c>
      <c r="L1706">
        <v>0.8413625304136253</v>
      </c>
      <c r="M1706">
        <v>1</v>
      </c>
      <c r="N1706">
        <v>0.94679005205320999</v>
      </c>
      <c r="O1706" t="s">
        <v>433</v>
      </c>
      <c r="P1706">
        <v>92</v>
      </c>
      <c r="Q1706">
        <v>0</v>
      </c>
      <c r="R1706">
        <v>0</v>
      </c>
      <c r="T1706">
        <v>0</v>
      </c>
      <c r="U1706" t="b">
        <v>0</v>
      </c>
      <c r="V1706">
        <v>0</v>
      </c>
      <c r="Y1706">
        <v>0</v>
      </c>
      <c r="Z1706">
        <v>136</v>
      </c>
      <c r="AA1706">
        <v>-2.118644067796E-4</v>
      </c>
      <c r="AB1706">
        <v>-5.5147058823529403E-2</v>
      </c>
      <c r="AC1706">
        <v>0</v>
      </c>
      <c r="AD1706">
        <v>0</v>
      </c>
      <c r="AE1706">
        <v>0</v>
      </c>
      <c r="AF1706" t="b">
        <v>0</v>
      </c>
    </row>
    <row r="1707" spans="1:32" x14ac:dyDescent="0.3">
      <c r="A1707" t="s">
        <v>3426</v>
      </c>
      <c r="B1707" t="s">
        <v>3427</v>
      </c>
      <c r="C1707" t="s">
        <v>549</v>
      </c>
      <c r="D1707">
        <v>247</v>
      </c>
      <c r="E1707">
        <v>9658</v>
      </c>
      <c r="F1707">
        <v>37</v>
      </c>
      <c r="G1707">
        <v>36</v>
      </c>
      <c r="H1707">
        <v>1</v>
      </c>
      <c r="I1707">
        <v>7.6516877200248495E-2</v>
      </c>
      <c r="J1707">
        <v>0.25724381625441689</v>
      </c>
      <c r="K1707" t="s">
        <v>432</v>
      </c>
      <c r="L1707">
        <v>0.83957597173144871</v>
      </c>
      <c r="M1707">
        <v>1</v>
      </c>
      <c r="N1707">
        <v>0.11531986531986529</v>
      </c>
      <c r="O1707" t="s">
        <v>433</v>
      </c>
      <c r="P1707">
        <v>7357</v>
      </c>
      <c r="Q1707">
        <v>8.0195731955960303E-2</v>
      </c>
      <c r="R1707">
        <v>0</v>
      </c>
      <c r="T1707">
        <v>0</v>
      </c>
      <c r="U1707" t="b">
        <v>0</v>
      </c>
      <c r="V1707">
        <v>0</v>
      </c>
      <c r="Y1707">
        <v>0</v>
      </c>
      <c r="Z1707">
        <v>294</v>
      </c>
      <c r="AA1707">
        <v>0</v>
      </c>
      <c r="AB1707">
        <v>0</v>
      </c>
      <c r="AC1707">
        <v>0</v>
      </c>
      <c r="AD1707">
        <v>0</v>
      </c>
      <c r="AE1707">
        <v>0</v>
      </c>
      <c r="AF1707" t="b">
        <v>0</v>
      </c>
    </row>
    <row r="1708" spans="1:32" x14ac:dyDescent="0.3">
      <c r="A1708" t="s">
        <v>3428</v>
      </c>
      <c r="B1708" t="s">
        <v>3429</v>
      </c>
      <c r="C1708" t="s">
        <v>549</v>
      </c>
      <c r="D1708">
        <v>74</v>
      </c>
      <c r="E1708">
        <v>2019</v>
      </c>
      <c r="F1708">
        <v>18</v>
      </c>
      <c r="G1708">
        <v>60</v>
      </c>
      <c r="H1708">
        <v>5</v>
      </c>
      <c r="I1708">
        <v>0.24962852897473989</v>
      </c>
      <c r="J1708">
        <v>0.51389543099387658</v>
      </c>
      <c r="K1708" t="s">
        <v>432</v>
      </c>
      <c r="L1708">
        <v>0.66038624587847383</v>
      </c>
      <c r="M1708">
        <v>1</v>
      </c>
      <c r="N1708">
        <v>0.2639087018544935</v>
      </c>
      <c r="O1708" t="s">
        <v>433</v>
      </c>
      <c r="P1708">
        <v>1032</v>
      </c>
      <c r="Q1708">
        <v>8.6240310077519297E-2</v>
      </c>
      <c r="R1708">
        <v>0</v>
      </c>
      <c r="T1708">
        <v>0</v>
      </c>
      <c r="U1708" t="b">
        <v>0</v>
      </c>
      <c r="V1708">
        <v>5.2</v>
      </c>
      <c r="Y1708">
        <v>0</v>
      </c>
      <c r="Z1708">
        <v>137</v>
      </c>
      <c r="AA1708">
        <v>1.0097719869706799E-2</v>
      </c>
      <c r="AB1708">
        <v>0.67883211678832112</v>
      </c>
      <c r="AC1708">
        <v>7.65432098765432E-2</v>
      </c>
      <c r="AD1708">
        <v>1.23456790123456E-2</v>
      </c>
      <c r="AE1708">
        <v>0</v>
      </c>
      <c r="AF1708" t="b">
        <v>0</v>
      </c>
    </row>
    <row r="1709" spans="1:32" x14ac:dyDescent="0.3">
      <c r="A1709" t="s">
        <v>3430</v>
      </c>
      <c r="B1709" t="s">
        <v>3431</v>
      </c>
      <c r="C1709" t="s">
        <v>549</v>
      </c>
      <c r="D1709">
        <v>190</v>
      </c>
      <c r="E1709">
        <v>5580</v>
      </c>
      <c r="F1709">
        <v>8</v>
      </c>
      <c r="G1709">
        <v>60</v>
      </c>
      <c r="H1709">
        <v>60</v>
      </c>
      <c r="I1709">
        <v>1</v>
      </c>
      <c r="J1709">
        <v>1</v>
      </c>
      <c r="K1709" t="s">
        <v>432</v>
      </c>
      <c r="L1709">
        <v>0.79240806642941874</v>
      </c>
      <c r="M1709">
        <v>1</v>
      </c>
      <c r="N1709">
        <v>1</v>
      </c>
      <c r="O1709" t="s">
        <v>433</v>
      </c>
      <c r="P1709">
        <v>0</v>
      </c>
      <c r="R1709">
        <v>0</v>
      </c>
      <c r="T1709">
        <v>0</v>
      </c>
      <c r="U1709" t="b">
        <v>0</v>
      </c>
      <c r="V1709">
        <v>0.34682080924855491</v>
      </c>
      <c r="Y1709">
        <v>0</v>
      </c>
      <c r="Z1709">
        <v>214</v>
      </c>
      <c r="AA1709">
        <v>0</v>
      </c>
      <c r="AB1709">
        <v>0</v>
      </c>
      <c r="AC1709">
        <v>0</v>
      </c>
      <c r="AD1709">
        <v>0</v>
      </c>
      <c r="AE1709">
        <v>0</v>
      </c>
      <c r="AF1709" t="b">
        <v>0</v>
      </c>
    </row>
    <row r="1710" spans="1:32" x14ac:dyDescent="0.3">
      <c r="A1710" t="s">
        <v>3432</v>
      </c>
      <c r="B1710" t="s">
        <v>3433</v>
      </c>
      <c r="C1710" t="s">
        <v>431</v>
      </c>
      <c r="D1710">
        <v>202</v>
      </c>
      <c r="E1710">
        <v>2415</v>
      </c>
      <c r="F1710">
        <v>19</v>
      </c>
      <c r="G1710">
        <v>60</v>
      </c>
      <c r="H1710">
        <v>60</v>
      </c>
      <c r="I1710">
        <v>1</v>
      </c>
      <c r="J1710">
        <v>1</v>
      </c>
      <c r="K1710" t="s">
        <v>432</v>
      </c>
      <c r="L1710">
        <v>0.66924265842349306</v>
      </c>
      <c r="M1710">
        <v>1</v>
      </c>
      <c r="N1710">
        <v>1</v>
      </c>
      <c r="O1710" t="s">
        <v>433</v>
      </c>
      <c r="P1710">
        <v>0</v>
      </c>
      <c r="R1710">
        <v>0</v>
      </c>
      <c r="T1710">
        <v>0</v>
      </c>
      <c r="U1710" t="b">
        <v>0</v>
      </c>
      <c r="Y1710">
        <v>0</v>
      </c>
      <c r="Z1710">
        <v>31</v>
      </c>
      <c r="AA1710">
        <v>0</v>
      </c>
      <c r="AB1710">
        <v>0</v>
      </c>
      <c r="AD1710">
        <v>0</v>
      </c>
      <c r="AE1710">
        <v>0</v>
      </c>
      <c r="AF1710" t="b">
        <v>0</v>
      </c>
    </row>
    <row r="1711" spans="1:32" x14ac:dyDescent="0.3">
      <c r="A1711" t="s">
        <v>3434</v>
      </c>
      <c r="B1711" t="s">
        <v>3435</v>
      </c>
      <c r="C1711" t="s">
        <v>431</v>
      </c>
      <c r="D1711">
        <v>1157</v>
      </c>
      <c r="E1711">
        <v>20025</v>
      </c>
      <c r="F1711">
        <v>20</v>
      </c>
      <c r="G1711">
        <v>60</v>
      </c>
      <c r="H1711">
        <v>1</v>
      </c>
      <c r="I1711">
        <v>0.58147315855181025</v>
      </c>
      <c r="J1711">
        <v>0.78264564252667357</v>
      </c>
      <c r="K1711" t="s">
        <v>432</v>
      </c>
      <c r="L1711">
        <v>0.74015673685204419</v>
      </c>
      <c r="M1711">
        <v>1</v>
      </c>
      <c r="N1711">
        <v>0.70634009439979584</v>
      </c>
      <c r="O1711" t="s">
        <v>433</v>
      </c>
      <c r="P1711">
        <v>4604</v>
      </c>
      <c r="Q1711">
        <v>3.4535186794092003E-2</v>
      </c>
      <c r="R1711">
        <v>0</v>
      </c>
      <c r="T1711">
        <v>0</v>
      </c>
      <c r="U1711" t="b">
        <v>0</v>
      </c>
      <c r="V1711">
        <v>0.53846153846153844</v>
      </c>
      <c r="Y1711">
        <v>0</v>
      </c>
      <c r="Z1711">
        <v>544</v>
      </c>
      <c r="AA1711">
        <v>1.6453142602634999E-3</v>
      </c>
      <c r="AB1711">
        <v>0.1154411764705882</v>
      </c>
      <c r="AC1711">
        <v>2.4330900243308999E-3</v>
      </c>
      <c r="AD1711">
        <v>-7.8721561835780004E-4</v>
      </c>
      <c r="AE1711">
        <v>0</v>
      </c>
      <c r="AF1711" t="b">
        <v>0</v>
      </c>
    </row>
    <row r="1712" spans="1:32" x14ac:dyDescent="0.3">
      <c r="A1712" t="s">
        <v>3436</v>
      </c>
      <c r="B1712" t="s">
        <v>3437</v>
      </c>
      <c r="C1712" t="s">
        <v>431</v>
      </c>
      <c r="D1712">
        <v>682</v>
      </c>
      <c r="E1712">
        <v>14026</v>
      </c>
      <c r="F1712">
        <v>251</v>
      </c>
      <c r="G1712">
        <v>45</v>
      </c>
      <c r="H1712">
        <v>1</v>
      </c>
      <c r="I1712">
        <v>1.44731213460715E-2</v>
      </c>
      <c r="J1712">
        <v>0.18826488985586071</v>
      </c>
      <c r="K1712" t="s">
        <v>432</v>
      </c>
      <c r="L1712">
        <v>0.82240957302148487</v>
      </c>
      <c r="M1712">
        <v>1</v>
      </c>
      <c r="N1712">
        <v>1.2979497354497299E-2</v>
      </c>
      <c r="O1712" t="s">
        <v>433</v>
      </c>
      <c r="P1712">
        <v>11939</v>
      </c>
      <c r="Q1712">
        <v>0.98148923695451884</v>
      </c>
      <c r="R1712">
        <v>0</v>
      </c>
      <c r="T1712">
        <v>0</v>
      </c>
      <c r="U1712" t="b">
        <v>0</v>
      </c>
      <c r="V1712">
        <v>10.365450643776819</v>
      </c>
      <c r="Y1712">
        <v>0</v>
      </c>
      <c r="Z1712">
        <v>739</v>
      </c>
      <c r="AA1712">
        <v>2.7354818081389998E-3</v>
      </c>
      <c r="AB1712">
        <v>0.1624449599415769</v>
      </c>
      <c r="AC1712">
        <v>-5.5576718355379397E-2</v>
      </c>
      <c r="AD1712">
        <v>6.09126295388559E-2</v>
      </c>
      <c r="AE1712">
        <v>0</v>
      </c>
      <c r="AF1712" t="b">
        <v>0</v>
      </c>
    </row>
    <row r="1713" spans="1:35" x14ac:dyDescent="0.3">
      <c r="A1713" t="s">
        <v>3438</v>
      </c>
      <c r="B1713" t="s">
        <v>3439</v>
      </c>
      <c r="C1713" t="s">
        <v>549</v>
      </c>
      <c r="D1713">
        <v>218</v>
      </c>
      <c r="E1713">
        <v>6575</v>
      </c>
      <c r="F1713">
        <v>98</v>
      </c>
      <c r="G1713">
        <v>40</v>
      </c>
      <c r="H1713">
        <v>1</v>
      </c>
      <c r="I1713">
        <v>1.9315589353612099E-2</v>
      </c>
      <c r="J1713">
        <v>0.22228764905049311</v>
      </c>
      <c r="K1713" t="s">
        <v>432</v>
      </c>
      <c r="L1713">
        <v>0.78639776240247317</v>
      </c>
      <c r="M1713">
        <v>1</v>
      </c>
      <c r="N1713">
        <v>1.1044552602021701E-2</v>
      </c>
      <c r="O1713" t="s">
        <v>433</v>
      </c>
      <c r="P1713">
        <v>5283</v>
      </c>
      <c r="Q1713">
        <v>0.86541737649063033</v>
      </c>
      <c r="R1713">
        <v>0</v>
      </c>
      <c r="T1713">
        <v>0</v>
      </c>
      <c r="U1713" t="b">
        <v>0</v>
      </c>
      <c r="V1713">
        <v>0</v>
      </c>
      <c r="Y1713">
        <v>0</v>
      </c>
      <c r="Z1713">
        <v>245</v>
      </c>
      <c r="AA1713">
        <v>0</v>
      </c>
      <c r="AB1713">
        <v>0</v>
      </c>
      <c r="AC1713">
        <v>0</v>
      </c>
      <c r="AD1713">
        <v>0</v>
      </c>
      <c r="AE1713">
        <v>0</v>
      </c>
      <c r="AF1713" t="b">
        <v>0</v>
      </c>
    </row>
    <row r="1714" spans="1:35" x14ac:dyDescent="0.3">
      <c r="A1714" t="s">
        <v>3440</v>
      </c>
      <c r="B1714" t="s">
        <v>3441</v>
      </c>
      <c r="C1714" t="s">
        <v>549</v>
      </c>
      <c r="D1714">
        <v>314</v>
      </c>
      <c r="E1714">
        <v>4001</v>
      </c>
      <c r="F1714">
        <v>114</v>
      </c>
      <c r="G1714">
        <v>64</v>
      </c>
      <c r="H1714">
        <v>1</v>
      </c>
      <c r="I1714">
        <v>1.9745063734066402E-2</v>
      </c>
      <c r="J1714">
        <v>0.25422943221320971</v>
      </c>
      <c r="K1714" t="s">
        <v>86</v>
      </c>
      <c r="P1714">
        <v>0</v>
      </c>
      <c r="R1714">
        <v>0</v>
      </c>
      <c r="T1714">
        <v>0</v>
      </c>
      <c r="U1714" t="b">
        <v>0</v>
      </c>
      <c r="V1714">
        <v>0</v>
      </c>
      <c r="Y1714">
        <v>0</v>
      </c>
      <c r="Z1714">
        <v>227</v>
      </c>
      <c r="AA1714">
        <v>0</v>
      </c>
      <c r="AB1714">
        <v>0</v>
      </c>
      <c r="AC1714">
        <v>0</v>
      </c>
      <c r="AD1714">
        <v>0</v>
      </c>
      <c r="AE1714">
        <v>0</v>
      </c>
      <c r="AF1714" t="b">
        <v>0</v>
      </c>
    </row>
    <row r="1715" spans="1:35" x14ac:dyDescent="0.3">
      <c r="A1715" t="s">
        <v>3442</v>
      </c>
      <c r="B1715" t="s">
        <v>3443</v>
      </c>
      <c r="C1715" t="s">
        <v>431</v>
      </c>
      <c r="D1715">
        <v>154</v>
      </c>
      <c r="E1715">
        <v>3817</v>
      </c>
      <c r="F1715">
        <v>118</v>
      </c>
      <c r="G1715">
        <v>54</v>
      </c>
      <c r="H1715">
        <v>1</v>
      </c>
      <c r="I1715">
        <v>2.3054755043227598E-2</v>
      </c>
      <c r="J1715">
        <v>0.2825484764542936</v>
      </c>
      <c r="K1715" t="s">
        <v>432</v>
      </c>
      <c r="L1715">
        <v>0.7174515235457064</v>
      </c>
      <c r="M1715">
        <v>1</v>
      </c>
      <c r="N1715">
        <v>0</v>
      </c>
      <c r="O1715" t="s">
        <v>518</v>
      </c>
      <c r="P1715">
        <v>2849</v>
      </c>
      <c r="Q1715">
        <v>7.3359073359073296E-2</v>
      </c>
      <c r="R1715">
        <v>0</v>
      </c>
      <c r="T1715">
        <v>0</v>
      </c>
      <c r="U1715" t="b">
        <v>0</v>
      </c>
      <c r="Y1715">
        <v>0</v>
      </c>
      <c r="Z1715">
        <v>347</v>
      </c>
      <c r="AA1715">
        <v>-2.6041666666666002E-3</v>
      </c>
      <c r="AB1715">
        <v>-0.1729106628242075</v>
      </c>
      <c r="AC1715">
        <v>-6.6185318892900094E-2</v>
      </c>
      <c r="AE1715">
        <v>0</v>
      </c>
      <c r="AF1715" t="b">
        <v>0</v>
      </c>
    </row>
    <row r="1716" spans="1:35" x14ac:dyDescent="0.3">
      <c r="A1716" t="s">
        <v>3444</v>
      </c>
      <c r="B1716" t="s">
        <v>3445</v>
      </c>
      <c r="C1716" t="s">
        <v>474</v>
      </c>
      <c r="D1716">
        <v>3074</v>
      </c>
      <c r="E1716">
        <v>115180</v>
      </c>
      <c r="F1716">
        <v>479</v>
      </c>
      <c r="G1716">
        <v>54</v>
      </c>
      <c r="H1716">
        <v>1</v>
      </c>
      <c r="I1716">
        <v>8.1620072929328005E-2</v>
      </c>
      <c r="J1716">
        <v>0.29167230415370038</v>
      </c>
      <c r="K1716" t="s">
        <v>86</v>
      </c>
      <c r="P1716">
        <v>0</v>
      </c>
      <c r="R1716">
        <v>0</v>
      </c>
      <c r="T1716">
        <v>0</v>
      </c>
      <c r="U1716" t="b">
        <v>0</v>
      </c>
      <c r="V1716">
        <v>6.1250369783572909</v>
      </c>
      <c r="Y1716">
        <v>0</v>
      </c>
      <c r="Z1716">
        <v>3677</v>
      </c>
      <c r="AA1716">
        <v>-1.04500325659632E-2</v>
      </c>
      <c r="AB1716">
        <v>-0.73347490305892993</v>
      </c>
      <c r="AC1716">
        <v>-2.6750220917984398E-2</v>
      </c>
      <c r="AD1716">
        <v>-3.3165924686171001E-3</v>
      </c>
      <c r="AE1716">
        <v>1</v>
      </c>
      <c r="AF1716" t="b">
        <v>1</v>
      </c>
      <c r="AG1716">
        <v>2.2665658484405998E-3</v>
      </c>
      <c r="AH1716">
        <v>0.332521645021645</v>
      </c>
      <c r="AI1716" t="b">
        <v>0</v>
      </c>
    </row>
    <row r="1717" spans="1:35" x14ac:dyDescent="0.3">
      <c r="A1717" t="s">
        <v>3446</v>
      </c>
      <c r="B1717" t="s">
        <v>3447</v>
      </c>
      <c r="C1717" t="s">
        <v>431</v>
      </c>
      <c r="D1717">
        <v>288</v>
      </c>
      <c r="E1717">
        <v>1366</v>
      </c>
      <c r="F1717">
        <v>14</v>
      </c>
      <c r="G1717">
        <v>180</v>
      </c>
      <c r="H1717">
        <v>60</v>
      </c>
      <c r="I1717">
        <v>1</v>
      </c>
      <c r="J1717">
        <v>1</v>
      </c>
      <c r="K1717" t="s">
        <v>432</v>
      </c>
      <c r="L1717">
        <v>0.49374627754615841</v>
      </c>
      <c r="M1717">
        <v>1</v>
      </c>
      <c r="N1717">
        <v>1</v>
      </c>
      <c r="O1717" t="s">
        <v>433</v>
      </c>
      <c r="P1717">
        <v>0</v>
      </c>
      <c r="R1717">
        <v>0</v>
      </c>
      <c r="T1717">
        <v>0</v>
      </c>
      <c r="U1717" t="b">
        <v>0</v>
      </c>
      <c r="V1717">
        <v>1.555555555555556</v>
      </c>
      <c r="Y1717">
        <v>0</v>
      </c>
      <c r="Z1717">
        <v>54</v>
      </c>
      <c r="AA1717">
        <v>-8.938759984785E-4</v>
      </c>
      <c r="AB1717">
        <v>-0.23737373737373779</v>
      </c>
      <c r="AC1717">
        <v>-2.0920502092049999E-3</v>
      </c>
      <c r="AD1717">
        <v>4.1841004184099998E-4</v>
      </c>
      <c r="AE1717">
        <v>0</v>
      </c>
      <c r="AF1717" t="b">
        <v>0</v>
      </c>
    </row>
    <row r="1718" spans="1:35" x14ac:dyDescent="0.3">
      <c r="A1718" t="s">
        <v>3448</v>
      </c>
      <c r="B1718" t="s">
        <v>3449</v>
      </c>
      <c r="C1718" t="s">
        <v>431</v>
      </c>
      <c r="D1718">
        <v>539</v>
      </c>
      <c r="E1718">
        <v>9764</v>
      </c>
      <c r="F1718">
        <v>211</v>
      </c>
      <c r="G1718">
        <v>61</v>
      </c>
      <c r="H1718">
        <v>1</v>
      </c>
      <c r="I1718">
        <v>2.2634166325276501E-2</v>
      </c>
      <c r="J1718">
        <v>0.21372415801222941</v>
      </c>
      <c r="K1718" t="s">
        <v>432</v>
      </c>
      <c r="L1718">
        <v>0.8002523536833932</v>
      </c>
      <c r="M1718">
        <v>1</v>
      </c>
      <c r="N1718">
        <v>1.74651303820497E-2</v>
      </c>
      <c r="O1718" t="s">
        <v>433</v>
      </c>
      <c r="P1718">
        <v>8101</v>
      </c>
      <c r="Q1718">
        <v>0.97901493642760162</v>
      </c>
      <c r="R1718">
        <v>0</v>
      </c>
      <c r="T1718">
        <v>0</v>
      </c>
      <c r="U1718" t="b">
        <v>0</v>
      </c>
      <c r="V1718">
        <v>7.9668049792531122</v>
      </c>
      <c r="Y1718">
        <v>0</v>
      </c>
      <c r="Z1718">
        <v>478</v>
      </c>
      <c r="AA1718">
        <v>-9.5611426016573992E-3</v>
      </c>
      <c r="AB1718">
        <v>-0.7671523211795177</v>
      </c>
      <c r="AC1718">
        <v>-4.3299716822560598E-2</v>
      </c>
      <c r="AD1718">
        <v>4.48174145227297E-2</v>
      </c>
      <c r="AE1718">
        <v>0</v>
      </c>
      <c r="AF1718" t="b">
        <v>0</v>
      </c>
    </row>
    <row r="1719" spans="1:35" x14ac:dyDescent="0.3">
      <c r="A1719" t="s">
        <v>3450</v>
      </c>
      <c r="B1719" t="s">
        <v>3451</v>
      </c>
      <c r="C1719" t="s">
        <v>431</v>
      </c>
      <c r="D1719">
        <v>83</v>
      </c>
      <c r="E1719">
        <v>4689</v>
      </c>
      <c r="F1719">
        <v>180</v>
      </c>
      <c r="G1719">
        <v>49</v>
      </c>
      <c r="H1719">
        <v>1</v>
      </c>
      <c r="I1719">
        <v>6.4619321817018502E-2</v>
      </c>
      <c r="J1719">
        <v>0.27131782945736432</v>
      </c>
      <c r="K1719" t="s">
        <v>432</v>
      </c>
      <c r="L1719">
        <v>0.73601508485229417</v>
      </c>
      <c r="M1719">
        <v>1</v>
      </c>
      <c r="N1719">
        <v>9.9629945915172009E-3</v>
      </c>
      <c r="O1719" t="s">
        <v>433</v>
      </c>
      <c r="P1719">
        <v>3478</v>
      </c>
      <c r="Q1719">
        <v>1</v>
      </c>
      <c r="R1719">
        <v>0</v>
      </c>
      <c r="T1719">
        <v>0</v>
      </c>
      <c r="U1719" t="b">
        <v>0</v>
      </c>
      <c r="Y1719">
        <v>0</v>
      </c>
      <c r="Z1719">
        <v>72</v>
      </c>
      <c r="AA1719">
        <v>-4.6941745294090369E-5</v>
      </c>
      <c r="AB1719">
        <v>-4.6296296296295999E-3</v>
      </c>
      <c r="AC1719">
        <v>0</v>
      </c>
      <c r="AE1719">
        <v>0</v>
      </c>
      <c r="AF1719" t="b">
        <v>0</v>
      </c>
    </row>
    <row r="1720" spans="1:35" x14ac:dyDescent="0.3">
      <c r="A1720" t="s">
        <v>3452</v>
      </c>
      <c r="B1720" t="s">
        <v>3453</v>
      </c>
      <c r="C1720" t="s">
        <v>532</v>
      </c>
      <c r="D1720">
        <v>311</v>
      </c>
      <c r="E1720">
        <v>8408</v>
      </c>
      <c r="F1720">
        <v>10</v>
      </c>
      <c r="G1720">
        <v>60</v>
      </c>
      <c r="H1720">
        <v>60</v>
      </c>
      <c r="I1720">
        <v>0.9992863939105614</v>
      </c>
      <c r="J1720">
        <v>0.99947846041514565</v>
      </c>
      <c r="K1720" t="s">
        <v>432</v>
      </c>
      <c r="L1720">
        <v>0.9121727339105038</v>
      </c>
      <c r="M1720">
        <v>1</v>
      </c>
      <c r="N1720">
        <v>0.99942824471126357</v>
      </c>
      <c r="O1720" t="s">
        <v>433</v>
      </c>
      <c r="P1720">
        <v>5</v>
      </c>
      <c r="Q1720">
        <v>0</v>
      </c>
      <c r="R1720">
        <v>0</v>
      </c>
      <c r="T1720">
        <v>0</v>
      </c>
      <c r="U1720" t="b">
        <v>0</v>
      </c>
      <c r="V1720">
        <v>3.1782945736434112</v>
      </c>
      <c r="Y1720">
        <v>0</v>
      </c>
      <c r="Z1720">
        <v>331</v>
      </c>
      <c r="AA1720">
        <v>1.49108218156793E-2</v>
      </c>
      <c r="AB1720">
        <v>1.1221406991799741</v>
      </c>
      <c r="AC1720">
        <v>3.0013642564802101E-2</v>
      </c>
      <c r="AD1720">
        <v>-2.6246719160104002E-3</v>
      </c>
      <c r="AE1720">
        <v>0</v>
      </c>
      <c r="AF1720" t="b">
        <v>0</v>
      </c>
    </row>
    <row r="1721" spans="1:35" x14ac:dyDescent="0.3">
      <c r="A1721" t="s">
        <v>3454</v>
      </c>
      <c r="B1721" t="s">
        <v>3455</v>
      </c>
      <c r="C1721" t="s">
        <v>532</v>
      </c>
      <c r="D1721">
        <v>400</v>
      </c>
      <c r="E1721">
        <v>12204</v>
      </c>
      <c r="F1721">
        <v>187</v>
      </c>
      <c r="G1721">
        <v>45</v>
      </c>
      <c r="H1721">
        <v>1</v>
      </c>
      <c r="I1721">
        <v>4.4165847263192302E-2</v>
      </c>
      <c r="J1721">
        <v>6.2757854649317601E-2</v>
      </c>
      <c r="K1721" t="s">
        <v>432</v>
      </c>
      <c r="L1721">
        <v>0.98024436686766103</v>
      </c>
      <c r="M1721">
        <v>0.45783132530120479</v>
      </c>
      <c r="N1721">
        <v>5.4795629299878502E-2</v>
      </c>
      <c r="O1721" t="s">
        <v>433</v>
      </c>
      <c r="P1721">
        <v>390</v>
      </c>
      <c r="Q1721">
        <v>9.4871794871794798E-2</v>
      </c>
      <c r="R1721">
        <v>6</v>
      </c>
      <c r="S1721">
        <v>0</v>
      </c>
      <c r="T1721">
        <v>0</v>
      </c>
      <c r="U1721" t="b">
        <v>0</v>
      </c>
      <c r="V1721">
        <v>0.1626984126984127</v>
      </c>
      <c r="Y1721">
        <v>0</v>
      </c>
      <c r="Z1721">
        <v>419</v>
      </c>
      <c r="AA1721">
        <v>-9.0600204858510003E-3</v>
      </c>
      <c r="AB1721">
        <v>-0.47145982498011157</v>
      </c>
      <c r="AC1721">
        <v>3.8884673748103E-3</v>
      </c>
      <c r="AD1721">
        <v>0</v>
      </c>
      <c r="AE1721">
        <v>0</v>
      </c>
      <c r="AF1721" t="b">
        <v>0</v>
      </c>
    </row>
    <row r="1722" spans="1:35" x14ac:dyDescent="0.3">
      <c r="A1722" t="s">
        <v>3456</v>
      </c>
      <c r="B1722" t="s">
        <v>3457</v>
      </c>
      <c r="C1722" t="s">
        <v>431</v>
      </c>
      <c r="D1722">
        <v>138</v>
      </c>
      <c r="E1722">
        <v>1797</v>
      </c>
      <c r="F1722">
        <v>250</v>
      </c>
      <c r="G1722">
        <v>127</v>
      </c>
      <c r="H1722">
        <v>1</v>
      </c>
      <c r="I1722">
        <v>0.1051752921535893</v>
      </c>
      <c r="J1722">
        <v>0.4439276485788114</v>
      </c>
      <c r="K1722" t="s">
        <v>432</v>
      </c>
      <c r="L1722">
        <v>0.55813953488372092</v>
      </c>
      <c r="M1722">
        <v>1</v>
      </c>
      <c r="N1722">
        <v>3.7037037037036999E-3</v>
      </c>
      <c r="O1722" t="s">
        <v>433</v>
      </c>
      <c r="P1722">
        <v>1076</v>
      </c>
      <c r="Q1722">
        <v>0.99349442379182162</v>
      </c>
      <c r="R1722">
        <v>0</v>
      </c>
      <c r="T1722">
        <v>0</v>
      </c>
      <c r="U1722" t="b">
        <v>0</v>
      </c>
      <c r="V1722">
        <v>0</v>
      </c>
      <c r="Y1722">
        <v>0</v>
      </c>
      <c r="Z1722">
        <v>88</v>
      </c>
      <c r="AA1722">
        <v>0</v>
      </c>
      <c r="AB1722">
        <v>0</v>
      </c>
      <c r="AC1722">
        <v>0</v>
      </c>
      <c r="AD1722">
        <v>0</v>
      </c>
      <c r="AE1722">
        <v>0</v>
      </c>
      <c r="AF1722" t="b">
        <v>0</v>
      </c>
    </row>
    <row r="1723" spans="1:35" x14ac:dyDescent="0.3">
      <c r="A1723" t="s">
        <v>3458</v>
      </c>
      <c r="B1723" t="s">
        <v>3459</v>
      </c>
      <c r="C1723" t="s">
        <v>431</v>
      </c>
      <c r="D1723">
        <v>109</v>
      </c>
      <c r="E1723">
        <v>386</v>
      </c>
      <c r="F1723">
        <v>36</v>
      </c>
      <c r="G1723">
        <v>600</v>
      </c>
      <c r="H1723">
        <v>60</v>
      </c>
      <c r="I1723">
        <v>1</v>
      </c>
      <c r="J1723">
        <v>1</v>
      </c>
      <c r="K1723" t="s">
        <v>432</v>
      </c>
      <c r="L1723">
        <v>0.41834061135371181</v>
      </c>
      <c r="M1723">
        <v>1</v>
      </c>
      <c r="O1723" t="s">
        <v>518</v>
      </c>
      <c r="P1723">
        <v>0</v>
      </c>
      <c r="R1723">
        <v>0</v>
      </c>
      <c r="T1723">
        <v>0</v>
      </c>
      <c r="U1723" t="b">
        <v>0</v>
      </c>
      <c r="Y1723">
        <v>0.41834061135371181</v>
      </c>
      <c r="Z1723">
        <v>0</v>
      </c>
      <c r="AE1723">
        <v>0</v>
      </c>
      <c r="AF1723" t="b">
        <v>0</v>
      </c>
    </row>
    <row r="1724" spans="1:35" x14ac:dyDescent="0.3">
      <c r="A1724" t="s">
        <v>3460</v>
      </c>
      <c r="B1724" t="s">
        <v>3461</v>
      </c>
      <c r="C1724" t="s">
        <v>431</v>
      </c>
      <c r="D1724">
        <v>136</v>
      </c>
      <c r="E1724">
        <v>2140</v>
      </c>
      <c r="F1724">
        <v>24</v>
      </c>
      <c r="G1724">
        <v>120</v>
      </c>
      <c r="H1724">
        <v>60</v>
      </c>
      <c r="I1724">
        <v>1</v>
      </c>
      <c r="J1724">
        <v>1</v>
      </c>
      <c r="K1724" t="s">
        <v>86</v>
      </c>
      <c r="P1724">
        <v>0</v>
      </c>
      <c r="R1724">
        <v>0</v>
      </c>
      <c r="T1724">
        <v>0</v>
      </c>
      <c r="U1724" t="b">
        <v>0</v>
      </c>
      <c r="V1724">
        <v>6.25</v>
      </c>
      <c r="Y1724">
        <v>0</v>
      </c>
      <c r="Z1724">
        <v>63</v>
      </c>
      <c r="AA1724">
        <v>1.67597765363128E-2</v>
      </c>
      <c r="AB1724">
        <v>3.0952380952380958</v>
      </c>
      <c r="AC1724">
        <v>0</v>
      </c>
      <c r="AD1724">
        <v>4.6948356807511001E-3</v>
      </c>
      <c r="AE1724">
        <v>0</v>
      </c>
      <c r="AF1724" t="b">
        <v>0</v>
      </c>
    </row>
    <row r="1725" spans="1:35" x14ac:dyDescent="0.3">
      <c r="A1725" t="s">
        <v>3462</v>
      </c>
      <c r="B1725" t="s">
        <v>3463</v>
      </c>
      <c r="C1725" t="s">
        <v>431</v>
      </c>
      <c r="D1725">
        <v>71</v>
      </c>
      <c r="E1725">
        <v>1943</v>
      </c>
      <c r="F1725">
        <v>15</v>
      </c>
      <c r="G1725">
        <v>120</v>
      </c>
      <c r="H1725">
        <v>60</v>
      </c>
      <c r="I1725">
        <v>1</v>
      </c>
      <c r="J1725">
        <v>1</v>
      </c>
      <c r="K1725" t="s">
        <v>432</v>
      </c>
      <c r="L1725">
        <v>6.5176908752327001E-3</v>
      </c>
      <c r="M1725">
        <v>1</v>
      </c>
      <c r="N1725">
        <v>1</v>
      </c>
      <c r="O1725" t="s">
        <v>433</v>
      </c>
      <c r="P1725">
        <v>0</v>
      </c>
      <c r="R1725">
        <v>0</v>
      </c>
      <c r="T1725">
        <v>0</v>
      </c>
      <c r="U1725" t="b">
        <v>0</v>
      </c>
      <c r="Y1725">
        <v>0</v>
      </c>
      <c r="Z1725">
        <v>72</v>
      </c>
      <c r="AA1725">
        <v>0</v>
      </c>
      <c r="AB1725">
        <v>0</v>
      </c>
      <c r="AE1725">
        <v>0</v>
      </c>
      <c r="AF1725" t="b">
        <v>0</v>
      </c>
    </row>
    <row r="1726" spans="1:35" x14ac:dyDescent="0.3">
      <c r="A1726" t="s">
        <v>3464</v>
      </c>
      <c r="B1726" t="s">
        <v>3465</v>
      </c>
      <c r="C1726" t="s">
        <v>549</v>
      </c>
      <c r="D1726">
        <v>145</v>
      </c>
      <c r="E1726">
        <v>5644</v>
      </c>
      <c r="F1726">
        <v>133</v>
      </c>
      <c r="G1726">
        <v>36</v>
      </c>
      <c r="H1726">
        <v>1</v>
      </c>
      <c r="I1726">
        <v>3.1892274982281997E-2</v>
      </c>
      <c r="J1726">
        <v>0.2204180342027984</v>
      </c>
      <c r="K1726" t="s">
        <v>86</v>
      </c>
      <c r="P1726">
        <v>0</v>
      </c>
      <c r="R1726">
        <v>0</v>
      </c>
      <c r="T1726">
        <v>0</v>
      </c>
      <c r="U1726" t="b">
        <v>0</v>
      </c>
      <c r="V1726">
        <v>0</v>
      </c>
      <c r="Y1726">
        <v>0</v>
      </c>
      <c r="Z1726">
        <v>209</v>
      </c>
      <c r="AA1726">
        <v>0</v>
      </c>
      <c r="AB1726">
        <v>0</v>
      </c>
      <c r="AC1726">
        <v>0</v>
      </c>
      <c r="AD1726">
        <v>0</v>
      </c>
      <c r="AE1726">
        <v>0</v>
      </c>
      <c r="AF1726" t="b">
        <v>0</v>
      </c>
    </row>
    <row r="1727" spans="1:35" x14ac:dyDescent="0.3">
      <c r="A1727" t="s">
        <v>3466</v>
      </c>
      <c r="B1727" t="s">
        <v>3467</v>
      </c>
      <c r="C1727" t="s">
        <v>1434</v>
      </c>
      <c r="D1727">
        <v>1280</v>
      </c>
      <c r="E1727">
        <v>12207</v>
      </c>
      <c r="F1727">
        <v>44</v>
      </c>
      <c r="G1727">
        <v>180</v>
      </c>
      <c r="H1727">
        <v>60</v>
      </c>
      <c r="I1727">
        <v>1</v>
      </c>
      <c r="J1727">
        <v>1</v>
      </c>
      <c r="K1727" t="s">
        <v>86</v>
      </c>
      <c r="P1727">
        <v>0</v>
      </c>
      <c r="R1727">
        <v>0</v>
      </c>
      <c r="T1727">
        <v>0</v>
      </c>
      <c r="U1727" t="b">
        <v>0</v>
      </c>
      <c r="V1727">
        <v>55.472744360902247</v>
      </c>
      <c r="Y1727">
        <v>0</v>
      </c>
      <c r="Z1727">
        <v>331</v>
      </c>
      <c r="AA1727">
        <v>3.8239369139052903E-2</v>
      </c>
      <c r="AB1727">
        <v>9.0431486942060992</v>
      </c>
      <c r="AC1727">
        <v>7.1804136692616802E-2</v>
      </c>
      <c r="AD1727">
        <v>9.6018216894904904E-2</v>
      </c>
      <c r="AE1727">
        <v>0</v>
      </c>
      <c r="AF1727" t="b">
        <v>0</v>
      </c>
    </row>
    <row r="1728" spans="1:35" x14ac:dyDescent="0.3">
      <c r="A1728" t="s">
        <v>3468</v>
      </c>
      <c r="B1728" t="s">
        <v>3469</v>
      </c>
      <c r="C1728" t="s">
        <v>431</v>
      </c>
      <c r="D1728">
        <v>108</v>
      </c>
      <c r="E1728">
        <v>1554</v>
      </c>
      <c r="F1728">
        <v>16</v>
      </c>
      <c r="G1728">
        <v>120</v>
      </c>
      <c r="H1728">
        <v>60</v>
      </c>
      <c r="I1728">
        <v>1</v>
      </c>
      <c r="J1728">
        <v>1</v>
      </c>
      <c r="K1728" t="s">
        <v>432</v>
      </c>
      <c r="L1728">
        <v>0.63472378804960539</v>
      </c>
      <c r="M1728">
        <v>1</v>
      </c>
      <c r="N1728">
        <v>1</v>
      </c>
      <c r="O1728" t="s">
        <v>433</v>
      </c>
      <c r="P1728">
        <v>0</v>
      </c>
      <c r="R1728">
        <v>0</v>
      </c>
      <c r="T1728">
        <v>0</v>
      </c>
      <c r="U1728" t="b">
        <v>0</v>
      </c>
      <c r="V1728">
        <v>0</v>
      </c>
      <c r="Y1728">
        <v>0</v>
      </c>
      <c r="Z1728">
        <v>87</v>
      </c>
      <c r="AA1728">
        <v>0</v>
      </c>
      <c r="AB1728">
        <v>0</v>
      </c>
      <c r="AC1728">
        <v>0</v>
      </c>
      <c r="AD1728">
        <v>0</v>
      </c>
      <c r="AE1728">
        <v>0</v>
      </c>
      <c r="AF1728" t="b">
        <v>0</v>
      </c>
    </row>
    <row r="1729" spans="1:32" x14ac:dyDescent="0.3">
      <c r="A1729" t="s">
        <v>3470</v>
      </c>
      <c r="B1729" t="s">
        <v>3471</v>
      </c>
      <c r="C1729" t="s">
        <v>549</v>
      </c>
      <c r="D1729">
        <v>255</v>
      </c>
      <c r="E1729">
        <v>6244</v>
      </c>
      <c r="F1729">
        <v>13</v>
      </c>
      <c r="G1729">
        <v>60</v>
      </c>
      <c r="H1729">
        <v>60</v>
      </c>
      <c r="I1729">
        <v>1</v>
      </c>
      <c r="J1729">
        <v>1</v>
      </c>
      <c r="K1729" t="s">
        <v>86</v>
      </c>
      <c r="P1729">
        <v>0</v>
      </c>
      <c r="R1729">
        <v>0</v>
      </c>
      <c r="T1729">
        <v>0</v>
      </c>
      <c r="U1729" t="b">
        <v>0</v>
      </c>
      <c r="V1729">
        <v>7.0617977528089888</v>
      </c>
      <c r="Y1729">
        <v>0</v>
      </c>
      <c r="Z1729">
        <v>288</v>
      </c>
      <c r="AA1729">
        <v>2.0849468488990101E-2</v>
      </c>
      <c r="AB1729">
        <v>1.816054894179894</v>
      </c>
      <c r="AC1729">
        <v>4.7313361864002998E-3</v>
      </c>
      <c r="AD1729">
        <v>4.5809474232170702E-2</v>
      </c>
      <c r="AE1729">
        <v>0</v>
      </c>
      <c r="AF1729" t="b">
        <v>0</v>
      </c>
    </row>
    <row r="1730" spans="1:32" x14ac:dyDescent="0.3">
      <c r="A1730" t="s">
        <v>3472</v>
      </c>
      <c r="B1730" t="s">
        <v>3473</v>
      </c>
      <c r="C1730" t="s">
        <v>549</v>
      </c>
      <c r="D1730">
        <v>93</v>
      </c>
      <c r="E1730">
        <v>366</v>
      </c>
      <c r="F1730">
        <v>20</v>
      </c>
      <c r="G1730">
        <v>1200</v>
      </c>
      <c r="H1730">
        <v>60</v>
      </c>
      <c r="I1730">
        <v>1</v>
      </c>
      <c r="J1730">
        <v>1</v>
      </c>
      <c r="K1730" t="s">
        <v>86</v>
      </c>
      <c r="P1730">
        <v>0</v>
      </c>
      <c r="R1730">
        <v>0</v>
      </c>
      <c r="T1730">
        <v>0</v>
      </c>
      <c r="U1730" t="b">
        <v>0</v>
      </c>
      <c r="Y1730">
        <v>0</v>
      </c>
      <c r="Z1730">
        <v>1</v>
      </c>
      <c r="AA1730">
        <v>0</v>
      </c>
      <c r="AB1730">
        <v>0</v>
      </c>
      <c r="AE1730">
        <v>0</v>
      </c>
      <c r="AF1730" t="b">
        <v>0</v>
      </c>
    </row>
    <row r="1731" spans="1:32" x14ac:dyDescent="0.3">
      <c r="A1731" t="s">
        <v>3474</v>
      </c>
      <c r="B1731" t="s">
        <v>3475</v>
      </c>
      <c r="C1731" t="s">
        <v>549</v>
      </c>
      <c r="D1731">
        <v>239</v>
      </c>
      <c r="E1731">
        <v>2151</v>
      </c>
      <c r="F1731">
        <v>52</v>
      </c>
      <c r="G1731">
        <v>240</v>
      </c>
      <c r="H1731">
        <v>60</v>
      </c>
      <c r="I1731">
        <v>1</v>
      </c>
      <c r="J1731">
        <v>1</v>
      </c>
      <c r="K1731" t="s">
        <v>432</v>
      </c>
      <c r="L1731">
        <v>9.0060997488338707E-2</v>
      </c>
      <c r="M1731">
        <v>1</v>
      </c>
      <c r="N1731">
        <v>1</v>
      </c>
      <c r="O1731" t="s">
        <v>433</v>
      </c>
      <c r="P1731">
        <v>0</v>
      </c>
      <c r="R1731">
        <v>0</v>
      </c>
      <c r="T1731">
        <v>0</v>
      </c>
      <c r="U1731" t="b">
        <v>0</v>
      </c>
      <c r="V1731">
        <v>15.71428571428571</v>
      </c>
      <c r="Y1731">
        <v>8.7549336203803299E-2</v>
      </c>
      <c r="Z1731">
        <v>0</v>
      </c>
      <c r="AE1731">
        <v>0</v>
      </c>
      <c r="AF1731" t="b">
        <v>0</v>
      </c>
    </row>
    <row r="1732" spans="1:32" x14ac:dyDescent="0.3">
      <c r="A1732" t="s">
        <v>3476</v>
      </c>
      <c r="B1732" t="s">
        <v>3477</v>
      </c>
      <c r="C1732" t="s">
        <v>431</v>
      </c>
      <c r="D1732">
        <v>136</v>
      </c>
      <c r="E1732">
        <v>4917</v>
      </c>
      <c r="F1732">
        <v>100</v>
      </c>
      <c r="G1732">
        <v>39</v>
      </c>
      <c r="H1732">
        <v>1</v>
      </c>
      <c r="I1732">
        <v>1.3829570876550699E-2</v>
      </c>
      <c r="J1732">
        <v>0.15099940629329109</v>
      </c>
      <c r="K1732" t="s">
        <v>432</v>
      </c>
      <c r="L1732">
        <v>0.86542647931921635</v>
      </c>
      <c r="M1732">
        <v>1</v>
      </c>
      <c r="N1732">
        <v>1.89801051909444E-2</v>
      </c>
      <c r="O1732" t="s">
        <v>433</v>
      </c>
      <c r="P1732">
        <v>4290</v>
      </c>
      <c r="Q1732">
        <v>0.98088578088578082</v>
      </c>
      <c r="R1732">
        <v>0</v>
      </c>
      <c r="T1732">
        <v>0</v>
      </c>
      <c r="U1732" t="b">
        <v>0</v>
      </c>
      <c r="V1732">
        <v>0</v>
      </c>
      <c r="Y1732">
        <v>0</v>
      </c>
      <c r="Z1732">
        <v>347</v>
      </c>
      <c r="AA1732">
        <v>0</v>
      </c>
      <c r="AB1732">
        <v>0</v>
      </c>
      <c r="AC1732">
        <v>0</v>
      </c>
      <c r="AD1732">
        <v>0</v>
      </c>
      <c r="AE1732">
        <v>0</v>
      </c>
      <c r="AF1732" t="b">
        <v>0</v>
      </c>
    </row>
    <row r="1733" spans="1:32" x14ac:dyDescent="0.3">
      <c r="A1733" t="s">
        <v>3478</v>
      </c>
      <c r="B1733" t="s">
        <v>3479</v>
      </c>
      <c r="C1733" t="s">
        <v>431</v>
      </c>
      <c r="D1733">
        <v>70</v>
      </c>
      <c r="E1733">
        <v>1000</v>
      </c>
      <c r="F1733">
        <v>14</v>
      </c>
      <c r="G1733">
        <v>180</v>
      </c>
      <c r="H1733">
        <v>60</v>
      </c>
      <c r="I1733">
        <v>1</v>
      </c>
      <c r="J1733">
        <v>1</v>
      </c>
      <c r="K1733" t="s">
        <v>432</v>
      </c>
      <c r="L1733">
        <v>3.6900369003690001E-3</v>
      </c>
      <c r="M1733">
        <v>1</v>
      </c>
      <c r="N1733">
        <v>1</v>
      </c>
      <c r="O1733" t="s">
        <v>433</v>
      </c>
      <c r="P1733">
        <v>0</v>
      </c>
      <c r="R1733">
        <v>0</v>
      </c>
      <c r="T1733">
        <v>0</v>
      </c>
      <c r="U1733" t="b">
        <v>0</v>
      </c>
      <c r="Y1733">
        <v>0</v>
      </c>
      <c r="Z1733">
        <v>80</v>
      </c>
      <c r="AA1733">
        <v>0</v>
      </c>
      <c r="AB1733">
        <v>0</v>
      </c>
      <c r="AE1733">
        <v>0</v>
      </c>
      <c r="AF1733" t="b">
        <v>0</v>
      </c>
    </row>
    <row r="1734" spans="1:32" x14ac:dyDescent="0.3">
      <c r="A1734" t="s">
        <v>3480</v>
      </c>
      <c r="B1734" t="s">
        <v>3481</v>
      </c>
      <c r="C1734" t="s">
        <v>431</v>
      </c>
      <c r="D1734">
        <v>214</v>
      </c>
      <c r="E1734">
        <v>5322</v>
      </c>
      <c r="F1734">
        <v>104</v>
      </c>
      <c r="G1734">
        <v>58</v>
      </c>
      <c r="H1734">
        <v>1</v>
      </c>
      <c r="I1734">
        <v>0.26644118752348739</v>
      </c>
      <c r="J1734">
        <v>0.5842960288808664</v>
      </c>
      <c r="K1734" t="s">
        <v>432</v>
      </c>
      <c r="L1734">
        <v>0.84963898916967506</v>
      </c>
      <c r="M1734">
        <v>1</v>
      </c>
      <c r="N1734">
        <v>0.5107287019332909</v>
      </c>
      <c r="O1734" t="s">
        <v>433</v>
      </c>
      <c r="P1734">
        <v>855</v>
      </c>
      <c r="Q1734">
        <v>1</v>
      </c>
      <c r="R1734">
        <v>0</v>
      </c>
      <c r="T1734">
        <v>0</v>
      </c>
      <c r="U1734" t="b">
        <v>0</v>
      </c>
      <c r="V1734">
        <v>1.36986301369862E-2</v>
      </c>
      <c r="Y1734">
        <v>0</v>
      </c>
      <c r="Z1734">
        <v>122</v>
      </c>
      <c r="AA1734">
        <v>2.9325699745546999E-2</v>
      </c>
      <c r="AB1734">
        <v>1.889344262295082</v>
      </c>
      <c r="AC1734">
        <v>5.4773082942089998E-4</v>
      </c>
      <c r="AD1734">
        <v>4.1079812206569997E-4</v>
      </c>
      <c r="AE1734">
        <v>0</v>
      </c>
      <c r="AF1734" t="b">
        <v>0</v>
      </c>
    </row>
    <row r="1735" spans="1:32" x14ac:dyDescent="0.3">
      <c r="A1735" t="s">
        <v>3482</v>
      </c>
      <c r="B1735" t="s">
        <v>3483</v>
      </c>
      <c r="C1735" t="s">
        <v>474</v>
      </c>
      <c r="D1735">
        <v>4411</v>
      </c>
      <c r="E1735">
        <v>137477</v>
      </c>
      <c r="F1735">
        <v>250</v>
      </c>
      <c r="G1735">
        <v>57</v>
      </c>
      <c r="H1735">
        <v>1</v>
      </c>
      <c r="I1735">
        <v>3.5976927049615498E-2</v>
      </c>
      <c r="J1735">
        <v>0.2120310169157589</v>
      </c>
      <c r="K1735" t="s">
        <v>86</v>
      </c>
      <c r="P1735">
        <v>0</v>
      </c>
      <c r="R1735">
        <v>0</v>
      </c>
      <c r="T1735">
        <v>0</v>
      </c>
      <c r="U1735" t="b">
        <v>0</v>
      </c>
      <c r="V1735">
        <v>4.0621071154355182</v>
      </c>
      <c r="Y1735">
        <v>0</v>
      </c>
      <c r="Z1735">
        <v>1824</v>
      </c>
      <c r="AA1735">
        <v>-1.25704225413659E-2</v>
      </c>
      <c r="AB1735">
        <v>-0.88917480348775935</v>
      </c>
      <c r="AC1735">
        <v>-1.69581871302616E-2</v>
      </c>
      <c r="AD1735">
        <v>-7.9201055679891993E-3</v>
      </c>
      <c r="AE1735">
        <v>0</v>
      </c>
      <c r="AF1735" t="b">
        <v>0</v>
      </c>
    </row>
    <row r="1736" spans="1:32" x14ac:dyDescent="0.3">
      <c r="A1736" t="s">
        <v>3484</v>
      </c>
      <c r="B1736" t="s">
        <v>3485</v>
      </c>
      <c r="C1736" t="s">
        <v>431</v>
      </c>
      <c r="D1736">
        <v>59</v>
      </c>
      <c r="E1736">
        <v>646</v>
      </c>
      <c r="F1736">
        <v>78</v>
      </c>
      <c r="G1736">
        <v>66</v>
      </c>
      <c r="H1736">
        <v>1</v>
      </c>
      <c r="I1736">
        <v>0.24458204334365319</v>
      </c>
      <c r="J1736">
        <v>0.46950354609929079</v>
      </c>
      <c r="K1736" t="s">
        <v>432</v>
      </c>
      <c r="L1736">
        <v>0.53475177304964538</v>
      </c>
      <c r="M1736">
        <v>1</v>
      </c>
      <c r="N1736">
        <v>7.9575596816976006E-3</v>
      </c>
      <c r="O1736" t="s">
        <v>433</v>
      </c>
      <c r="P1736">
        <v>374</v>
      </c>
      <c r="Q1736">
        <v>0.87700534759358284</v>
      </c>
      <c r="R1736">
        <v>0</v>
      </c>
      <c r="T1736">
        <v>0</v>
      </c>
      <c r="U1736" t="b">
        <v>0</v>
      </c>
      <c r="Y1736">
        <v>0</v>
      </c>
      <c r="Z1736">
        <v>34</v>
      </c>
      <c r="AA1736">
        <v>0</v>
      </c>
      <c r="AB1736">
        <v>0</v>
      </c>
      <c r="AE1736">
        <v>0</v>
      </c>
      <c r="AF1736" t="b">
        <v>0</v>
      </c>
    </row>
    <row r="1737" spans="1:32" x14ac:dyDescent="0.3">
      <c r="A1737" t="s">
        <v>3486</v>
      </c>
      <c r="B1737" t="s">
        <v>3487</v>
      </c>
      <c r="C1737" t="s">
        <v>431</v>
      </c>
      <c r="D1737">
        <v>504</v>
      </c>
      <c r="E1737">
        <v>12187</v>
      </c>
      <c r="F1737">
        <v>11</v>
      </c>
      <c r="G1737">
        <v>60</v>
      </c>
      <c r="H1737">
        <v>60</v>
      </c>
      <c r="I1737">
        <v>1</v>
      </c>
      <c r="J1737">
        <v>1</v>
      </c>
      <c r="K1737" t="s">
        <v>432</v>
      </c>
      <c r="L1737">
        <v>0.85080538684974916</v>
      </c>
      <c r="M1737">
        <v>1</v>
      </c>
      <c r="N1737">
        <v>1</v>
      </c>
      <c r="O1737" t="s">
        <v>433</v>
      </c>
      <c r="P1737">
        <v>0</v>
      </c>
      <c r="R1737">
        <v>0</v>
      </c>
      <c r="T1737">
        <v>0</v>
      </c>
      <c r="U1737" t="b">
        <v>0</v>
      </c>
      <c r="V1737">
        <v>0.77777777777777779</v>
      </c>
      <c r="Y1737">
        <v>0</v>
      </c>
      <c r="Z1737">
        <v>433</v>
      </c>
      <c r="AA1737">
        <v>-8.969472995342E-4</v>
      </c>
      <c r="AB1737">
        <v>-7.6872319366545594E-2</v>
      </c>
      <c r="AC1737">
        <v>-3.5128805620608002E-3</v>
      </c>
      <c r="AD1737">
        <v>-4.7619047619046999E-3</v>
      </c>
      <c r="AE1737">
        <v>0</v>
      </c>
      <c r="AF1737" t="b">
        <v>0</v>
      </c>
    </row>
    <row r="1738" spans="1:32" x14ac:dyDescent="0.3">
      <c r="A1738" t="s">
        <v>3488</v>
      </c>
      <c r="B1738" t="s">
        <v>3489</v>
      </c>
      <c r="C1738" t="s">
        <v>847</v>
      </c>
      <c r="D1738">
        <v>1258</v>
      </c>
      <c r="E1738">
        <v>32222</v>
      </c>
      <c r="F1738">
        <v>31</v>
      </c>
      <c r="G1738">
        <v>60</v>
      </c>
      <c r="H1738">
        <v>60</v>
      </c>
      <c r="I1738">
        <v>1</v>
      </c>
      <c r="J1738">
        <v>1</v>
      </c>
      <c r="K1738" t="s">
        <v>86</v>
      </c>
      <c r="P1738">
        <v>0</v>
      </c>
      <c r="R1738">
        <v>0</v>
      </c>
      <c r="T1738">
        <v>0</v>
      </c>
      <c r="U1738" t="b">
        <v>0</v>
      </c>
      <c r="V1738">
        <v>7.281569691928258</v>
      </c>
      <c r="Y1738">
        <v>0</v>
      </c>
      <c r="Z1738">
        <v>836</v>
      </c>
      <c r="AA1738">
        <v>5.4694378361454403E-2</v>
      </c>
      <c r="AB1738">
        <v>4.7109187596029702</v>
      </c>
      <c r="AC1738">
        <v>4.4511862132283302E-2</v>
      </c>
      <c r="AD1738">
        <v>2.6880665526947799E-2</v>
      </c>
      <c r="AE1738">
        <v>0</v>
      </c>
      <c r="AF1738" t="b">
        <v>0</v>
      </c>
    </row>
    <row r="1739" spans="1:32" x14ac:dyDescent="0.3">
      <c r="A1739" t="s">
        <v>3490</v>
      </c>
      <c r="B1739" t="s">
        <v>3491</v>
      </c>
      <c r="C1739" t="s">
        <v>431</v>
      </c>
      <c r="D1739">
        <v>233</v>
      </c>
      <c r="E1739">
        <v>9061</v>
      </c>
      <c r="F1739">
        <v>138</v>
      </c>
      <c r="G1739">
        <v>43</v>
      </c>
      <c r="H1739">
        <v>1</v>
      </c>
      <c r="I1739">
        <v>1.8430636795055699E-2</v>
      </c>
      <c r="J1739">
        <v>0.13352700667097051</v>
      </c>
      <c r="K1739" t="s">
        <v>432</v>
      </c>
      <c r="L1739">
        <v>0.88508715300193674</v>
      </c>
      <c r="M1739">
        <v>1</v>
      </c>
      <c r="N1739">
        <v>2.1030877704838299E-2</v>
      </c>
      <c r="O1739" t="s">
        <v>433</v>
      </c>
      <c r="P1739">
        <v>8053</v>
      </c>
      <c r="Q1739">
        <v>0.82292313423568852</v>
      </c>
      <c r="R1739">
        <v>0</v>
      </c>
      <c r="T1739">
        <v>0</v>
      </c>
      <c r="U1739" t="b">
        <v>0</v>
      </c>
      <c r="V1739">
        <v>0.20849933598937581</v>
      </c>
      <c r="Y1739">
        <v>0</v>
      </c>
      <c r="Z1739">
        <v>618</v>
      </c>
      <c r="AA1739">
        <v>-7.5272115058338E-3</v>
      </c>
      <c r="AB1739">
        <v>-0.3999653259361996</v>
      </c>
      <c r="AC1739">
        <v>4.5956096764410001E-3</v>
      </c>
      <c r="AD1739">
        <v>8.2999226278398994E-3</v>
      </c>
      <c r="AE1739">
        <v>0</v>
      </c>
      <c r="AF1739" t="b">
        <v>0</v>
      </c>
    </row>
    <row r="1740" spans="1:32" x14ac:dyDescent="0.3">
      <c r="A1740" t="s">
        <v>3492</v>
      </c>
      <c r="B1740" t="s">
        <v>3493</v>
      </c>
      <c r="C1740" t="s">
        <v>431</v>
      </c>
      <c r="D1740">
        <v>59</v>
      </c>
      <c r="E1740">
        <v>589</v>
      </c>
      <c r="F1740">
        <v>38</v>
      </c>
      <c r="G1740">
        <v>780</v>
      </c>
      <c r="H1740">
        <v>60</v>
      </c>
      <c r="I1740">
        <v>1</v>
      </c>
      <c r="J1740">
        <v>1</v>
      </c>
      <c r="K1740" t="s">
        <v>86</v>
      </c>
      <c r="P1740">
        <v>0</v>
      </c>
      <c r="R1740">
        <v>0</v>
      </c>
      <c r="T1740">
        <v>0</v>
      </c>
      <c r="U1740" t="b">
        <v>0</v>
      </c>
      <c r="Y1740">
        <v>0</v>
      </c>
      <c r="Z1740">
        <v>0</v>
      </c>
      <c r="AE1740">
        <v>0</v>
      </c>
      <c r="AF1740" t="b">
        <v>0</v>
      </c>
    </row>
    <row r="1741" spans="1:32" x14ac:dyDescent="0.3">
      <c r="A1741" t="s">
        <v>3494</v>
      </c>
      <c r="B1741" t="s">
        <v>3495</v>
      </c>
      <c r="C1741" t="s">
        <v>831</v>
      </c>
      <c r="D1741">
        <v>10715</v>
      </c>
      <c r="E1741">
        <v>197036</v>
      </c>
      <c r="F1741">
        <v>12</v>
      </c>
      <c r="G1741">
        <v>60</v>
      </c>
      <c r="H1741">
        <v>60</v>
      </c>
      <c r="I1741">
        <v>1</v>
      </c>
      <c r="J1741">
        <v>1</v>
      </c>
      <c r="K1741" t="s">
        <v>86</v>
      </c>
      <c r="P1741">
        <v>0</v>
      </c>
      <c r="R1741">
        <v>0</v>
      </c>
      <c r="T1741">
        <v>0</v>
      </c>
      <c r="U1741" t="b">
        <v>0</v>
      </c>
      <c r="V1741">
        <v>3.1874482187241089</v>
      </c>
      <c r="Y1741">
        <v>0</v>
      </c>
      <c r="Z1741">
        <v>5012</v>
      </c>
      <c r="AA1741">
        <v>1.6551662950906199E-2</v>
      </c>
      <c r="AB1741">
        <v>1.444310076763242</v>
      </c>
      <c r="AC1741">
        <v>2.58516947007905E-2</v>
      </c>
      <c r="AD1741">
        <v>1.44877738754473E-2</v>
      </c>
      <c r="AE1741">
        <v>0</v>
      </c>
      <c r="AF1741" t="b">
        <v>0</v>
      </c>
    </row>
    <row r="1742" spans="1:32" x14ac:dyDescent="0.3">
      <c r="A1742" t="s">
        <v>3496</v>
      </c>
      <c r="B1742" t="s">
        <v>3497</v>
      </c>
      <c r="C1742" t="s">
        <v>431</v>
      </c>
      <c r="D1742">
        <v>320</v>
      </c>
      <c r="E1742">
        <v>2225</v>
      </c>
      <c r="F1742">
        <v>12</v>
      </c>
      <c r="G1742">
        <v>180</v>
      </c>
      <c r="H1742">
        <v>60</v>
      </c>
      <c r="I1742">
        <v>1</v>
      </c>
      <c r="J1742">
        <v>1</v>
      </c>
      <c r="K1742" t="s">
        <v>432</v>
      </c>
      <c r="L1742">
        <v>7.8492935635789997E-4</v>
      </c>
      <c r="M1742">
        <v>1</v>
      </c>
      <c r="O1742" t="s">
        <v>433</v>
      </c>
      <c r="P1742">
        <v>0</v>
      </c>
      <c r="R1742">
        <v>0</v>
      </c>
      <c r="T1742">
        <v>0</v>
      </c>
      <c r="U1742" t="b">
        <v>0</v>
      </c>
      <c r="V1742">
        <v>0</v>
      </c>
      <c r="Y1742">
        <v>7.8492935635789997E-4</v>
      </c>
      <c r="Z1742">
        <v>69</v>
      </c>
      <c r="AA1742">
        <v>-3.5437941663695998E-3</v>
      </c>
      <c r="AB1742">
        <v>-0.74220465524813273</v>
      </c>
      <c r="AC1742">
        <v>-5.1775374528965998E-3</v>
      </c>
      <c r="AD1742">
        <v>0</v>
      </c>
      <c r="AE1742">
        <v>0</v>
      </c>
      <c r="AF1742" t="b">
        <v>0</v>
      </c>
    </row>
    <row r="1743" spans="1:32" x14ac:dyDescent="0.3">
      <c r="A1743" t="s">
        <v>3498</v>
      </c>
      <c r="B1743" t="s">
        <v>3499</v>
      </c>
      <c r="C1743" t="s">
        <v>431</v>
      </c>
      <c r="D1743">
        <v>83</v>
      </c>
      <c r="E1743">
        <v>793</v>
      </c>
      <c r="F1743">
        <v>7</v>
      </c>
      <c r="G1743">
        <v>120</v>
      </c>
      <c r="H1743">
        <v>60</v>
      </c>
      <c r="I1743">
        <v>1</v>
      </c>
      <c r="J1743">
        <v>1</v>
      </c>
      <c r="K1743" t="s">
        <v>432</v>
      </c>
      <c r="L1743">
        <v>0.55289672544080604</v>
      </c>
      <c r="M1743">
        <v>1</v>
      </c>
      <c r="N1743">
        <v>1</v>
      </c>
      <c r="O1743" t="s">
        <v>433</v>
      </c>
      <c r="P1743">
        <v>0</v>
      </c>
      <c r="R1743">
        <v>0</v>
      </c>
      <c r="T1743">
        <v>0</v>
      </c>
      <c r="U1743" t="b">
        <v>0</v>
      </c>
      <c r="Y1743">
        <v>0.38790931989924432</v>
      </c>
      <c r="Z1743">
        <v>60</v>
      </c>
      <c r="AA1743">
        <v>0</v>
      </c>
      <c r="AB1743">
        <v>0</v>
      </c>
      <c r="AE1743">
        <v>0</v>
      </c>
      <c r="AF1743" t="b">
        <v>0</v>
      </c>
    </row>
    <row r="1744" spans="1:32" x14ac:dyDescent="0.3">
      <c r="A1744" t="s">
        <v>3500</v>
      </c>
      <c r="B1744" t="s">
        <v>3501</v>
      </c>
      <c r="C1744" t="s">
        <v>431</v>
      </c>
      <c r="D1744">
        <v>112</v>
      </c>
      <c r="E1744">
        <v>3906</v>
      </c>
      <c r="F1744">
        <v>8</v>
      </c>
      <c r="G1744">
        <v>60</v>
      </c>
      <c r="H1744">
        <v>60</v>
      </c>
      <c r="I1744">
        <v>1</v>
      </c>
      <c r="J1744">
        <v>1</v>
      </c>
      <c r="K1744" t="s">
        <v>432</v>
      </c>
      <c r="L1744">
        <v>0.80981595092024539</v>
      </c>
      <c r="M1744">
        <v>1</v>
      </c>
      <c r="N1744">
        <v>1</v>
      </c>
      <c r="O1744" t="s">
        <v>433</v>
      </c>
      <c r="P1744">
        <v>0</v>
      </c>
      <c r="R1744">
        <v>0</v>
      </c>
      <c r="T1744">
        <v>0</v>
      </c>
      <c r="U1744" t="b">
        <v>0</v>
      </c>
      <c r="V1744">
        <v>0</v>
      </c>
      <c r="Y1744">
        <v>0</v>
      </c>
      <c r="Z1744">
        <v>276</v>
      </c>
      <c r="AA1744">
        <v>0</v>
      </c>
      <c r="AB1744">
        <v>0</v>
      </c>
      <c r="AC1744">
        <v>0</v>
      </c>
      <c r="AD1744">
        <v>0</v>
      </c>
      <c r="AE1744">
        <v>0</v>
      </c>
      <c r="AF1744" t="b">
        <v>0</v>
      </c>
    </row>
    <row r="1745" spans="1:35" x14ac:dyDescent="0.3">
      <c r="A1745" t="s">
        <v>3502</v>
      </c>
      <c r="B1745" t="s">
        <v>3503</v>
      </c>
      <c r="C1745" t="s">
        <v>431</v>
      </c>
      <c r="D1745">
        <v>120</v>
      </c>
      <c r="E1745">
        <v>565</v>
      </c>
      <c r="F1745">
        <v>15</v>
      </c>
      <c r="G1745">
        <v>1800</v>
      </c>
      <c r="H1745">
        <v>300</v>
      </c>
      <c r="I1745">
        <v>1</v>
      </c>
      <c r="J1745">
        <v>1</v>
      </c>
      <c r="K1745" t="s">
        <v>86</v>
      </c>
      <c r="P1745">
        <v>0</v>
      </c>
      <c r="R1745">
        <v>0</v>
      </c>
      <c r="T1745">
        <v>0</v>
      </c>
      <c r="U1745" t="b">
        <v>0</v>
      </c>
      <c r="Y1745">
        <v>0</v>
      </c>
      <c r="Z1745">
        <v>0</v>
      </c>
      <c r="AE1745">
        <v>0</v>
      </c>
      <c r="AF1745" t="b">
        <v>0</v>
      </c>
    </row>
    <row r="1746" spans="1:35" x14ac:dyDescent="0.3">
      <c r="A1746" t="s">
        <v>3504</v>
      </c>
      <c r="B1746" t="s">
        <v>3505</v>
      </c>
      <c r="C1746" t="s">
        <v>431</v>
      </c>
      <c r="D1746">
        <v>421</v>
      </c>
      <c r="E1746">
        <v>7925</v>
      </c>
      <c r="F1746">
        <v>4</v>
      </c>
      <c r="G1746">
        <v>60</v>
      </c>
      <c r="H1746">
        <v>60</v>
      </c>
      <c r="I1746">
        <v>1</v>
      </c>
      <c r="J1746">
        <v>1</v>
      </c>
      <c r="K1746" t="s">
        <v>86</v>
      </c>
      <c r="P1746">
        <v>0</v>
      </c>
      <c r="R1746">
        <v>0</v>
      </c>
      <c r="T1746">
        <v>0</v>
      </c>
      <c r="U1746" t="b">
        <v>0</v>
      </c>
      <c r="V1746">
        <v>0</v>
      </c>
      <c r="Y1746">
        <v>0</v>
      </c>
      <c r="Z1746">
        <v>352</v>
      </c>
      <c r="AA1746">
        <v>-9.3034643163169997E-4</v>
      </c>
      <c r="AB1746">
        <v>-6.1688311688311598E-2</v>
      </c>
      <c r="AC1746">
        <v>-4.9751243781093997E-3</v>
      </c>
      <c r="AD1746">
        <v>6.9348127600550005E-4</v>
      </c>
      <c r="AE1746">
        <v>0</v>
      </c>
      <c r="AF1746" t="b">
        <v>0</v>
      </c>
    </row>
    <row r="1747" spans="1:35" x14ac:dyDescent="0.3">
      <c r="A1747" t="s">
        <v>3506</v>
      </c>
      <c r="B1747" t="s">
        <v>3507</v>
      </c>
      <c r="C1747" t="s">
        <v>431</v>
      </c>
      <c r="D1747">
        <v>511</v>
      </c>
      <c r="E1747">
        <v>9637</v>
      </c>
      <c r="F1747">
        <v>237</v>
      </c>
      <c r="G1747">
        <v>55</v>
      </c>
      <c r="H1747">
        <v>1</v>
      </c>
      <c r="I1747">
        <v>1.8678011829407402E-2</v>
      </c>
      <c r="J1747">
        <v>0.18476547102877411</v>
      </c>
      <c r="K1747" t="s">
        <v>432</v>
      </c>
      <c r="L1747">
        <v>0.83001576665352783</v>
      </c>
      <c r="M1747">
        <v>1</v>
      </c>
      <c r="N1747">
        <v>1.7808381811705999E-2</v>
      </c>
      <c r="O1747" t="s">
        <v>433</v>
      </c>
      <c r="P1747">
        <v>8273</v>
      </c>
      <c r="Q1747">
        <v>0.75244772150368666</v>
      </c>
      <c r="R1747">
        <v>0</v>
      </c>
      <c r="T1747">
        <v>0</v>
      </c>
      <c r="U1747" t="b">
        <v>0</v>
      </c>
      <c r="V1747">
        <v>0</v>
      </c>
      <c r="Y1747">
        <v>0</v>
      </c>
      <c r="Z1747">
        <v>453</v>
      </c>
      <c r="AA1747">
        <v>4.748165055051131E-5</v>
      </c>
      <c r="AB1747">
        <v>3.9551140544517999E-3</v>
      </c>
      <c r="AC1747">
        <v>0</v>
      </c>
      <c r="AD1747">
        <v>-3.6560843336786298E-5</v>
      </c>
      <c r="AE1747">
        <v>0</v>
      </c>
      <c r="AF1747" t="b">
        <v>0</v>
      </c>
    </row>
    <row r="1748" spans="1:35" x14ac:dyDescent="0.3">
      <c r="A1748" t="s">
        <v>3508</v>
      </c>
      <c r="B1748" t="s">
        <v>3509</v>
      </c>
      <c r="C1748" t="s">
        <v>428</v>
      </c>
      <c r="D1748">
        <v>1262</v>
      </c>
      <c r="E1748">
        <v>54301</v>
      </c>
      <c r="F1748">
        <v>21</v>
      </c>
      <c r="G1748">
        <v>60</v>
      </c>
      <c r="H1748">
        <v>60</v>
      </c>
      <c r="I1748">
        <v>1</v>
      </c>
      <c r="J1748">
        <v>1</v>
      </c>
      <c r="K1748" t="s">
        <v>86</v>
      </c>
      <c r="P1748">
        <v>0</v>
      </c>
      <c r="R1748">
        <v>0</v>
      </c>
      <c r="T1748">
        <v>0</v>
      </c>
      <c r="U1748" t="b">
        <v>0</v>
      </c>
      <c r="V1748">
        <v>9.169014084507042</v>
      </c>
      <c r="Y1748">
        <v>0</v>
      </c>
      <c r="Z1748">
        <v>850</v>
      </c>
      <c r="AA1748">
        <v>2.73816510706964E-2</v>
      </c>
      <c r="AB1748">
        <v>2.5248459383753499</v>
      </c>
      <c r="AC1748">
        <v>3.9700515917956397E-2</v>
      </c>
      <c r="AD1748">
        <v>9.2242736510662601E-2</v>
      </c>
      <c r="AE1748">
        <v>0</v>
      </c>
      <c r="AF1748" t="b">
        <v>0</v>
      </c>
    </row>
    <row r="1749" spans="1:35" x14ac:dyDescent="0.3">
      <c r="A1749" t="s">
        <v>3510</v>
      </c>
      <c r="B1749" t="s">
        <v>3511</v>
      </c>
      <c r="C1749" t="s">
        <v>428</v>
      </c>
      <c r="D1749">
        <v>2743</v>
      </c>
      <c r="E1749">
        <v>77170</v>
      </c>
      <c r="F1749">
        <v>14</v>
      </c>
      <c r="G1749">
        <v>60</v>
      </c>
      <c r="H1749">
        <v>60</v>
      </c>
      <c r="I1749">
        <v>1</v>
      </c>
      <c r="J1749">
        <v>1</v>
      </c>
      <c r="K1749" t="s">
        <v>86</v>
      </c>
      <c r="P1749">
        <v>0</v>
      </c>
      <c r="R1749">
        <v>0</v>
      </c>
      <c r="T1749">
        <v>0</v>
      </c>
      <c r="U1749" t="b">
        <v>0</v>
      </c>
      <c r="V1749">
        <v>5.903177728420447</v>
      </c>
      <c r="Y1749">
        <v>0</v>
      </c>
      <c r="Z1749">
        <v>2097</v>
      </c>
      <c r="AA1749">
        <v>1.7028124763021998E-2</v>
      </c>
      <c r="AB1749">
        <v>1.5392779212521699</v>
      </c>
      <c r="AC1749">
        <v>9.0060559100908003E-3</v>
      </c>
      <c r="AD1749">
        <v>2.74983473736303E-2</v>
      </c>
      <c r="AE1749">
        <v>0</v>
      </c>
      <c r="AF1749" t="b">
        <v>0</v>
      </c>
    </row>
    <row r="1750" spans="1:35" x14ac:dyDescent="0.3">
      <c r="A1750" t="s">
        <v>3512</v>
      </c>
      <c r="B1750" t="s">
        <v>3513</v>
      </c>
      <c r="C1750" t="s">
        <v>428</v>
      </c>
      <c r="D1750">
        <v>1221</v>
      </c>
      <c r="E1750">
        <v>22723</v>
      </c>
      <c r="F1750">
        <v>6</v>
      </c>
      <c r="G1750">
        <v>60</v>
      </c>
      <c r="H1750">
        <v>60</v>
      </c>
      <c r="I1750">
        <v>1</v>
      </c>
      <c r="J1750">
        <v>1</v>
      </c>
      <c r="K1750" t="s">
        <v>86</v>
      </c>
      <c r="P1750">
        <v>0</v>
      </c>
      <c r="R1750">
        <v>0</v>
      </c>
      <c r="T1750">
        <v>1</v>
      </c>
      <c r="U1750" t="b">
        <v>1</v>
      </c>
      <c r="V1750">
        <v>1.6536263736263741</v>
      </c>
      <c r="W1750">
        <v>0</v>
      </c>
      <c r="X1750" t="b">
        <v>1</v>
      </c>
      <c r="Y1750">
        <v>0</v>
      </c>
      <c r="Z1750">
        <v>500</v>
      </c>
      <c r="AA1750">
        <v>-4.4180687764425004E-3</v>
      </c>
      <c r="AB1750">
        <v>-0.37583169771405073</v>
      </c>
      <c r="AC1750">
        <v>5.1538156711339001E-3</v>
      </c>
      <c r="AD1750">
        <v>-1.1439603108360299E-2</v>
      </c>
      <c r="AE1750">
        <v>1</v>
      </c>
      <c r="AF1750" t="b">
        <v>1</v>
      </c>
      <c r="AG1750">
        <v>0</v>
      </c>
      <c r="AH1750">
        <v>0</v>
      </c>
      <c r="AI1750" t="b">
        <v>0</v>
      </c>
    </row>
    <row r="1751" spans="1:35" x14ac:dyDescent="0.3">
      <c r="A1751" t="s">
        <v>3514</v>
      </c>
      <c r="B1751" t="s">
        <v>3515</v>
      </c>
      <c r="C1751" t="s">
        <v>428</v>
      </c>
      <c r="D1751">
        <v>6510</v>
      </c>
      <c r="E1751">
        <v>182910</v>
      </c>
      <c r="F1751">
        <v>12</v>
      </c>
      <c r="G1751">
        <v>60</v>
      </c>
      <c r="H1751">
        <v>60</v>
      </c>
      <c r="I1751">
        <v>1</v>
      </c>
      <c r="J1751">
        <v>1</v>
      </c>
      <c r="K1751" t="s">
        <v>86</v>
      </c>
      <c r="P1751">
        <v>0</v>
      </c>
      <c r="R1751">
        <v>0</v>
      </c>
      <c r="T1751">
        <v>1</v>
      </c>
      <c r="U1751" t="b">
        <v>1</v>
      </c>
      <c r="V1751">
        <v>1.887841386554622</v>
      </c>
      <c r="W1751">
        <v>2.5041736227044999E-2</v>
      </c>
      <c r="X1751" t="b">
        <v>1</v>
      </c>
      <c r="Y1751">
        <v>0</v>
      </c>
      <c r="Z1751">
        <v>3371</v>
      </c>
      <c r="AA1751">
        <v>8.2514987302036002E-3</v>
      </c>
      <c r="AB1751">
        <v>0.76650428670389492</v>
      </c>
      <c r="AC1751">
        <v>2.8372900864717999E-3</v>
      </c>
      <c r="AD1751">
        <v>1.41382935553938E-2</v>
      </c>
      <c r="AE1751">
        <v>1</v>
      </c>
      <c r="AF1751" t="b">
        <v>1</v>
      </c>
      <c r="AG1751">
        <v>-1.254390366281E-4</v>
      </c>
      <c r="AH1751">
        <v>-1.25208681135225E-2</v>
      </c>
      <c r="AI1751" t="b">
        <v>1</v>
      </c>
    </row>
    <row r="1752" spans="1:35" x14ac:dyDescent="0.3">
      <c r="A1752" t="s">
        <v>3516</v>
      </c>
      <c r="B1752" t="s">
        <v>3517</v>
      </c>
      <c r="C1752" t="s">
        <v>431</v>
      </c>
      <c r="D1752">
        <v>176</v>
      </c>
      <c r="E1752">
        <v>901</v>
      </c>
      <c r="F1752">
        <v>12</v>
      </c>
      <c r="G1752">
        <v>300</v>
      </c>
      <c r="H1752">
        <v>60</v>
      </c>
      <c r="I1752">
        <v>1</v>
      </c>
      <c r="J1752">
        <v>1</v>
      </c>
      <c r="K1752" t="s">
        <v>86</v>
      </c>
      <c r="P1752">
        <v>0</v>
      </c>
      <c r="R1752">
        <v>0</v>
      </c>
      <c r="T1752">
        <v>0</v>
      </c>
      <c r="U1752" t="b">
        <v>0</v>
      </c>
      <c r="Y1752">
        <v>0</v>
      </c>
      <c r="Z1752">
        <v>18</v>
      </c>
      <c r="AA1752">
        <v>0</v>
      </c>
      <c r="AB1752">
        <v>0</v>
      </c>
      <c r="AE1752">
        <v>0</v>
      </c>
      <c r="AF1752" t="b">
        <v>0</v>
      </c>
    </row>
    <row r="1753" spans="1:35" x14ac:dyDescent="0.3">
      <c r="A1753" t="s">
        <v>3518</v>
      </c>
      <c r="B1753" t="s">
        <v>3519</v>
      </c>
      <c r="C1753" t="s">
        <v>1434</v>
      </c>
      <c r="D1753">
        <v>118</v>
      </c>
      <c r="E1753">
        <v>2403</v>
      </c>
      <c r="F1753">
        <v>11</v>
      </c>
      <c r="G1753">
        <v>60</v>
      </c>
      <c r="H1753">
        <v>60</v>
      </c>
      <c r="I1753">
        <v>1</v>
      </c>
      <c r="J1753">
        <v>1</v>
      </c>
      <c r="K1753" t="s">
        <v>86</v>
      </c>
      <c r="P1753">
        <v>0</v>
      </c>
      <c r="R1753">
        <v>0</v>
      </c>
      <c r="T1753">
        <v>0</v>
      </c>
      <c r="U1753" t="b">
        <v>0</v>
      </c>
      <c r="V1753">
        <v>5.8030303030303028</v>
      </c>
      <c r="Y1753">
        <v>0</v>
      </c>
      <c r="Z1753">
        <v>45</v>
      </c>
      <c r="AA1753">
        <v>0.15916389811738649</v>
      </c>
      <c r="AB1753">
        <v>18.25079365079365</v>
      </c>
      <c r="AC1753">
        <v>0.1554726368159203</v>
      </c>
      <c r="AD1753">
        <v>0.15718816067653271</v>
      </c>
      <c r="AE1753">
        <v>0</v>
      </c>
      <c r="AF1753" t="b">
        <v>0</v>
      </c>
    </row>
    <row r="1754" spans="1:35" x14ac:dyDescent="0.3">
      <c r="A1754" t="s">
        <v>3520</v>
      </c>
      <c r="B1754" t="s">
        <v>3521</v>
      </c>
      <c r="C1754" t="s">
        <v>1434</v>
      </c>
      <c r="D1754">
        <v>57</v>
      </c>
      <c r="E1754">
        <v>538</v>
      </c>
      <c r="F1754">
        <v>21</v>
      </c>
      <c r="G1754">
        <v>300</v>
      </c>
      <c r="H1754">
        <v>60</v>
      </c>
      <c r="I1754">
        <v>1</v>
      </c>
      <c r="J1754">
        <v>1</v>
      </c>
      <c r="K1754" t="s">
        <v>86</v>
      </c>
      <c r="P1754">
        <v>0</v>
      </c>
      <c r="R1754">
        <v>0</v>
      </c>
      <c r="T1754">
        <v>0</v>
      </c>
      <c r="U1754" t="b">
        <v>0</v>
      </c>
      <c r="Y1754">
        <v>0</v>
      </c>
      <c r="Z1754">
        <v>0</v>
      </c>
      <c r="AE1754">
        <v>0</v>
      </c>
      <c r="AF1754" t="b">
        <v>0</v>
      </c>
    </row>
    <row r="1755" spans="1:35" x14ac:dyDescent="0.3">
      <c r="A1755" t="s">
        <v>3522</v>
      </c>
      <c r="B1755" t="s">
        <v>3523</v>
      </c>
      <c r="C1755" t="s">
        <v>1434</v>
      </c>
      <c r="D1755">
        <v>157</v>
      </c>
      <c r="E1755">
        <v>2656</v>
      </c>
      <c r="F1755">
        <v>30</v>
      </c>
      <c r="G1755">
        <v>120</v>
      </c>
      <c r="H1755">
        <v>60</v>
      </c>
      <c r="I1755">
        <v>1</v>
      </c>
      <c r="J1755">
        <v>1</v>
      </c>
      <c r="K1755" t="s">
        <v>86</v>
      </c>
      <c r="P1755">
        <v>0</v>
      </c>
      <c r="R1755">
        <v>0</v>
      </c>
      <c r="T1755">
        <v>0</v>
      </c>
      <c r="U1755" t="b">
        <v>0</v>
      </c>
      <c r="V1755">
        <v>6.8518518518518521</v>
      </c>
      <c r="Y1755">
        <v>0</v>
      </c>
      <c r="Z1755">
        <v>122</v>
      </c>
      <c r="AA1755">
        <v>4.6108183972574303E-2</v>
      </c>
      <c r="AB1755">
        <v>11.73302107728337</v>
      </c>
      <c r="AC1755">
        <v>0.1157186544342507</v>
      </c>
      <c r="AD1755">
        <v>6.2108559498956099E-2</v>
      </c>
      <c r="AE1755">
        <v>0</v>
      </c>
      <c r="AF1755" t="b">
        <v>0</v>
      </c>
    </row>
    <row r="1756" spans="1:35" x14ac:dyDescent="0.3">
      <c r="A1756" t="s">
        <v>3524</v>
      </c>
      <c r="B1756" t="s">
        <v>3525</v>
      </c>
      <c r="C1756" t="s">
        <v>1434</v>
      </c>
      <c r="D1756">
        <v>123</v>
      </c>
      <c r="E1756">
        <v>1459</v>
      </c>
      <c r="F1756">
        <v>19</v>
      </c>
      <c r="G1756">
        <v>180</v>
      </c>
      <c r="H1756">
        <v>60</v>
      </c>
      <c r="I1756">
        <v>1</v>
      </c>
      <c r="J1756">
        <v>1</v>
      </c>
      <c r="K1756" t="s">
        <v>86</v>
      </c>
      <c r="P1756">
        <v>0</v>
      </c>
      <c r="R1756">
        <v>0</v>
      </c>
      <c r="T1756">
        <v>0</v>
      </c>
      <c r="U1756" t="b">
        <v>0</v>
      </c>
      <c r="V1756">
        <v>0</v>
      </c>
      <c r="Y1756">
        <v>0</v>
      </c>
      <c r="Z1756">
        <v>67</v>
      </c>
      <c r="AA1756">
        <v>5.8685446009380002E-4</v>
      </c>
      <c r="AB1756">
        <v>0.2238805970149253</v>
      </c>
      <c r="AC1756">
        <v>5.7471264367815996E-3</v>
      </c>
      <c r="AD1756">
        <v>0</v>
      </c>
      <c r="AE1756">
        <v>0</v>
      </c>
      <c r="AF1756" t="b">
        <v>0</v>
      </c>
    </row>
    <row r="1757" spans="1:35" x14ac:dyDescent="0.3">
      <c r="A1757" t="s">
        <v>3526</v>
      </c>
      <c r="B1757" t="s">
        <v>3527</v>
      </c>
      <c r="C1757" t="s">
        <v>1434</v>
      </c>
      <c r="D1757">
        <v>218</v>
      </c>
      <c r="E1757">
        <v>3664</v>
      </c>
      <c r="F1757">
        <v>28</v>
      </c>
      <c r="G1757">
        <v>120</v>
      </c>
      <c r="H1757">
        <v>60</v>
      </c>
      <c r="I1757">
        <v>1</v>
      </c>
      <c r="J1757">
        <v>1</v>
      </c>
      <c r="K1757" t="s">
        <v>86</v>
      </c>
      <c r="P1757">
        <v>0</v>
      </c>
      <c r="R1757">
        <v>0</v>
      </c>
      <c r="T1757">
        <v>0</v>
      </c>
      <c r="U1757" t="b">
        <v>0</v>
      </c>
      <c r="V1757">
        <v>20</v>
      </c>
      <c r="Y1757">
        <v>0</v>
      </c>
      <c r="Z1757">
        <v>154</v>
      </c>
      <c r="AA1757">
        <v>1.5927844943388898E-2</v>
      </c>
      <c r="AB1757">
        <v>2.6948051948051952</v>
      </c>
      <c r="AE1757">
        <v>0</v>
      </c>
      <c r="AF1757" t="b">
        <v>0</v>
      </c>
    </row>
    <row r="1758" spans="1:35" x14ac:dyDescent="0.3">
      <c r="A1758" t="s">
        <v>3528</v>
      </c>
      <c r="B1758" t="s">
        <v>3529</v>
      </c>
      <c r="C1758" t="s">
        <v>1434</v>
      </c>
      <c r="D1758">
        <v>206</v>
      </c>
      <c r="E1758">
        <v>2020</v>
      </c>
      <c r="F1758">
        <v>17</v>
      </c>
      <c r="G1758">
        <v>300</v>
      </c>
      <c r="H1758">
        <v>60</v>
      </c>
      <c r="I1758">
        <v>1</v>
      </c>
      <c r="J1758">
        <v>1</v>
      </c>
      <c r="K1758" t="s">
        <v>86</v>
      </c>
      <c r="P1758">
        <v>0</v>
      </c>
      <c r="R1758">
        <v>0</v>
      </c>
      <c r="T1758">
        <v>0</v>
      </c>
      <c r="U1758" t="b">
        <v>0</v>
      </c>
      <c r="V1758">
        <v>3.2</v>
      </c>
      <c r="Y1758">
        <v>0</v>
      </c>
      <c r="Z1758">
        <v>66</v>
      </c>
      <c r="AA1758">
        <v>-5.9523809523799999E-4</v>
      </c>
      <c r="AB1758">
        <v>-0.34632034632034597</v>
      </c>
      <c r="AC1758">
        <v>-6.8027210884349996E-4</v>
      </c>
      <c r="AD1758">
        <v>2.8835063437138999E-3</v>
      </c>
      <c r="AE1758">
        <v>0</v>
      </c>
      <c r="AF1758" t="b">
        <v>0</v>
      </c>
    </row>
    <row r="1759" spans="1:35" x14ac:dyDescent="0.3">
      <c r="A1759" t="s">
        <v>3530</v>
      </c>
      <c r="B1759" t="s">
        <v>3531</v>
      </c>
      <c r="C1759" t="s">
        <v>1434</v>
      </c>
      <c r="D1759">
        <v>254</v>
      </c>
      <c r="E1759">
        <v>1252</v>
      </c>
      <c r="F1759">
        <v>23</v>
      </c>
      <c r="G1759">
        <v>480</v>
      </c>
      <c r="H1759">
        <v>60</v>
      </c>
      <c r="I1759">
        <v>1</v>
      </c>
      <c r="J1759">
        <v>1</v>
      </c>
      <c r="K1759" t="s">
        <v>86</v>
      </c>
      <c r="P1759">
        <v>0</v>
      </c>
      <c r="R1759">
        <v>0</v>
      </c>
      <c r="T1759">
        <v>0</v>
      </c>
      <c r="U1759" t="b">
        <v>0</v>
      </c>
      <c r="Y1759">
        <v>0</v>
      </c>
      <c r="Z1759">
        <v>27</v>
      </c>
      <c r="AA1759">
        <v>-9.9158091674462004E-3</v>
      </c>
      <c r="AB1759">
        <v>-5.6084656084656093</v>
      </c>
      <c r="AD1759">
        <v>1.6129032258064498E-2</v>
      </c>
      <c r="AE1759">
        <v>0</v>
      </c>
      <c r="AF1759" t="b">
        <v>0</v>
      </c>
    </row>
    <row r="1760" spans="1:35" x14ac:dyDescent="0.3">
      <c r="A1760" t="s">
        <v>3532</v>
      </c>
      <c r="B1760" t="s">
        <v>3533</v>
      </c>
      <c r="C1760" t="s">
        <v>537</v>
      </c>
      <c r="D1760">
        <v>1652</v>
      </c>
      <c r="E1760">
        <v>21246</v>
      </c>
      <c r="F1760">
        <v>31</v>
      </c>
      <c r="G1760">
        <v>240</v>
      </c>
      <c r="H1760">
        <v>60</v>
      </c>
      <c r="I1760">
        <v>1</v>
      </c>
      <c r="J1760">
        <v>1</v>
      </c>
      <c r="K1760" t="s">
        <v>432</v>
      </c>
      <c r="L1760">
        <v>2.160853969488E-4</v>
      </c>
      <c r="M1760">
        <v>1</v>
      </c>
      <c r="N1760">
        <v>1</v>
      </c>
      <c r="O1760" t="s">
        <v>518</v>
      </c>
      <c r="P1760">
        <v>0</v>
      </c>
      <c r="R1760">
        <v>0</v>
      </c>
      <c r="T1760">
        <v>0</v>
      </c>
      <c r="U1760" t="b">
        <v>0</v>
      </c>
      <c r="Y1760">
        <v>0</v>
      </c>
      <c r="Z1760">
        <v>209</v>
      </c>
      <c r="AA1760">
        <v>-7.6297686053782999E-3</v>
      </c>
      <c r="AB1760">
        <v>-1.167464114832536</v>
      </c>
      <c r="AC1760">
        <v>-6.6666666666666596E-2</v>
      </c>
      <c r="AD1760">
        <v>-1.1111111111111099E-2</v>
      </c>
      <c r="AE1760">
        <v>0</v>
      </c>
      <c r="AF1760" t="b">
        <v>0</v>
      </c>
    </row>
    <row r="1761" spans="1:32" x14ac:dyDescent="0.3">
      <c r="A1761" t="s">
        <v>3534</v>
      </c>
      <c r="B1761" t="s">
        <v>3535</v>
      </c>
      <c r="C1761" t="s">
        <v>573</v>
      </c>
      <c r="D1761">
        <v>287</v>
      </c>
      <c r="E1761">
        <v>1813</v>
      </c>
      <c r="F1761">
        <v>47</v>
      </c>
      <c r="G1761">
        <v>300</v>
      </c>
      <c r="H1761">
        <v>60</v>
      </c>
      <c r="I1761">
        <v>1</v>
      </c>
      <c r="J1761">
        <v>1</v>
      </c>
      <c r="K1761" t="s">
        <v>86</v>
      </c>
      <c r="P1761">
        <v>0</v>
      </c>
      <c r="R1761">
        <v>0</v>
      </c>
      <c r="T1761">
        <v>0</v>
      </c>
      <c r="U1761" t="b">
        <v>0</v>
      </c>
      <c r="Y1761">
        <v>0</v>
      </c>
      <c r="Z1761">
        <v>12</v>
      </c>
      <c r="AA1761">
        <v>-3.7267080745340998E-3</v>
      </c>
      <c r="AB1761">
        <v>-1.25</v>
      </c>
      <c r="AE1761">
        <v>0</v>
      </c>
      <c r="AF1761" t="b">
        <v>0</v>
      </c>
    </row>
    <row r="1762" spans="1:32" x14ac:dyDescent="0.3">
      <c r="A1762" t="s">
        <v>3536</v>
      </c>
      <c r="B1762" t="s">
        <v>3537</v>
      </c>
      <c r="C1762" t="s">
        <v>431</v>
      </c>
      <c r="D1762">
        <v>72</v>
      </c>
      <c r="E1762">
        <v>54</v>
      </c>
      <c r="F1762">
        <v>4</v>
      </c>
      <c r="G1762">
        <v>300</v>
      </c>
      <c r="H1762">
        <v>60</v>
      </c>
      <c r="I1762">
        <v>1</v>
      </c>
      <c r="J1762">
        <v>1</v>
      </c>
      <c r="K1762" t="s">
        <v>432</v>
      </c>
      <c r="L1762">
        <v>0.7142857142857143</v>
      </c>
      <c r="M1762">
        <v>1</v>
      </c>
      <c r="N1762">
        <v>1</v>
      </c>
      <c r="O1762" t="s">
        <v>433</v>
      </c>
      <c r="P1762">
        <v>0</v>
      </c>
      <c r="R1762">
        <v>0</v>
      </c>
      <c r="T1762">
        <v>0</v>
      </c>
      <c r="U1762" t="b">
        <v>0</v>
      </c>
      <c r="Y1762">
        <v>0.5892857142857143</v>
      </c>
      <c r="Z1762">
        <v>0</v>
      </c>
      <c r="AE1762">
        <v>0</v>
      </c>
      <c r="AF1762" t="b">
        <v>0</v>
      </c>
    </row>
    <row r="1763" spans="1:32" x14ac:dyDescent="0.3">
      <c r="A1763" t="s">
        <v>3538</v>
      </c>
      <c r="B1763" t="s">
        <v>3539</v>
      </c>
      <c r="C1763" t="s">
        <v>431</v>
      </c>
      <c r="D1763">
        <v>67</v>
      </c>
      <c r="E1763">
        <v>737</v>
      </c>
      <c r="F1763">
        <v>6</v>
      </c>
      <c r="G1763">
        <v>120</v>
      </c>
      <c r="H1763">
        <v>60</v>
      </c>
      <c r="I1763">
        <v>1</v>
      </c>
      <c r="J1763">
        <v>1</v>
      </c>
      <c r="K1763" t="s">
        <v>432</v>
      </c>
      <c r="L1763">
        <v>0.125</v>
      </c>
      <c r="M1763">
        <v>1</v>
      </c>
      <c r="O1763" t="s">
        <v>518</v>
      </c>
      <c r="P1763">
        <v>0</v>
      </c>
      <c r="R1763">
        <v>0</v>
      </c>
      <c r="T1763">
        <v>0</v>
      </c>
      <c r="U1763" t="b">
        <v>0</v>
      </c>
      <c r="Y1763">
        <v>0.125</v>
      </c>
      <c r="Z1763">
        <v>11</v>
      </c>
      <c r="AA1763">
        <v>0</v>
      </c>
      <c r="AB1763">
        <v>0</v>
      </c>
      <c r="AC1763">
        <v>0</v>
      </c>
      <c r="AD1763">
        <v>0</v>
      </c>
      <c r="AE1763">
        <v>0</v>
      </c>
      <c r="AF1763" t="b">
        <v>0</v>
      </c>
    </row>
    <row r="1764" spans="1:32" x14ac:dyDescent="0.3">
      <c r="A1764" t="s">
        <v>3540</v>
      </c>
      <c r="B1764" t="s">
        <v>3541</v>
      </c>
      <c r="C1764" t="s">
        <v>3542</v>
      </c>
      <c r="D1764">
        <v>611</v>
      </c>
      <c r="E1764">
        <v>18752</v>
      </c>
      <c r="F1764">
        <v>15</v>
      </c>
      <c r="G1764">
        <v>60</v>
      </c>
      <c r="H1764">
        <v>60</v>
      </c>
      <c r="I1764">
        <v>1</v>
      </c>
      <c r="J1764">
        <v>1</v>
      </c>
      <c r="K1764" t="s">
        <v>432</v>
      </c>
      <c r="L1764">
        <v>0.89256729610285257</v>
      </c>
      <c r="M1764">
        <v>1</v>
      </c>
      <c r="N1764">
        <v>1</v>
      </c>
      <c r="O1764" t="s">
        <v>433</v>
      </c>
      <c r="P1764">
        <v>0</v>
      </c>
      <c r="R1764">
        <v>0</v>
      </c>
      <c r="T1764">
        <v>0</v>
      </c>
      <c r="U1764" t="b">
        <v>0</v>
      </c>
      <c r="V1764">
        <v>1.476646073660999</v>
      </c>
      <c r="Y1764">
        <v>0</v>
      </c>
      <c r="Z1764">
        <v>652</v>
      </c>
      <c r="AA1764">
        <v>-2.4386245391233999E-3</v>
      </c>
      <c r="AB1764">
        <v>-0.18988637970954819</v>
      </c>
      <c r="AC1764">
        <v>-2.3669098931534162E-5</v>
      </c>
      <c r="AD1764">
        <v>3.3730109338358399E-5</v>
      </c>
      <c r="AE1764">
        <v>0</v>
      </c>
      <c r="AF1764" t="b">
        <v>0</v>
      </c>
    </row>
    <row r="1765" spans="1:32" x14ac:dyDescent="0.3">
      <c r="A1765" t="s">
        <v>3543</v>
      </c>
      <c r="B1765" t="s">
        <v>3544</v>
      </c>
      <c r="C1765" t="s">
        <v>549</v>
      </c>
      <c r="D1765">
        <v>160</v>
      </c>
      <c r="E1765">
        <v>3428</v>
      </c>
      <c r="F1765">
        <v>98</v>
      </c>
      <c r="G1765">
        <v>60</v>
      </c>
      <c r="H1765">
        <v>1</v>
      </c>
      <c r="I1765">
        <v>0.41277712952158691</v>
      </c>
      <c r="J1765">
        <v>0.55905713553676661</v>
      </c>
      <c r="K1765" t="s">
        <v>86</v>
      </c>
      <c r="P1765">
        <v>0</v>
      </c>
      <c r="R1765">
        <v>0</v>
      </c>
      <c r="T1765">
        <v>0</v>
      </c>
      <c r="U1765" t="b">
        <v>0</v>
      </c>
      <c r="Y1765">
        <v>0</v>
      </c>
      <c r="Z1765">
        <v>192</v>
      </c>
      <c r="AA1765">
        <v>-6.9424014523473002E-3</v>
      </c>
      <c r="AB1765">
        <v>-0.51357886904761907</v>
      </c>
      <c r="AC1765">
        <v>0</v>
      </c>
      <c r="AD1765">
        <v>0</v>
      </c>
      <c r="AE1765">
        <v>0</v>
      </c>
      <c r="AF1765" t="b">
        <v>0</v>
      </c>
    </row>
    <row r="1766" spans="1:32" x14ac:dyDescent="0.3">
      <c r="A1766" t="s">
        <v>3545</v>
      </c>
      <c r="B1766" t="s">
        <v>3546</v>
      </c>
      <c r="C1766" t="s">
        <v>549</v>
      </c>
      <c r="D1766">
        <v>129</v>
      </c>
      <c r="E1766">
        <v>321</v>
      </c>
      <c r="F1766">
        <v>14</v>
      </c>
      <c r="G1766">
        <v>120</v>
      </c>
      <c r="H1766">
        <v>60</v>
      </c>
      <c r="I1766">
        <v>1</v>
      </c>
      <c r="J1766">
        <v>1</v>
      </c>
      <c r="K1766" t="s">
        <v>86</v>
      </c>
      <c r="P1766">
        <v>0</v>
      </c>
      <c r="R1766">
        <v>0</v>
      </c>
      <c r="T1766">
        <v>0</v>
      </c>
      <c r="U1766" t="b">
        <v>0</v>
      </c>
      <c r="Y1766">
        <v>0</v>
      </c>
      <c r="Z1766">
        <v>0</v>
      </c>
      <c r="AE1766">
        <v>0</v>
      </c>
      <c r="AF1766" t="b">
        <v>0</v>
      </c>
    </row>
    <row r="1767" spans="1:32" x14ac:dyDescent="0.3">
      <c r="A1767" t="s">
        <v>3547</v>
      </c>
      <c r="B1767" t="s">
        <v>3548</v>
      </c>
      <c r="C1767" t="s">
        <v>549</v>
      </c>
      <c r="D1767">
        <v>805</v>
      </c>
      <c r="E1767">
        <v>28061</v>
      </c>
      <c r="F1767">
        <v>150</v>
      </c>
      <c r="G1767">
        <v>35</v>
      </c>
      <c r="H1767">
        <v>1</v>
      </c>
      <c r="I1767">
        <v>8.8378888849291997E-3</v>
      </c>
      <c r="J1767">
        <v>0.19001593570290301</v>
      </c>
      <c r="K1767" t="s">
        <v>432</v>
      </c>
      <c r="L1767">
        <v>0.82474191089863502</v>
      </c>
      <c r="M1767">
        <v>1</v>
      </c>
      <c r="N1767">
        <v>1.7893896753055801E-2</v>
      </c>
      <c r="O1767" t="s">
        <v>433</v>
      </c>
      <c r="P1767">
        <v>23381</v>
      </c>
      <c r="Q1767">
        <v>0.85920191608571062</v>
      </c>
      <c r="R1767">
        <v>0</v>
      </c>
      <c r="T1767">
        <v>0</v>
      </c>
      <c r="U1767" t="b">
        <v>0</v>
      </c>
      <c r="V1767">
        <v>3.1239984882842031</v>
      </c>
      <c r="Y1767">
        <v>0</v>
      </c>
      <c r="Z1767">
        <v>1103</v>
      </c>
      <c r="AA1767">
        <v>3.2297709533787203E-2</v>
      </c>
      <c r="AB1767">
        <v>1.3395854296806251</v>
      </c>
      <c r="AC1767">
        <v>3.2452875667084699E-2</v>
      </c>
      <c r="AD1767">
        <v>3.2446548483923997E-2</v>
      </c>
      <c r="AE1767">
        <v>0</v>
      </c>
      <c r="AF1767" t="b">
        <v>0</v>
      </c>
    </row>
    <row r="1768" spans="1:32" x14ac:dyDescent="0.3">
      <c r="A1768" t="s">
        <v>3549</v>
      </c>
      <c r="B1768" t="s">
        <v>3550</v>
      </c>
      <c r="C1768" t="s">
        <v>431</v>
      </c>
      <c r="D1768">
        <v>70</v>
      </c>
      <c r="E1768">
        <v>541</v>
      </c>
      <c r="F1768">
        <v>19</v>
      </c>
      <c r="G1768">
        <v>300</v>
      </c>
      <c r="H1768">
        <v>60</v>
      </c>
      <c r="I1768">
        <v>1</v>
      </c>
      <c r="J1768">
        <v>1</v>
      </c>
      <c r="K1768" t="s">
        <v>432</v>
      </c>
      <c r="L1768">
        <v>6.3675832127351603E-2</v>
      </c>
      <c r="M1768">
        <v>1</v>
      </c>
      <c r="O1768" t="s">
        <v>433</v>
      </c>
      <c r="P1768">
        <v>0</v>
      </c>
      <c r="R1768">
        <v>0</v>
      </c>
      <c r="T1768">
        <v>0</v>
      </c>
      <c r="U1768" t="b">
        <v>0</v>
      </c>
      <c r="Y1768">
        <v>6.3675832127351603E-2</v>
      </c>
      <c r="Z1768">
        <v>20</v>
      </c>
      <c r="AA1768">
        <v>-8.2508250825081998E-3</v>
      </c>
      <c r="AB1768">
        <v>-2.5</v>
      </c>
      <c r="AE1768">
        <v>0</v>
      </c>
      <c r="AF1768" t="b">
        <v>0</v>
      </c>
    </row>
    <row r="1769" spans="1:32" x14ac:dyDescent="0.3">
      <c r="A1769" t="s">
        <v>3551</v>
      </c>
      <c r="B1769" t="s">
        <v>3552</v>
      </c>
      <c r="C1769" t="s">
        <v>457</v>
      </c>
      <c r="D1769">
        <v>1109</v>
      </c>
      <c r="E1769">
        <v>41228</v>
      </c>
      <c r="F1769">
        <v>450</v>
      </c>
      <c r="G1769">
        <v>55</v>
      </c>
      <c r="H1769">
        <v>1</v>
      </c>
      <c r="I1769">
        <v>3.4151547491995699E-2</v>
      </c>
      <c r="J1769">
        <v>0.21083697320269151</v>
      </c>
      <c r="K1769" t="s">
        <v>432</v>
      </c>
      <c r="L1769">
        <v>0.90955023019714321</v>
      </c>
      <c r="M1769">
        <v>1</v>
      </c>
      <c r="N1769">
        <v>0.13235904890457889</v>
      </c>
      <c r="O1769" t="s">
        <v>433</v>
      </c>
      <c r="P1769">
        <v>33425</v>
      </c>
      <c r="Q1769">
        <v>0.19739715781600589</v>
      </c>
      <c r="R1769">
        <v>0</v>
      </c>
      <c r="T1769">
        <v>0</v>
      </c>
      <c r="U1769" t="b">
        <v>0</v>
      </c>
      <c r="V1769">
        <v>11.06888604681501</v>
      </c>
      <c r="Y1769">
        <v>0</v>
      </c>
      <c r="Z1769">
        <v>1389</v>
      </c>
      <c r="AA1769">
        <v>8.2084214125181895E-2</v>
      </c>
      <c r="AB1769">
        <v>5.4763753030673072</v>
      </c>
      <c r="AC1769">
        <v>7.1313616190293194E-2</v>
      </c>
      <c r="AD1769">
        <v>8.8133280657194807E-2</v>
      </c>
      <c r="AE1769">
        <v>0</v>
      </c>
      <c r="AF1769" t="b">
        <v>0</v>
      </c>
    </row>
    <row r="1770" spans="1:32" x14ac:dyDescent="0.3">
      <c r="A1770" t="s">
        <v>3553</v>
      </c>
      <c r="B1770" t="s">
        <v>3554</v>
      </c>
      <c r="C1770" t="s">
        <v>431</v>
      </c>
      <c r="D1770">
        <v>808</v>
      </c>
      <c r="E1770">
        <v>16545</v>
      </c>
      <c r="F1770">
        <v>185</v>
      </c>
      <c r="G1770">
        <v>53</v>
      </c>
      <c r="H1770">
        <v>1</v>
      </c>
      <c r="I1770">
        <v>2.1517074644907801E-2</v>
      </c>
      <c r="J1770">
        <v>0.17674177375669911</v>
      </c>
      <c r="K1770" t="s">
        <v>432</v>
      </c>
      <c r="L1770">
        <v>0.83651241860197079</v>
      </c>
      <c r="M1770">
        <v>1</v>
      </c>
      <c r="N1770">
        <v>1.5844585285202498E-2</v>
      </c>
      <c r="O1770" t="s">
        <v>433</v>
      </c>
      <c r="P1770">
        <v>14286</v>
      </c>
      <c r="Q1770">
        <v>0.1355172896542069</v>
      </c>
      <c r="R1770">
        <v>0</v>
      </c>
      <c r="T1770">
        <v>0</v>
      </c>
      <c r="U1770" t="b">
        <v>0</v>
      </c>
      <c r="Y1770">
        <v>0</v>
      </c>
      <c r="Z1770">
        <v>758</v>
      </c>
      <c r="AA1770">
        <v>-4.5932512169453996E-3</v>
      </c>
      <c r="AB1770">
        <v>-0.32447229551451179</v>
      </c>
      <c r="AC1770">
        <v>-7.0771408351025999E-3</v>
      </c>
      <c r="AD1770">
        <v>-3.1609299407627002E-3</v>
      </c>
      <c r="AE1770">
        <v>0</v>
      </c>
      <c r="AF1770" t="b">
        <v>0</v>
      </c>
    </row>
    <row r="1771" spans="1:32" x14ac:dyDescent="0.3">
      <c r="A1771" t="s">
        <v>3555</v>
      </c>
      <c r="B1771" t="s">
        <v>3556</v>
      </c>
      <c r="C1771" t="s">
        <v>431</v>
      </c>
      <c r="D1771">
        <v>237</v>
      </c>
      <c r="E1771">
        <v>150</v>
      </c>
      <c r="F1771">
        <v>8</v>
      </c>
      <c r="G1771">
        <v>120</v>
      </c>
      <c r="H1771">
        <v>60</v>
      </c>
      <c r="I1771">
        <v>0.94</v>
      </c>
      <c r="J1771">
        <v>0.98872180451127822</v>
      </c>
      <c r="K1771" t="s">
        <v>432</v>
      </c>
      <c r="L1771">
        <v>0.80364044383493327</v>
      </c>
      <c r="M1771">
        <v>0.98857142857142843</v>
      </c>
      <c r="N1771">
        <v>1</v>
      </c>
      <c r="O1771" t="s">
        <v>518</v>
      </c>
      <c r="P1771">
        <v>0</v>
      </c>
      <c r="R1771">
        <v>9</v>
      </c>
      <c r="S1771">
        <v>0</v>
      </c>
      <c r="T1771">
        <v>0</v>
      </c>
      <c r="U1771" t="b">
        <v>0</v>
      </c>
      <c r="V1771">
        <v>0</v>
      </c>
      <c r="Y1771">
        <v>0.80102231641939903</v>
      </c>
      <c r="Z1771">
        <v>6</v>
      </c>
      <c r="AA1771">
        <v>0</v>
      </c>
      <c r="AB1771">
        <v>0</v>
      </c>
      <c r="AC1771">
        <v>0</v>
      </c>
      <c r="AD1771">
        <v>0</v>
      </c>
      <c r="AE1771">
        <v>0</v>
      </c>
      <c r="AF1771" t="b">
        <v>0</v>
      </c>
    </row>
    <row r="1772" spans="1:32" x14ac:dyDescent="0.3">
      <c r="A1772" t="s">
        <v>3557</v>
      </c>
      <c r="B1772" t="s">
        <v>3558</v>
      </c>
      <c r="C1772" t="s">
        <v>1814</v>
      </c>
      <c r="D1772">
        <v>1184</v>
      </c>
      <c r="E1772">
        <v>47132</v>
      </c>
      <c r="F1772">
        <v>515</v>
      </c>
      <c r="G1772">
        <v>59</v>
      </c>
      <c r="H1772">
        <v>1</v>
      </c>
      <c r="I1772">
        <v>1.4554867181532699E-2</v>
      </c>
      <c r="J1772">
        <v>9.1394182547642894E-2</v>
      </c>
      <c r="K1772" t="s">
        <v>86</v>
      </c>
      <c r="P1772">
        <v>0</v>
      </c>
      <c r="R1772">
        <v>0</v>
      </c>
      <c r="T1772">
        <v>0</v>
      </c>
      <c r="U1772" t="b">
        <v>0</v>
      </c>
      <c r="V1772">
        <v>18.63333333333334</v>
      </c>
      <c r="Y1772">
        <v>0</v>
      </c>
      <c r="Z1772">
        <v>626</v>
      </c>
      <c r="AA1772">
        <v>7.2238184154590004E-4</v>
      </c>
      <c r="AB1772">
        <v>6.5335463258785698E-2</v>
      </c>
      <c r="AC1772">
        <v>-8.6138188238449501E-2</v>
      </c>
      <c r="AD1772">
        <v>0.1681677178105879</v>
      </c>
      <c r="AE1772">
        <v>0</v>
      </c>
      <c r="AF1772" t="b">
        <v>0</v>
      </c>
    </row>
    <row r="1773" spans="1:32" x14ac:dyDescent="0.3">
      <c r="A1773" t="s">
        <v>3559</v>
      </c>
      <c r="B1773" t="s">
        <v>3558</v>
      </c>
      <c r="C1773" t="s">
        <v>1814</v>
      </c>
      <c r="D1773">
        <v>140</v>
      </c>
      <c r="E1773">
        <v>5476</v>
      </c>
      <c r="F1773">
        <v>316</v>
      </c>
      <c r="G1773">
        <v>55</v>
      </c>
      <c r="H1773">
        <v>1</v>
      </c>
      <c r="I1773">
        <v>9.3133674214754998E-3</v>
      </c>
      <c r="J1773">
        <v>6.3568376068375995E-2</v>
      </c>
      <c r="K1773" t="s">
        <v>86</v>
      </c>
      <c r="P1773">
        <v>0</v>
      </c>
      <c r="R1773">
        <v>0</v>
      </c>
      <c r="T1773">
        <v>0</v>
      </c>
      <c r="U1773" t="b">
        <v>0</v>
      </c>
      <c r="Y1773">
        <v>0</v>
      </c>
      <c r="Z1773">
        <v>39</v>
      </c>
      <c r="AA1773">
        <v>-2.5951176599956001E-2</v>
      </c>
      <c r="AB1773">
        <v>-2.017094017094017</v>
      </c>
      <c r="AE1773">
        <v>0</v>
      </c>
      <c r="AF1773" t="b">
        <v>0</v>
      </c>
    </row>
    <row r="1774" spans="1:32" x14ac:dyDescent="0.3">
      <c r="A1774" t="s">
        <v>3560</v>
      </c>
      <c r="B1774" t="s">
        <v>3558</v>
      </c>
      <c r="C1774" t="s">
        <v>1814</v>
      </c>
      <c r="D1774">
        <v>3429</v>
      </c>
      <c r="E1774">
        <v>91553</v>
      </c>
      <c r="F1774">
        <v>506</v>
      </c>
      <c r="G1774">
        <v>70</v>
      </c>
      <c r="H1774">
        <v>1</v>
      </c>
      <c r="I1774">
        <v>1.47564798531997E-2</v>
      </c>
      <c r="J1774">
        <v>8.90695079067612E-2</v>
      </c>
      <c r="K1774" t="s">
        <v>86</v>
      </c>
      <c r="P1774">
        <v>0</v>
      </c>
      <c r="R1774">
        <v>0</v>
      </c>
      <c r="T1774">
        <v>0</v>
      </c>
      <c r="U1774" t="b">
        <v>0</v>
      </c>
      <c r="V1774">
        <v>7.4375744732066584</v>
      </c>
      <c r="Y1774">
        <v>0</v>
      </c>
      <c r="Z1774">
        <v>2449</v>
      </c>
      <c r="AA1774">
        <v>8.6111288357303806E-2</v>
      </c>
      <c r="AB1774">
        <v>7.7676694215589954</v>
      </c>
      <c r="AC1774">
        <v>9.4044062031428705E-2</v>
      </c>
      <c r="AD1774">
        <v>7.9854246003943904E-2</v>
      </c>
      <c r="AE1774">
        <v>0</v>
      </c>
      <c r="AF1774" t="b">
        <v>0</v>
      </c>
    </row>
    <row r="1775" spans="1:32" x14ac:dyDescent="0.3">
      <c r="A1775" t="s">
        <v>3561</v>
      </c>
      <c r="B1775" t="s">
        <v>3562</v>
      </c>
      <c r="C1775" t="s">
        <v>431</v>
      </c>
      <c r="D1775">
        <v>319</v>
      </c>
      <c r="E1775">
        <v>14850</v>
      </c>
      <c r="F1775">
        <v>168</v>
      </c>
      <c r="G1775">
        <v>34</v>
      </c>
      <c r="H1775">
        <v>1</v>
      </c>
      <c r="I1775">
        <v>1.91245791245791E-2</v>
      </c>
      <c r="J1775">
        <v>0.14503263234227701</v>
      </c>
      <c r="K1775" t="s">
        <v>432</v>
      </c>
      <c r="L1775">
        <v>0.86419671698859513</v>
      </c>
      <c r="M1775">
        <v>1</v>
      </c>
      <c r="N1775">
        <v>1.0679685712106099E-2</v>
      </c>
      <c r="O1775" t="s">
        <v>433</v>
      </c>
      <c r="P1775">
        <v>12969</v>
      </c>
      <c r="Q1775">
        <v>1</v>
      </c>
      <c r="R1775">
        <v>0</v>
      </c>
      <c r="T1775">
        <v>0</v>
      </c>
      <c r="U1775" t="b">
        <v>0</v>
      </c>
      <c r="Y1775">
        <v>0</v>
      </c>
      <c r="Z1775">
        <v>1068</v>
      </c>
      <c r="AA1775">
        <v>0</v>
      </c>
      <c r="AB1775">
        <v>0</v>
      </c>
      <c r="AC1775">
        <v>0</v>
      </c>
      <c r="AE1775">
        <v>0</v>
      </c>
      <c r="AF1775" t="b">
        <v>0</v>
      </c>
    </row>
    <row r="1776" spans="1:32" x14ac:dyDescent="0.3">
      <c r="A1776" t="s">
        <v>3563</v>
      </c>
      <c r="B1776" t="s">
        <v>3564</v>
      </c>
      <c r="C1776" t="s">
        <v>431</v>
      </c>
      <c r="D1776">
        <v>424</v>
      </c>
      <c r="E1776">
        <v>12712</v>
      </c>
      <c r="F1776">
        <v>109</v>
      </c>
      <c r="G1776">
        <v>46</v>
      </c>
      <c r="H1776">
        <v>1</v>
      </c>
      <c r="I1776">
        <v>7.8665827564504999E-3</v>
      </c>
      <c r="J1776">
        <v>6.4555420219244805E-2</v>
      </c>
      <c r="K1776" t="s">
        <v>432</v>
      </c>
      <c r="L1776">
        <v>0.93544457978075524</v>
      </c>
      <c r="M1776">
        <v>1</v>
      </c>
      <c r="N1776">
        <v>0</v>
      </c>
      <c r="O1776" t="s">
        <v>518</v>
      </c>
      <c r="P1776">
        <v>12288</v>
      </c>
      <c r="Q1776">
        <v>0</v>
      </c>
      <c r="R1776">
        <v>0</v>
      </c>
      <c r="T1776">
        <v>0</v>
      </c>
      <c r="U1776" t="b">
        <v>0</v>
      </c>
      <c r="V1776">
        <v>0</v>
      </c>
      <c r="Y1776">
        <v>0</v>
      </c>
      <c r="Z1776">
        <v>143</v>
      </c>
      <c r="AA1776">
        <v>-2.6094276094276001E-3</v>
      </c>
      <c r="AB1776">
        <v>-0.18065268065268059</v>
      </c>
      <c r="AC1776">
        <v>0</v>
      </c>
      <c r="AD1776">
        <v>-2.6094276094276001E-3</v>
      </c>
      <c r="AE1776">
        <v>0</v>
      </c>
      <c r="AF1776" t="b">
        <v>0</v>
      </c>
    </row>
    <row r="1777" spans="1:32" x14ac:dyDescent="0.3">
      <c r="A1777" t="s">
        <v>3565</v>
      </c>
      <c r="B1777" t="s">
        <v>3566</v>
      </c>
      <c r="C1777" t="s">
        <v>431</v>
      </c>
      <c r="D1777">
        <v>80</v>
      </c>
      <c r="E1777">
        <v>373</v>
      </c>
      <c r="F1777">
        <v>12</v>
      </c>
      <c r="G1777">
        <v>480</v>
      </c>
      <c r="H1777">
        <v>60</v>
      </c>
      <c r="I1777">
        <v>1</v>
      </c>
      <c r="J1777">
        <v>1</v>
      </c>
      <c r="K1777" t="s">
        <v>432</v>
      </c>
      <c r="L1777">
        <v>2.6402640264026399E-2</v>
      </c>
      <c r="M1777">
        <v>1</v>
      </c>
      <c r="N1777">
        <v>1</v>
      </c>
      <c r="O1777" t="s">
        <v>433</v>
      </c>
      <c r="P1777">
        <v>0</v>
      </c>
      <c r="R1777">
        <v>0</v>
      </c>
      <c r="T1777">
        <v>0</v>
      </c>
      <c r="U1777" t="b">
        <v>0</v>
      </c>
      <c r="V1777">
        <v>0</v>
      </c>
      <c r="Y1777">
        <v>0</v>
      </c>
      <c r="Z1777">
        <v>21</v>
      </c>
      <c r="AA1777">
        <v>2.27272727272727E-2</v>
      </c>
      <c r="AB1777">
        <v>10.71428571428571</v>
      </c>
      <c r="AC1777">
        <v>0</v>
      </c>
      <c r="AD1777">
        <v>0</v>
      </c>
      <c r="AE1777">
        <v>0</v>
      </c>
      <c r="AF1777" t="b">
        <v>0</v>
      </c>
    </row>
    <row r="1778" spans="1:32" x14ac:dyDescent="0.3">
      <c r="A1778" t="s">
        <v>3567</v>
      </c>
      <c r="B1778" t="s">
        <v>3568</v>
      </c>
      <c r="C1778" t="s">
        <v>760</v>
      </c>
      <c r="D1778">
        <v>877</v>
      </c>
      <c r="E1778">
        <v>7962</v>
      </c>
      <c r="F1778">
        <v>913</v>
      </c>
      <c r="G1778">
        <v>226</v>
      </c>
      <c r="H1778">
        <v>1</v>
      </c>
      <c r="I1778">
        <v>1.4694800301431801E-2</v>
      </c>
      <c r="J1778">
        <v>0.2098653693856771</v>
      </c>
      <c r="K1778" t="s">
        <v>432</v>
      </c>
      <c r="L1778">
        <v>0.80156126258626537</v>
      </c>
      <c r="M1778">
        <v>1</v>
      </c>
      <c r="N1778">
        <v>1.4255469301340799E-2</v>
      </c>
      <c r="O1778" t="s">
        <v>518</v>
      </c>
      <c r="P1778">
        <v>6984</v>
      </c>
      <c r="Q1778">
        <v>4.2955326460480999E-3</v>
      </c>
      <c r="R1778">
        <v>0</v>
      </c>
      <c r="T1778">
        <v>0</v>
      </c>
      <c r="U1778" t="b">
        <v>0</v>
      </c>
      <c r="Y1778">
        <v>0</v>
      </c>
      <c r="Z1778">
        <v>0</v>
      </c>
      <c r="AE1778">
        <v>0</v>
      </c>
      <c r="AF1778" t="b">
        <v>0</v>
      </c>
    </row>
    <row r="1779" spans="1:32" x14ac:dyDescent="0.3">
      <c r="A1779" t="s">
        <v>3569</v>
      </c>
      <c r="B1779" t="s">
        <v>3570</v>
      </c>
      <c r="C1779" t="s">
        <v>431</v>
      </c>
      <c r="D1779">
        <v>171</v>
      </c>
      <c r="E1779">
        <v>7109</v>
      </c>
      <c r="F1779">
        <v>314</v>
      </c>
      <c r="G1779">
        <v>50</v>
      </c>
      <c r="H1779">
        <v>1</v>
      </c>
      <c r="I1779">
        <v>2.8836685891123901E-2</v>
      </c>
      <c r="J1779">
        <v>0.22953296703296699</v>
      </c>
      <c r="K1779" t="s">
        <v>432</v>
      </c>
      <c r="L1779">
        <v>0.78351648351648351</v>
      </c>
      <c r="M1779">
        <v>1</v>
      </c>
      <c r="N1779">
        <v>1.6654978962131799E-2</v>
      </c>
      <c r="O1779" t="s">
        <v>433</v>
      </c>
      <c r="P1779">
        <v>5609</v>
      </c>
      <c r="Q1779">
        <v>0.99910857550365484</v>
      </c>
      <c r="R1779">
        <v>0</v>
      </c>
      <c r="T1779">
        <v>0</v>
      </c>
      <c r="U1779" t="b">
        <v>0</v>
      </c>
      <c r="Y1779">
        <v>0</v>
      </c>
      <c r="Z1779">
        <v>1</v>
      </c>
      <c r="AA1779">
        <v>0</v>
      </c>
      <c r="AB1779">
        <v>0</v>
      </c>
      <c r="AE1779">
        <v>0</v>
      </c>
      <c r="AF1779" t="b">
        <v>0</v>
      </c>
    </row>
    <row r="1780" spans="1:32" x14ac:dyDescent="0.3">
      <c r="A1780" t="s">
        <v>3571</v>
      </c>
      <c r="B1780" t="s">
        <v>3572</v>
      </c>
      <c r="C1780" t="s">
        <v>3573</v>
      </c>
      <c r="D1780">
        <v>1098</v>
      </c>
      <c r="E1780">
        <v>27167</v>
      </c>
      <c r="F1780">
        <v>22</v>
      </c>
      <c r="G1780">
        <v>60</v>
      </c>
      <c r="H1780">
        <v>60</v>
      </c>
      <c r="I1780">
        <v>1</v>
      </c>
      <c r="J1780">
        <v>1</v>
      </c>
      <c r="K1780" t="s">
        <v>86</v>
      </c>
      <c r="P1780">
        <v>0</v>
      </c>
      <c r="R1780">
        <v>0</v>
      </c>
      <c r="T1780">
        <v>0</v>
      </c>
      <c r="U1780" t="b">
        <v>0</v>
      </c>
      <c r="V1780">
        <v>21.148715041572181</v>
      </c>
      <c r="Y1780">
        <v>0</v>
      </c>
      <c r="Z1780">
        <v>774</v>
      </c>
      <c r="AA1780">
        <v>-3.7121676539403139E-5</v>
      </c>
      <c r="AB1780">
        <v>-4.2489809931670003E-3</v>
      </c>
      <c r="AC1780">
        <v>6.3981072626605002E-3</v>
      </c>
      <c r="AD1780">
        <v>-3.2372216167335E-3</v>
      </c>
      <c r="AE1780">
        <v>0</v>
      </c>
      <c r="AF1780" t="b">
        <v>0</v>
      </c>
    </row>
    <row r="1781" spans="1:32" x14ac:dyDescent="0.3">
      <c r="A1781" t="s">
        <v>3574</v>
      </c>
      <c r="B1781" t="s">
        <v>3575</v>
      </c>
      <c r="C1781" t="s">
        <v>431</v>
      </c>
      <c r="D1781">
        <v>89</v>
      </c>
      <c r="E1781">
        <v>487</v>
      </c>
      <c r="F1781">
        <v>10</v>
      </c>
      <c r="G1781">
        <v>360</v>
      </c>
      <c r="H1781">
        <v>60</v>
      </c>
      <c r="I1781">
        <v>1</v>
      </c>
      <c r="J1781">
        <v>1</v>
      </c>
      <c r="K1781" t="s">
        <v>432</v>
      </c>
      <c r="L1781">
        <v>2.9513888888888801E-2</v>
      </c>
      <c r="M1781">
        <v>1</v>
      </c>
      <c r="N1781">
        <v>1</v>
      </c>
      <c r="O1781" t="s">
        <v>433</v>
      </c>
      <c r="P1781">
        <v>0</v>
      </c>
      <c r="R1781">
        <v>0</v>
      </c>
      <c r="T1781">
        <v>0</v>
      </c>
      <c r="U1781" t="b">
        <v>0</v>
      </c>
      <c r="V1781">
        <v>0</v>
      </c>
      <c r="Y1781">
        <v>0</v>
      </c>
      <c r="Z1781">
        <v>28</v>
      </c>
      <c r="AA1781">
        <v>0</v>
      </c>
      <c r="AB1781">
        <v>0</v>
      </c>
      <c r="AC1781">
        <v>0</v>
      </c>
      <c r="AD1781">
        <v>0</v>
      </c>
      <c r="AE1781">
        <v>0</v>
      </c>
      <c r="AF1781" t="b">
        <v>0</v>
      </c>
    </row>
    <row r="1782" spans="1:32" x14ac:dyDescent="0.3">
      <c r="A1782" t="s">
        <v>3576</v>
      </c>
      <c r="B1782" t="s">
        <v>3577</v>
      </c>
      <c r="C1782" t="s">
        <v>431</v>
      </c>
      <c r="D1782">
        <v>255</v>
      </c>
      <c r="E1782">
        <v>1684</v>
      </c>
      <c r="F1782">
        <v>17</v>
      </c>
      <c r="G1782">
        <v>300</v>
      </c>
      <c r="H1782">
        <v>60</v>
      </c>
      <c r="I1782">
        <v>1</v>
      </c>
      <c r="J1782">
        <v>1</v>
      </c>
      <c r="K1782" t="s">
        <v>432</v>
      </c>
      <c r="L1782">
        <v>3.094378545642E-3</v>
      </c>
      <c r="M1782">
        <v>1</v>
      </c>
      <c r="N1782">
        <v>1</v>
      </c>
      <c r="O1782" t="s">
        <v>433</v>
      </c>
      <c r="P1782">
        <v>0</v>
      </c>
      <c r="R1782">
        <v>0</v>
      </c>
      <c r="T1782">
        <v>0</v>
      </c>
      <c r="U1782" t="b">
        <v>0</v>
      </c>
      <c r="V1782">
        <v>0</v>
      </c>
      <c r="Y1782">
        <v>0</v>
      </c>
      <c r="Z1782">
        <v>44</v>
      </c>
      <c r="AA1782">
        <v>2.0453115166771002E-3</v>
      </c>
      <c r="AB1782">
        <v>0.84415584415584344</v>
      </c>
      <c r="AC1782">
        <v>0</v>
      </c>
      <c r="AD1782">
        <v>4.3252595155708999E-3</v>
      </c>
      <c r="AE1782">
        <v>0</v>
      </c>
      <c r="AF1782" t="b">
        <v>0</v>
      </c>
    </row>
    <row r="1783" spans="1:32" x14ac:dyDescent="0.3">
      <c r="A1783" t="s">
        <v>3578</v>
      </c>
      <c r="B1783" t="s">
        <v>3579</v>
      </c>
      <c r="C1783" t="s">
        <v>431</v>
      </c>
      <c r="D1783">
        <v>87</v>
      </c>
      <c r="E1783">
        <v>403</v>
      </c>
      <c r="F1783">
        <v>9</v>
      </c>
      <c r="G1783">
        <v>420</v>
      </c>
      <c r="H1783">
        <v>120</v>
      </c>
      <c r="I1783">
        <v>1</v>
      </c>
      <c r="J1783">
        <v>1</v>
      </c>
      <c r="K1783" t="s">
        <v>86</v>
      </c>
      <c r="P1783">
        <v>0</v>
      </c>
      <c r="R1783">
        <v>0</v>
      </c>
      <c r="T1783">
        <v>0</v>
      </c>
      <c r="U1783" t="b">
        <v>0</v>
      </c>
      <c r="V1783">
        <v>0</v>
      </c>
      <c r="Y1783">
        <v>0</v>
      </c>
      <c r="Z1783">
        <v>14</v>
      </c>
      <c r="AA1783">
        <v>0</v>
      </c>
      <c r="AB1783">
        <v>0</v>
      </c>
      <c r="AC1783">
        <v>0</v>
      </c>
      <c r="AD1783">
        <v>0</v>
      </c>
      <c r="AE1783">
        <v>0</v>
      </c>
      <c r="AF1783" t="b">
        <v>0</v>
      </c>
    </row>
    <row r="1784" spans="1:32" x14ac:dyDescent="0.3">
      <c r="A1784" t="s">
        <v>3580</v>
      </c>
      <c r="B1784" t="s">
        <v>3581</v>
      </c>
      <c r="C1784" t="s">
        <v>431</v>
      </c>
      <c r="D1784">
        <v>238</v>
      </c>
      <c r="E1784">
        <v>449</v>
      </c>
      <c r="F1784">
        <v>12</v>
      </c>
      <c r="G1784">
        <v>480</v>
      </c>
      <c r="H1784">
        <v>60</v>
      </c>
      <c r="I1784">
        <v>1</v>
      </c>
      <c r="J1784">
        <v>1</v>
      </c>
      <c r="K1784" t="s">
        <v>86</v>
      </c>
      <c r="P1784">
        <v>0</v>
      </c>
      <c r="R1784">
        <v>0</v>
      </c>
      <c r="T1784">
        <v>0</v>
      </c>
      <c r="U1784" t="b">
        <v>0</v>
      </c>
      <c r="Y1784">
        <v>0</v>
      </c>
      <c r="Z1784">
        <v>11</v>
      </c>
      <c r="AA1784">
        <v>0</v>
      </c>
      <c r="AB1784">
        <v>0</v>
      </c>
      <c r="AD1784">
        <v>0</v>
      </c>
      <c r="AE1784">
        <v>0</v>
      </c>
      <c r="AF1784" t="b">
        <v>0</v>
      </c>
    </row>
    <row r="1785" spans="1:32" x14ac:dyDescent="0.3">
      <c r="A1785" t="s">
        <v>3582</v>
      </c>
      <c r="B1785" t="s">
        <v>3583</v>
      </c>
      <c r="C1785" t="s">
        <v>431</v>
      </c>
      <c r="D1785">
        <v>53</v>
      </c>
      <c r="E1785">
        <v>96</v>
      </c>
      <c r="F1785">
        <v>4</v>
      </c>
      <c r="G1785">
        <v>1800</v>
      </c>
      <c r="H1785">
        <v>900</v>
      </c>
      <c r="I1785">
        <v>1</v>
      </c>
      <c r="J1785">
        <v>1</v>
      </c>
      <c r="K1785" t="s">
        <v>86</v>
      </c>
      <c r="P1785">
        <v>0</v>
      </c>
      <c r="R1785">
        <v>0</v>
      </c>
      <c r="T1785">
        <v>0</v>
      </c>
      <c r="U1785" t="b">
        <v>0</v>
      </c>
      <c r="Y1785">
        <v>0</v>
      </c>
      <c r="Z1785">
        <v>2</v>
      </c>
      <c r="AA1785">
        <v>0</v>
      </c>
      <c r="AB1785">
        <v>0</v>
      </c>
      <c r="AE1785">
        <v>0</v>
      </c>
      <c r="AF1785" t="b">
        <v>0</v>
      </c>
    </row>
    <row r="1786" spans="1:32" x14ac:dyDescent="0.3">
      <c r="A1786" t="s">
        <v>3584</v>
      </c>
      <c r="B1786" t="s">
        <v>3585</v>
      </c>
      <c r="C1786" t="s">
        <v>474</v>
      </c>
      <c r="D1786">
        <v>167</v>
      </c>
      <c r="E1786">
        <v>2393</v>
      </c>
      <c r="F1786">
        <v>12</v>
      </c>
      <c r="G1786">
        <v>60</v>
      </c>
      <c r="H1786">
        <v>60</v>
      </c>
      <c r="I1786">
        <v>1</v>
      </c>
      <c r="J1786">
        <v>1</v>
      </c>
      <c r="K1786" t="s">
        <v>86</v>
      </c>
      <c r="P1786">
        <v>0</v>
      </c>
      <c r="R1786">
        <v>0</v>
      </c>
      <c r="T1786">
        <v>0</v>
      </c>
      <c r="U1786" t="b">
        <v>0</v>
      </c>
      <c r="Y1786">
        <v>0</v>
      </c>
      <c r="Z1786">
        <v>0</v>
      </c>
      <c r="AE1786">
        <v>0</v>
      </c>
      <c r="AF1786" t="b">
        <v>0</v>
      </c>
    </row>
    <row r="1787" spans="1:32" x14ac:dyDescent="0.3">
      <c r="A1787" t="s">
        <v>3586</v>
      </c>
      <c r="B1787" t="s">
        <v>3587</v>
      </c>
      <c r="C1787" t="s">
        <v>474</v>
      </c>
      <c r="D1787">
        <v>389</v>
      </c>
      <c r="E1787">
        <v>6602</v>
      </c>
      <c r="F1787">
        <v>12</v>
      </c>
      <c r="G1787">
        <v>60</v>
      </c>
      <c r="H1787">
        <v>60</v>
      </c>
      <c r="I1787">
        <v>1</v>
      </c>
      <c r="J1787">
        <v>1</v>
      </c>
      <c r="K1787" t="s">
        <v>86</v>
      </c>
      <c r="P1787">
        <v>0</v>
      </c>
      <c r="R1787">
        <v>0</v>
      </c>
      <c r="T1787">
        <v>0</v>
      </c>
      <c r="U1787" t="b">
        <v>0</v>
      </c>
      <c r="Y1787">
        <v>0</v>
      </c>
      <c r="Z1787">
        <v>54</v>
      </c>
      <c r="AA1787">
        <v>-1.3993541442411101E-2</v>
      </c>
      <c r="AB1787">
        <v>-1.2037037037037031</v>
      </c>
      <c r="AC1787">
        <v>-1.3157894736842099E-2</v>
      </c>
      <c r="AE1787">
        <v>0</v>
      </c>
      <c r="AF1787" t="b">
        <v>0</v>
      </c>
    </row>
    <row r="1788" spans="1:32" x14ac:dyDescent="0.3">
      <c r="A1788" t="s">
        <v>3588</v>
      </c>
      <c r="B1788" t="s">
        <v>3589</v>
      </c>
      <c r="C1788" t="s">
        <v>474</v>
      </c>
      <c r="D1788">
        <v>847</v>
      </c>
      <c r="E1788">
        <v>20573</v>
      </c>
      <c r="F1788">
        <v>27</v>
      </c>
      <c r="G1788">
        <v>60</v>
      </c>
      <c r="H1788">
        <v>60</v>
      </c>
      <c r="I1788">
        <v>1</v>
      </c>
      <c r="J1788">
        <v>1</v>
      </c>
      <c r="K1788" t="s">
        <v>86</v>
      </c>
      <c r="P1788">
        <v>0</v>
      </c>
      <c r="R1788">
        <v>0</v>
      </c>
      <c r="T1788">
        <v>0</v>
      </c>
      <c r="U1788" t="b">
        <v>0</v>
      </c>
      <c r="V1788">
        <v>7.1867283950617278</v>
      </c>
      <c r="Y1788">
        <v>0</v>
      </c>
      <c r="Z1788">
        <v>323</v>
      </c>
      <c r="AA1788">
        <v>1.60521656440769E-2</v>
      </c>
      <c r="AB1788">
        <v>1.2238906604231681</v>
      </c>
      <c r="AC1788">
        <v>2.56943497431701E-2</v>
      </c>
      <c r="AD1788">
        <v>6.8349341076613807E-2</v>
      </c>
      <c r="AE1788">
        <v>0</v>
      </c>
      <c r="AF1788" t="b">
        <v>0</v>
      </c>
    </row>
    <row r="1789" spans="1:32" x14ac:dyDescent="0.3">
      <c r="A1789" t="s">
        <v>3590</v>
      </c>
      <c r="B1789" t="s">
        <v>3591</v>
      </c>
      <c r="C1789" t="s">
        <v>474</v>
      </c>
      <c r="D1789">
        <v>1159</v>
      </c>
      <c r="E1789">
        <v>32393</v>
      </c>
      <c r="F1789">
        <v>33</v>
      </c>
      <c r="G1789">
        <v>60</v>
      </c>
      <c r="H1789">
        <v>60</v>
      </c>
      <c r="I1789">
        <v>1</v>
      </c>
      <c r="J1789">
        <v>1</v>
      </c>
      <c r="K1789" t="s">
        <v>86</v>
      </c>
      <c r="P1789">
        <v>0</v>
      </c>
      <c r="R1789">
        <v>0</v>
      </c>
      <c r="T1789">
        <v>0</v>
      </c>
      <c r="U1789" t="b">
        <v>0</v>
      </c>
      <c r="V1789">
        <v>13.483216783216781</v>
      </c>
      <c r="Y1789">
        <v>0</v>
      </c>
      <c r="Z1789">
        <v>580</v>
      </c>
      <c r="AA1789">
        <v>1.4274793425051601E-2</v>
      </c>
      <c r="AB1789">
        <v>1.238490101852171</v>
      </c>
      <c r="AC1789">
        <v>1.7299242472432901E-2</v>
      </c>
      <c r="AD1789">
        <v>-2.4110327440208301E-2</v>
      </c>
      <c r="AE1789">
        <v>0</v>
      </c>
      <c r="AF1789" t="b">
        <v>0</v>
      </c>
    </row>
    <row r="1790" spans="1:32" x14ac:dyDescent="0.3">
      <c r="A1790" t="s">
        <v>3592</v>
      </c>
      <c r="B1790" t="s">
        <v>3593</v>
      </c>
      <c r="C1790" t="s">
        <v>474</v>
      </c>
      <c r="D1790">
        <v>895</v>
      </c>
      <c r="E1790">
        <v>21240</v>
      </c>
      <c r="F1790">
        <v>35</v>
      </c>
      <c r="G1790">
        <v>60</v>
      </c>
      <c r="H1790">
        <v>60</v>
      </c>
      <c r="I1790">
        <v>1</v>
      </c>
      <c r="J1790">
        <v>1</v>
      </c>
      <c r="K1790" t="s">
        <v>86</v>
      </c>
      <c r="P1790">
        <v>0</v>
      </c>
      <c r="R1790">
        <v>0</v>
      </c>
      <c r="T1790">
        <v>0</v>
      </c>
      <c r="U1790" t="b">
        <v>0</v>
      </c>
      <c r="V1790">
        <v>6.6886792452830193</v>
      </c>
      <c r="Y1790">
        <v>0</v>
      </c>
      <c r="Z1790">
        <v>312</v>
      </c>
      <c r="AA1790">
        <v>-1.45078195510971E-2</v>
      </c>
      <c r="AB1790">
        <v>-1.1511928242697469</v>
      </c>
      <c r="AC1790">
        <v>-1.9869166589491002E-3</v>
      </c>
      <c r="AD1790">
        <v>-6.8664867540669996E-4</v>
      </c>
      <c r="AE1790">
        <v>0</v>
      </c>
      <c r="AF1790" t="b">
        <v>0</v>
      </c>
    </row>
    <row r="1791" spans="1:32" x14ac:dyDescent="0.3">
      <c r="A1791" t="s">
        <v>3594</v>
      </c>
      <c r="B1791" t="s">
        <v>3595</v>
      </c>
      <c r="C1791" t="s">
        <v>474</v>
      </c>
      <c r="D1791">
        <v>452</v>
      </c>
      <c r="E1791">
        <v>5178</v>
      </c>
      <c r="F1791">
        <v>45</v>
      </c>
      <c r="G1791">
        <v>60</v>
      </c>
      <c r="H1791">
        <v>60</v>
      </c>
      <c r="I1791">
        <v>1</v>
      </c>
      <c r="J1791">
        <v>1</v>
      </c>
      <c r="K1791" t="s">
        <v>86</v>
      </c>
      <c r="P1791">
        <v>0</v>
      </c>
      <c r="R1791">
        <v>0</v>
      </c>
      <c r="T1791">
        <v>0</v>
      </c>
      <c r="U1791" t="b">
        <v>0</v>
      </c>
      <c r="V1791">
        <v>8.2603174603174576</v>
      </c>
      <c r="Y1791">
        <v>0</v>
      </c>
      <c r="Z1791">
        <v>80</v>
      </c>
      <c r="AA1791">
        <v>2.15525990077211E-2</v>
      </c>
      <c r="AB1791">
        <v>7.6331896979439522</v>
      </c>
      <c r="AC1791">
        <v>7.53827609748767E-2</v>
      </c>
      <c r="AD1791">
        <v>4.0982492182661298E-2</v>
      </c>
      <c r="AE1791">
        <v>0</v>
      </c>
      <c r="AF1791" t="b">
        <v>0</v>
      </c>
    </row>
    <row r="1792" spans="1:32" x14ac:dyDescent="0.3">
      <c r="A1792" t="s">
        <v>3596</v>
      </c>
      <c r="B1792" t="s">
        <v>3597</v>
      </c>
      <c r="C1792" t="s">
        <v>474</v>
      </c>
      <c r="D1792">
        <v>7490</v>
      </c>
      <c r="E1792">
        <v>161657</v>
      </c>
      <c r="F1792">
        <v>14</v>
      </c>
      <c r="G1792">
        <v>60</v>
      </c>
      <c r="H1792">
        <v>60</v>
      </c>
      <c r="I1792">
        <v>1</v>
      </c>
      <c r="J1792">
        <v>1</v>
      </c>
      <c r="K1792" t="s">
        <v>86</v>
      </c>
      <c r="P1792">
        <v>0</v>
      </c>
      <c r="R1792">
        <v>0</v>
      </c>
      <c r="T1792">
        <v>0</v>
      </c>
      <c r="U1792" t="b">
        <v>0</v>
      </c>
      <c r="V1792">
        <v>6.8819080744260086</v>
      </c>
      <c r="Y1792">
        <v>0</v>
      </c>
      <c r="Z1792">
        <v>2717</v>
      </c>
      <c r="AA1792">
        <v>1.6311252713108602E-2</v>
      </c>
      <c r="AB1792">
        <v>1.3528626579327589</v>
      </c>
      <c r="AC1792">
        <v>-3.6407014261160719E-6</v>
      </c>
      <c r="AD1792">
        <v>3.8891412602464398E-2</v>
      </c>
      <c r="AE1792">
        <v>0</v>
      </c>
      <c r="AF1792" t="b">
        <v>0</v>
      </c>
    </row>
    <row r="1793" spans="1:32" x14ac:dyDescent="0.3">
      <c r="A1793" t="s">
        <v>3598</v>
      </c>
      <c r="B1793" t="s">
        <v>3599</v>
      </c>
      <c r="C1793" t="s">
        <v>474</v>
      </c>
      <c r="D1793">
        <v>297</v>
      </c>
      <c r="E1793">
        <v>3847</v>
      </c>
      <c r="F1793">
        <v>16</v>
      </c>
      <c r="G1793">
        <v>60</v>
      </c>
      <c r="H1793">
        <v>60</v>
      </c>
      <c r="I1793">
        <v>1</v>
      </c>
      <c r="J1793">
        <v>1</v>
      </c>
      <c r="K1793" t="s">
        <v>86</v>
      </c>
      <c r="P1793">
        <v>0</v>
      </c>
      <c r="R1793">
        <v>0</v>
      </c>
      <c r="T1793">
        <v>0</v>
      </c>
      <c r="U1793" t="b">
        <v>0</v>
      </c>
      <c r="Y1793">
        <v>0</v>
      </c>
      <c r="Z1793">
        <v>17</v>
      </c>
      <c r="AA1793">
        <v>2.3622047244094401E-2</v>
      </c>
      <c r="AB1793">
        <v>2.117647058823529</v>
      </c>
      <c r="AC1793">
        <v>9.9476439790575896E-2</v>
      </c>
      <c r="AE1793">
        <v>0</v>
      </c>
      <c r="AF1793" t="b">
        <v>0</v>
      </c>
    </row>
    <row r="1794" spans="1:32" x14ac:dyDescent="0.3">
      <c r="A1794" t="s">
        <v>3600</v>
      </c>
      <c r="B1794" t="s">
        <v>3601</v>
      </c>
      <c r="C1794" t="s">
        <v>474</v>
      </c>
      <c r="D1794">
        <v>354</v>
      </c>
      <c r="E1794">
        <v>6713</v>
      </c>
      <c r="F1794">
        <v>14</v>
      </c>
      <c r="G1794">
        <v>60</v>
      </c>
      <c r="H1794">
        <v>60</v>
      </c>
      <c r="I1794">
        <v>1</v>
      </c>
      <c r="J1794">
        <v>1</v>
      </c>
      <c r="K1794" t="s">
        <v>86</v>
      </c>
      <c r="P1794">
        <v>0</v>
      </c>
      <c r="R1794">
        <v>0</v>
      </c>
      <c r="T1794">
        <v>0</v>
      </c>
      <c r="U1794" t="b">
        <v>0</v>
      </c>
      <c r="V1794">
        <v>0</v>
      </c>
      <c r="Y1794">
        <v>0</v>
      </c>
      <c r="Z1794">
        <v>11</v>
      </c>
      <c r="AA1794">
        <v>0</v>
      </c>
      <c r="AB1794">
        <v>0</v>
      </c>
      <c r="AC1794">
        <v>0</v>
      </c>
      <c r="AE1794">
        <v>0</v>
      </c>
      <c r="AF1794" t="b">
        <v>0</v>
      </c>
    </row>
    <row r="1795" spans="1:32" x14ac:dyDescent="0.3">
      <c r="A1795" t="s">
        <v>3602</v>
      </c>
      <c r="B1795" t="s">
        <v>3603</v>
      </c>
      <c r="C1795" t="s">
        <v>474</v>
      </c>
      <c r="D1795">
        <v>296</v>
      </c>
      <c r="E1795">
        <v>6967</v>
      </c>
      <c r="F1795">
        <v>20</v>
      </c>
      <c r="G1795">
        <v>60</v>
      </c>
      <c r="H1795">
        <v>60</v>
      </c>
      <c r="I1795">
        <v>1</v>
      </c>
      <c r="J1795">
        <v>1</v>
      </c>
      <c r="K1795" t="s">
        <v>86</v>
      </c>
      <c r="P1795">
        <v>0</v>
      </c>
      <c r="R1795">
        <v>0</v>
      </c>
      <c r="T1795">
        <v>0</v>
      </c>
      <c r="U1795" t="b">
        <v>0</v>
      </c>
      <c r="Y1795">
        <v>0</v>
      </c>
      <c r="Z1795">
        <v>176</v>
      </c>
      <c r="AA1795">
        <v>-2.3684986404883299E-2</v>
      </c>
      <c r="AB1795">
        <v>-1.760551948051948</v>
      </c>
      <c r="AC1795">
        <v>-3.24045250930073E-2</v>
      </c>
      <c r="AE1795">
        <v>0</v>
      </c>
      <c r="AF1795" t="b">
        <v>0</v>
      </c>
    </row>
    <row r="1796" spans="1:32" x14ac:dyDescent="0.3">
      <c r="A1796" t="s">
        <v>3604</v>
      </c>
      <c r="B1796" t="s">
        <v>3605</v>
      </c>
      <c r="C1796" t="s">
        <v>474</v>
      </c>
      <c r="D1796">
        <v>571</v>
      </c>
      <c r="E1796">
        <v>12764</v>
      </c>
      <c r="F1796">
        <v>16</v>
      </c>
      <c r="G1796">
        <v>60</v>
      </c>
      <c r="H1796">
        <v>60</v>
      </c>
      <c r="I1796">
        <v>1</v>
      </c>
      <c r="J1796">
        <v>1</v>
      </c>
      <c r="K1796" t="s">
        <v>86</v>
      </c>
      <c r="P1796">
        <v>0</v>
      </c>
      <c r="R1796">
        <v>0</v>
      </c>
      <c r="T1796">
        <v>0</v>
      </c>
      <c r="U1796" t="b">
        <v>0</v>
      </c>
      <c r="V1796">
        <v>0</v>
      </c>
      <c r="Y1796">
        <v>0</v>
      </c>
      <c r="Z1796">
        <v>179</v>
      </c>
      <c r="AA1796">
        <v>0</v>
      </c>
      <c r="AB1796">
        <v>0</v>
      </c>
      <c r="AC1796">
        <v>0</v>
      </c>
      <c r="AD1796">
        <v>0</v>
      </c>
      <c r="AE1796">
        <v>0</v>
      </c>
      <c r="AF1796" t="b">
        <v>0</v>
      </c>
    </row>
    <row r="1797" spans="1:32" x14ac:dyDescent="0.3">
      <c r="A1797" t="s">
        <v>3606</v>
      </c>
      <c r="B1797" t="s">
        <v>3607</v>
      </c>
      <c r="C1797" t="s">
        <v>474</v>
      </c>
      <c r="D1797">
        <v>1169</v>
      </c>
      <c r="E1797">
        <v>30427</v>
      </c>
      <c r="F1797">
        <v>7</v>
      </c>
      <c r="G1797">
        <v>60</v>
      </c>
      <c r="H1797">
        <v>60</v>
      </c>
      <c r="I1797">
        <v>1</v>
      </c>
      <c r="J1797">
        <v>1</v>
      </c>
      <c r="K1797" t="s">
        <v>86</v>
      </c>
      <c r="P1797">
        <v>0</v>
      </c>
      <c r="R1797">
        <v>0</v>
      </c>
      <c r="T1797">
        <v>0</v>
      </c>
      <c r="U1797" t="b">
        <v>0</v>
      </c>
      <c r="V1797">
        <v>0.6787320810677212</v>
      </c>
      <c r="Y1797">
        <v>0</v>
      </c>
      <c r="Z1797">
        <v>577</v>
      </c>
      <c r="AA1797">
        <v>-3.7074609607096001E-3</v>
      </c>
      <c r="AB1797">
        <v>-0.28590775012058628</v>
      </c>
      <c r="AC1797">
        <v>-6.9291663204453001E-3</v>
      </c>
      <c r="AD1797">
        <v>2.186509238001E-4</v>
      </c>
      <c r="AE1797">
        <v>0</v>
      </c>
      <c r="AF1797" t="b">
        <v>0</v>
      </c>
    </row>
    <row r="1798" spans="1:32" x14ac:dyDescent="0.3">
      <c r="A1798" t="s">
        <v>3608</v>
      </c>
      <c r="B1798" t="s">
        <v>3609</v>
      </c>
      <c r="C1798" t="s">
        <v>474</v>
      </c>
      <c r="D1798">
        <v>1983</v>
      </c>
      <c r="E1798">
        <v>33502</v>
      </c>
      <c r="F1798">
        <v>11</v>
      </c>
      <c r="G1798">
        <v>60</v>
      </c>
      <c r="H1798">
        <v>60</v>
      </c>
      <c r="I1798">
        <v>1</v>
      </c>
      <c r="J1798">
        <v>1</v>
      </c>
      <c r="K1798" t="s">
        <v>86</v>
      </c>
      <c r="P1798">
        <v>0</v>
      </c>
      <c r="R1798">
        <v>0</v>
      </c>
      <c r="T1798">
        <v>0</v>
      </c>
      <c r="U1798" t="b">
        <v>0</v>
      </c>
      <c r="V1798">
        <v>0</v>
      </c>
      <c r="Y1798">
        <v>0</v>
      </c>
      <c r="Z1798">
        <v>840</v>
      </c>
      <c r="AA1798">
        <v>0</v>
      </c>
      <c r="AB1798">
        <v>0</v>
      </c>
      <c r="AC1798">
        <v>0</v>
      </c>
      <c r="AD1798">
        <v>0</v>
      </c>
      <c r="AE1798">
        <v>0</v>
      </c>
      <c r="AF1798" t="b">
        <v>0</v>
      </c>
    </row>
    <row r="1799" spans="1:32" x14ac:dyDescent="0.3">
      <c r="A1799" t="s">
        <v>3610</v>
      </c>
      <c r="B1799" t="s">
        <v>3611</v>
      </c>
      <c r="C1799" t="s">
        <v>474</v>
      </c>
      <c r="D1799">
        <v>187</v>
      </c>
      <c r="E1799">
        <v>1917</v>
      </c>
      <c r="F1799">
        <v>13</v>
      </c>
      <c r="G1799">
        <v>120</v>
      </c>
      <c r="H1799">
        <v>60</v>
      </c>
      <c r="I1799">
        <v>1</v>
      </c>
      <c r="J1799">
        <v>1</v>
      </c>
      <c r="K1799" t="s">
        <v>86</v>
      </c>
      <c r="P1799">
        <v>0</v>
      </c>
      <c r="R1799">
        <v>0</v>
      </c>
      <c r="T1799">
        <v>0</v>
      </c>
      <c r="U1799" t="b">
        <v>0</v>
      </c>
      <c r="Y1799">
        <v>0</v>
      </c>
      <c r="Z1799">
        <v>36</v>
      </c>
      <c r="AA1799">
        <v>9.1743119266054999E-3</v>
      </c>
      <c r="AB1799">
        <v>1.1111111111111109</v>
      </c>
      <c r="AD1799">
        <v>0</v>
      </c>
      <c r="AE1799">
        <v>0</v>
      </c>
      <c r="AF1799" t="b">
        <v>0</v>
      </c>
    </row>
    <row r="1800" spans="1:32" x14ac:dyDescent="0.3">
      <c r="A1800" t="s">
        <v>3612</v>
      </c>
      <c r="B1800" t="s">
        <v>3613</v>
      </c>
      <c r="C1800" t="s">
        <v>474</v>
      </c>
      <c r="D1800">
        <v>131</v>
      </c>
      <c r="E1800">
        <v>1881</v>
      </c>
      <c r="F1800">
        <v>6</v>
      </c>
      <c r="G1800">
        <v>60</v>
      </c>
      <c r="H1800">
        <v>60</v>
      </c>
      <c r="I1800">
        <v>1</v>
      </c>
      <c r="J1800">
        <v>1</v>
      </c>
      <c r="K1800" t="s">
        <v>86</v>
      </c>
      <c r="P1800">
        <v>0</v>
      </c>
      <c r="R1800">
        <v>0</v>
      </c>
      <c r="T1800">
        <v>0</v>
      </c>
      <c r="U1800" t="b">
        <v>0</v>
      </c>
      <c r="V1800">
        <v>2.8571428571428572</v>
      </c>
      <c r="Y1800">
        <v>0</v>
      </c>
      <c r="Z1800">
        <v>48</v>
      </c>
      <c r="AA1800">
        <v>1.2274959083469E-3</v>
      </c>
      <c r="AB1800">
        <v>0.125</v>
      </c>
      <c r="AC1800">
        <v>-5.4495912806538996E-3</v>
      </c>
      <c r="AD1800">
        <v>0</v>
      </c>
      <c r="AE1800">
        <v>0</v>
      </c>
      <c r="AF1800" t="b">
        <v>0</v>
      </c>
    </row>
    <row r="1801" spans="1:32" x14ac:dyDescent="0.3">
      <c r="A1801" t="s">
        <v>3614</v>
      </c>
      <c r="B1801" t="s">
        <v>3615</v>
      </c>
      <c r="C1801" t="s">
        <v>474</v>
      </c>
      <c r="D1801">
        <v>92</v>
      </c>
      <c r="E1801">
        <v>1322</v>
      </c>
      <c r="F1801">
        <v>3</v>
      </c>
      <c r="G1801">
        <v>60</v>
      </c>
      <c r="H1801">
        <v>60</v>
      </c>
      <c r="I1801">
        <v>1</v>
      </c>
      <c r="J1801">
        <v>1</v>
      </c>
      <c r="K1801" t="s">
        <v>86</v>
      </c>
      <c r="P1801">
        <v>0</v>
      </c>
      <c r="R1801">
        <v>0</v>
      </c>
      <c r="T1801">
        <v>0</v>
      </c>
      <c r="U1801" t="b">
        <v>0</v>
      </c>
      <c r="V1801">
        <v>0</v>
      </c>
      <c r="Y1801">
        <v>0</v>
      </c>
      <c r="Z1801">
        <v>29</v>
      </c>
      <c r="AA1801">
        <v>0</v>
      </c>
      <c r="AB1801">
        <v>0</v>
      </c>
      <c r="AC1801">
        <v>0</v>
      </c>
      <c r="AD1801">
        <v>0</v>
      </c>
      <c r="AE1801">
        <v>0</v>
      </c>
      <c r="AF1801" t="b">
        <v>0</v>
      </c>
    </row>
    <row r="1802" spans="1:32" x14ac:dyDescent="0.3">
      <c r="A1802" t="s">
        <v>3616</v>
      </c>
      <c r="B1802" t="s">
        <v>3617</v>
      </c>
      <c r="C1802" t="s">
        <v>474</v>
      </c>
      <c r="D1802">
        <v>75</v>
      </c>
      <c r="E1802">
        <v>1671</v>
      </c>
      <c r="F1802">
        <v>6</v>
      </c>
      <c r="G1802">
        <v>60</v>
      </c>
      <c r="H1802">
        <v>60</v>
      </c>
      <c r="I1802">
        <v>1</v>
      </c>
      <c r="J1802">
        <v>1</v>
      </c>
      <c r="K1802" t="s">
        <v>86</v>
      </c>
      <c r="P1802">
        <v>0</v>
      </c>
      <c r="R1802">
        <v>0</v>
      </c>
      <c r="T1802">
        <v>0</v>
      </c>
      <c r="U1802" t="b">
        <v>0</v>
      </c>
      <c r="V1802">
        <v>1.9047619047619051</v>
      </c>
      <c r="Y1802">
        <v>0</v>
      </c>
      <c r="Z1802">
        <v>68</v>
      </c>
      <c r="AA1802">
        <v>-5.0822561692125999E-3</v>
      </c>
      <c r="AB1802">
        <v>-0.3634453781512606</v>
      </c>
      <c r="AC1802">
        <v>-9.8053352559480007E-3</v>
      </c>
      <c r="AD1802">
        <v>-1.8281535648993999E-3</v>
      </c>
      <c r="AE1802">
        <v>0</v>
      </c>
      <c r="AF1802" t="b">
        <v>0</v>
      </c>
    </row>
    <row r="1803" spans="1:32" x14ac:dyDescent="0.3">
      <c r="A1803" t="s">
        <v>3618</v>
      </c>
      <c r="B1803" t="s">
        <v>3619</v>
      </c>
      <c r="C1803" t="s">
        <v>474</v>
      </c>
      <c r="D1803">
        <v>99</v>
      </c>
      <c r="E1803">
        <v>2358</v>
      </c>
      <c r="F1803">
        <v>14</v>
      </c>
      <c r="G1803">
        <v>60</v>
      </c>
      <c r="H1803">
        <v>60</v>
      </c>
      <c r="I1803">
        <v>1</v>
      </c>
      <c r="J1803">
        <v>1</v>
      </c>
      <c r="K1803" t="s">
        <v>86</v>
      </c>
      <c r="P1803">
        <v>0</v>
      </c>
      <c r="R1803">
        <v>0</v>
      </c>
      <c r="T1803">
        <v>0</v>
      </c>
      <c r="U1803" t="b">
        <v>0</v>
      </c>
      <c r="Y1803">
        <v>0</v>
      </c>
      <c r="Z1803">
        <v>132</v>
      </c>
      <c r="AA1803">
        <v>-7.8299776286353002E-3</v>
      </c>
      <c r="AB1803">
        <v>-0.53030303030303028</v>
      </c>
      <c r="AE1803">
        <v>0</v>
      </c>
      <c r="AF1803" t="b">
        <v>0</v>
      </c>
    </row>
    <row r="1804" spans="1:32" x14ac:dyDescent="0.3">
      <c r="A1804" t="s">
        <v>3620</v>
      </c>
      <c r="B1804" t="s">
        <v>3621</v>
      </c>
      <c r="C1804" t="s">
        <v>474</v>
      </c>
      <c r="D1804">
        <v>141</v>
      </c>
      <c r="E1804">
        <v>2785</v>
      </c>
      <c r="F1804">
        <v>5</v>
      </c>
      <c r="G1804">
        <v>60</v>
      </c>
      <c r="H1804">
        <v>60</v>
      </c>
      <c r="I1804">
        <v>1</v>
      </c>
      <c r="J1804">
        <v>1</v>
      </c>
      <c r="K1804" t="s">
        <v>86</v>
      </c>
      <c r="P1804">
        <v>0</v>
      </c>
      <c r="R1804">
        <v>0</v>
      </c>
      <c r="T1804">
        <v>0</v>
      </c>
      <c r="U1804" t="b">
        <v>0</v>
      </c>
      <c r="Y1804">
        <v>0</v>
      </c>
      <c r="Z1804">
        <v>80</v>
      </c>
      <c r="AA1804">
        <v>-6.6603235014272002E-3</v>
      </c>
      <c r="AB1804">
        <v>-0.4375</v>
      </c>
      <c r="AC1804">
        <v>0</v>
      </c>
      <c r="AE1804">
        <v>0</v>
      </c>
      <c r="AF1804" t="b">
        <v>0</v>
      </c>
    </row>
    <row r="1805" spans="1:32" x14ac:dyDescent="0.3">
      <c r="A1805" t="s">
        <v>3622</v>
      </c>
      <c r="B1805" t="s">
        <v>3623</v>
      </c>
      <c r="C1805" t="s">
        <v>474</v>
      </c>
      <c r="D1805">
        <v>92</v>
      </c>
      <c r="E1805">
        <v>1116</v>
      </c>
      <c r="F1805">
        <v>5</v>
      </c>
      <c r="G1805">
        <v>60</v>
      </c>
      <c r="H1805">
        <v>60</v>
      </c>
      <c r="I1805">
        <v>1</v>
      </c>
      <c r="J1805">
        <v>1</v>
      </c>
      <c r="K1805" t="s">
        <v>86</v>
      </c>
      <c r="P1805">
        <v>0</v>
      </c>
      <c r="R1805">
        <v>0</v>
      </c>
      <c r="T1805">
        <v>0</v>
      </c>
      <c r="U1805" t="b">
        <v>0</v>
      </c>
      <c r="Y1805">
        <v>0</v>
      </c>
      <c r="Z1805">
        <v>37</v>
      </c>
      <c r="AA1805">
        <v>-7.7319587628865002E-3</v>
      </c>
      <c r="AB1805">
        <v>-0.48648648648648651</v>
      </c>
      <c r="AC1805">
        <v>0</v>
      </c>
      <c r="AD1805">
        <v>0</v>
      </c>
      <c r="AE1805">
        <v>0</v>
      </c>
      <c r="AF1805" t="b">
        <v>0</v>
      </c>
    </row>
    <row r="1806" spans="1:32" x14ac:dyDescent="0.3">
      <c r="A1806" t="s">
        <v>3624</v>
      </c>
      <c r="B1806" t="s">
        <v>3625</v>
      </c>
      <c r="C1806" t="s">
        <v>474</v>
      </c>
      <c r="D1806">
        <v>202</v>
      </c>
      <c r="E1806">
        <v>1772</v>
      </c>
      <c r="F1806">
        <v>5</v>
      </c>
      <c r="G1806">
        <v>60</v>
      </c>
      <c r="H1806">
        <v>60</v>
      </c>
      <c r="I1806">
        <v>1</v>
      </c>
      <c r="J1806">
        <v>1</v>
      </c>
      <c r="K1806" t="s">
        <v>86</v>
      </c>
      <c r="P1806">
        <v>0</v>
      </c>
      <c r="R1806">
        <v>0</v>
      </c>
      <c r="T1806">
        <v>0</v>
      </c>
      <c r="U1806" t="b">
        <v>0</v>
      </c>
      <c r="V1806">
        <v>0</v>
      </c>
      <c r="Y1806">
        <v>0</v>
      </c>
      <c r="Z1806">
        <v>38</v>
      </c>
      <c r="AA1806">
        <v>0</v>
      </c>
      <c r="AB1806">
        <v>0</v>
      </c>
      <c r="AC1806">
        <v>0</v>
      </c>
      <c r="AD1806">
        <v>0</v>
      </c>
      <c r="AE1806">
        <v>0</v>
      </c>
      <c r="AF1806" t="b">
        <v>0</v>
      </c>
    </row>
    <row r="1807" spans="1:32" x14ac:dyDescent="0.3">
      <c r="A1807" t="s">
        <v>3626</v>
      </c>
      <c r="B1807" t="s">
        <v>3627</v>
      </c>
      <c r="C1807" t="s">
        <v>474</v>
      </c>
      <c r="D1807">
        <v>264</v>
      </c>
      <c r="E1807">
        <v>5223</v>
      </c>
      <c r="F1807">
        <v>6</v>
      </c>
      <c r="G1807">
        <v>60</v>
      </c>
      <c r="H1807">
        <v>60</v>
      </c>
      <c r="I1807">
        <v>1</v>
      </c>
      <c r="J1807">
        <v>1</v>
      </c>
      <c r="K1807" t="s">
        <v>86</v>
      </c>
      <c r="P1807">
        <v>0</v>
      </c>
      <c r="R1807">
        <v>0</v>
      </c>
      <c r="T1807">
        <v>0</v>
      </c>
      <c r="U1807" t="b">
        <v>0</v>
      </c>
      <c r="V1807">
        <v>0</v>
      </c>
      <c r="Y1807">
        <v>0</v>
      </c>
      <c r="Z1807">
        <v>131</v>
      </c>
      <c r="AA1807">
        <v>0</v>
      </c>
      <c r="AB1807">
        <v>0</v>
      </c>
      <c r="AC1807">
        <v>0</v>
      </c>
      <c r="AD1807">
        <v>0</v>
      </c>
      <c r="AE1807">
        <v>0</v>
      </c>
      <c r="AF1807" t="b">
        <v>0</v>
      </c>
    </row>
    <row r="1808" spans="1:32" x14ac:dyDescent="0.3">
      <c r="A1808" t="s">
        <v>3628</v>
      </c>
      <c r="B1808" t="s">
        <v>3629</v>
      </c>
      <c r="C1808" t="s">
        <v>474</v>
      </c>
      <c r="D1808">
        <v>99</v>
      </c>
      <c r="E1808">
        <v>1530</v>
      </c>
      <c r="F1808">
        <v>10</v>
      </c>
      <c r="G1808">
        <v>60</v>
      </c>
      <c r="H1808">
        <v>60</v>
      </c>
      <c r="I1808">
        <v>1</v>
      </c>
      <c r="J1808">
        <v>1</v>
      </c>
      <c r="K1808" t="s">
        <v>86</v>
      </c>
      <c r="P1808">
        <v>0</v>
      </c>
      <c r="R1808">
        <v>0</v>
      </c>
      <c r="T1808">
        <v>0</v>
      </c>
      <c r="U1808" t="b">
        <v>0</v>
      </c>
      <c r="V1808">
        <v>0</v>
      </c>
      <c r="Y1808">
        <v>0</v>
      </c>
      <c r="Z1808">
        <v>19</v>
      </c>
      <c r="AA1808">
        <v>4.1666666666666602E-2</v>
      </c>
      <c r="AB1808">
        <v>3.1578947368421049</v>
      </c>
      <c r="AC1808">
        <v>0</v>
      </c>
      <c r="AD1808">
        <v>0</v>
      </c>
      <c r="AE1808">
        <v>0</v>
      </c>
      <c r="AF1808" t="b">
        <v>0</v>
      </c>
    </row>
    <row r="1809" spans="1:32" x14ac:dyDescent="0.3">
      <c r="A1809" t="s">
        <v>3630</v>
      </c>
      <c r="B1809" t="s">
        <v>3631</v>
      </c>
      <c r="C1809" t="s">
        <v>474</v>
      </c>
      <c r="D1809">
        <v>181</v>
      </c>
      <c r="E1809">
        <v>2283</v>
      </c>
      <c r="F1809">
        <v>10</v>
      </c>
      <c r="G1809">
        <v>60</v>
      </c>
      <c r="H1809">
        <v>60</v>
      </c>
      <c r="I1809">
        <v>1</v>
      </c>
      <c r="J1809">
        <v>1</v>
      </c>
      <c r="K1809" t="s">
        <v>86</v>
      </c>
      <c r="P1809">
        <v>0</v>
      </c>
      <c r="R1809">
        <v>0</v>
      </c>
      <c r="T1809">
        <v>0</v>
      </c>
      <c r="U1809" t="b">
        <v>0</v>
      </c>
      <c r="V1809">
        <v>1.1764705882352939</v>
      </c>
      <c r="Y1809">
        <v>0</v>
      </c>
      <c r="Z1809">
        <v>42</v>
      </c>
      <c r="AA1809">
        <v>9.3430656934306005E-3</v>
      </c>
      <c r="AB1809">
        <v>0.76190476190476186</v>
      </c>
      <c r="AC1809">
        <v>0</v>
      </c>
      <c r="AD1809">
        <v>6.7340067340066999E-3</v>
      </c>
      <c r="AE1809">
        <v>0</v>
      </c>
      <c r="AF1809" t="b">
        <v>0</v>
      </c>
    </row>
    <row r="1810" spans="1:32" x14ac:dyDescent="0.3">
      <c r="A1810" t="s">
        <v>3632</v>
      </c>
      <c r="B1810" t="s">
        <v>3633</v>
      </c>
      <c r="C1810" t="s">
        <v>474</v>
      </c>
      <c r="D1810">
        <v>282</v>
      </c>
      <c r="E1810">
        <v>3965</v>
      </c>
      <c r="F1810">
        <v>5</v>
      </c>
      <c r="G1810">
        <v>60</v>
      </c>
      <c r="H1810">
        <v>60</v>
      </c>
      <c r="I1810">
        <v>1</v>
      </c>
      <c r="J1810">
        <v>1</v>
      </c>
      <c r="K1810" t="s">
        <v>86</v>
      </c>
      <c r="P1810">
        <v>0</v>
      </c>
      <c r="R1810">
        <v>0</v>
      </c>
      <c r="T1810">
        <v>0</v>
      </c>
      <c r="U1810" t="b">
        <v>0</v>
      </c>
      <c r="V1810">
        <v>0</v>
      </c>
      <c r="Y1810">
        <v>0</v>
      </c>
      <c r="Z1810">
        <v>112</v>
      </c>
      <c r="AA1810">
        <v>0</v>
      </c>
      <c r="AB1810">
        <v>0</v>
      </c>
      <c r="AC1810">
        <v>0</v>
      </c>
      <c r="AD1810">
        <v>0</v>
      </c>
      <c r="AE1810">
        <v>0</v>
      </c>
      <c r="AF1810" t="b">
        <v>0</v>
      </c>
    </row>
    <row r="1811" spans="1:32" x14ac:dyDescent="0.3">
      <c r="A1811" t="s">
        <v>3634</v>
      </c>
      <c r="B1811" t="s">
        <v>3635</v>
      </c>
      <c r="C1811" t="s">
        <v>474</v>
      </c>
      <c r="D1811">
        <v>619</v>
      </c>
      <c r="E1811">
        <v>8295</v>
      </c>
      <c r="F1811">
        <v>18</v>
      </c>
      <c r="G1811">
        <v>60</v>
      </c>
      <c r="H1811">
        <v>60</v>
      </c>
      <c r="I1811">
        <v>1</v>
      </c>
      <c r="J1811">
        <v>1</v>
      </c>
      <c r="K1811" t="s">
        <v>86</v>
      </c>
      <c r="P1811">
        <v>0</v>
      </c>
      <c r="R1811">
        <v>0</v>
      </c>
      <c r="T1811">
        <v>0</v>
      </c>
      <c r="U1811" t="b">
        <v>0</v>
      </c>
      <c r="Y1811">
        <v>0</v>
      </c>
      <c r="Z1811">
        <v>5</v>
      </c>
      <c r="AA1811">
        <v>0.1954022988505747</v>
      </c>
      <c r="AB1811">
        <v>17</v>
      </c>
      <c r="AC1811">
        <v>0.25</v>
      </c>
      <c r="AD1811">
        <v>0.6</v>
      </c>
      <c r="AE1811">
        <v>0</v>
      </c>
      <c r="AF1811" t="b">
        <v>0</v>
      </c>
    </row>
    <row r="1812" spans="1:32" x14ac:dyDescent="0.3">
      <c r="A1812" t="s">
        <v>3636</v>
      </c>
      <c r="B1812" t="s">
        <v>3637</v>
      </c>
      <c r="C1812" t="s">
        <v>474</v>
      </c>
      <c r="D1812">
        <v>1369</v>
      </c>
      <c r="E1812">
        <v>28063</v>
      </c>
      <c r="F1812">
        <v>21</v>
      </c>
      <c r="G1812">
        <v>60</v>
      </c>
      <c r="H1812">
        <v>60</v>
      </c>
      <c r="I1812">
        <v>1</v>
      </c>
      <c r="J1812">
        <v>1</v>
      </c>
      <c r="K1812" t="s">
        <v>86</v>
      </c>
      <c r="P1812">
        <v>0</v>
      </c>
      <c r="R1812">
        <v>0</v>
      </c>
      <c r="T1812">
        <v>0</v>
      </c>
      <c r="U1812" t="b">
        <v>0</v>
      </c>
      <c r="V1812">
        <v>2.6363636363636358</v>
      </c>
      <c r="Y1812">
        <v>0</v>
      </c>
      <c r="Z1812">
        <v>633</v>
      </c>
      <c r="AA1812">
        <v>9.9179945781108E-3</v>
      </c>
      <c r="AB1812">
        <v>0.85951252538930256</v>
      </c>
      <c r="AC1812">
        <v>2.8535920845083801E-2</v>
      </c>
      <c r="AD1812">
        <v>0</v>
      </c>
      <c r="AE1812">
        <v>0</v>
      </c>
      <c r="AF1812" t="b">
        <v>0</v>
      </c>
    </row>
    <row r="1813" spans="1:32" x14ac:dyDescent="0.3">
      <c r="A1813" t="s">
        <v>3638</v>
      </c>
      <c r="B1813" t="s">
        <v>3639</v>
      </c>
      <c r="C1813" t="s">
        <v>474</v>
      </c>
      <c r="D1813">
        <v>809</v>
      </c>
      <c r="E1813">
        <v>20793</v>
      </c>
      <c r="F1813">
        <v>18</v>
      </c>
      <c r="G1813">
        <v>60</v>
      </c>
      <c r="H1813">
        <v>60</v>
      </c>
      <c r="I1813">
        <v>1</v>
      </c>
      <c r="J1813">
        <v>1</v>
      </c>
      <c r="K1813" t="s">
        <v>86</v>
      </c>
      <c r="P1813">
        <v>0</v>
      </c>
      <c r="R1813">
        <v>0</v>
      </c>
      <c r="T1813">
        <v>0</v>
      </c>
      <c r="U1813" t="b">
        <v>0</v>
      </c>
      <c r="V1813">
        <v>0</v>
      </c>
      <c r="Y1813">
        <v>0</v>
      </c>
      <c r="Z1813">
        <v>633</v>
      </c>
      <c r="AA1813">
        <v>-1.811748519856E-4</v>
      </c>
      <c r="AB1813">
        <v>-1.464622791637E-2</v>
      </c>
      <c r="AC1813">
        <v>-5.2288402378530005E-4</v>
      </c>
      <c r="AD1813">
        <v>0</v>
      </c>
      <c r="AE1813">
        <v>0</v>
      </c>
      <c r="AF1813" t="b">
        <v>0</v>
      </c>
    </row>
    <row r="1814" spans="1:32" x14ac:dyDescent="0.3">
      <c r="A1814" t="s">
        <v>3640</v>
      </c>
      <c r="B1814" t="s">
        <v>3641</v>
      </c>
      <c r="C1814" t="s">
        <v>474</v>
      </c>
      <c r="D1814">
        <v>497</v>
      </c>
      <c r="E1814">
        <v>14277</v>
      </c>
      <c r="F1814">
        <v>10</v>
      </c>
      <c r="G1814">
        <v>60</v>
      </c>
      <c r="H1814">
        <v>60</v>
      </c>
      <c r="I1814">
        <v>1</v>
      </c>
      <c r="J1814">
        <v>1</v>
      </c>
      <c r="K1814" t="s">
        <v>86</v>
      </c>
      <c r="P1814">
        <v>0</v>
      </c>
      <c r="R1814">
        <v>0</v>
      </c>
      <c r="T1814">
        <v>0</v>
      </c>
      <c r="U1814" t="b">
        <v>0</v>
      </c>
      <c r="V1814">
        <v>5.0773361976369502</v>
      </c>
      <c r="Y1814">
        <v>0</v>
      </c>
      <c r="Z1814">
        <v>426</v>
      </c>
      <c r="AA1814">
        <v>2.92373338801219E-2</v>
      </c>
      <c r="AB1814">
        <v>2.3404537559467129</v>
      </c>
      <c r="AC1814">
        <v>3.3632790864464898E-2</v>
      </c>
      <c r="AD1814">
        <v>4.3833726962251199E-2</v>
      </c>
      <c r="AE1814">
        <v>0</v>
      </c>
      <c r="AF1814" t="b">
        <v>0</v>
      </c>
    </row>
    <row r="1815" spans="1:32" x14ac:dyDescent="0.3">
      <c r="A1815" t="s">
        <v>3642</v>
      </c>
      <c r="B1815" t="s">
        <v>3643</v>
      </c>
      <c r="C1815" t="s">
        <v>474</v>
      </c>
      <c r="D1815">
        <v>111</v>
      </c>
      <c r="E1815">
        <v>2569</v>
      </c>
      <c r="F1815">
        <v>8</v>
      </c>
      <c r="G1815">
        <v>60</v>
      </c>
      <c r="H1815">
        <v>60</v>
      </c>
      <c r="I1815">
        <v>1</v>
      </c>
      <c r="J1815">
        <v>1</v>
      </c>
      <c r="K1815" t="s">
        <v>86</v>
      </c>
      <c r="P1815">
        <v>0</v>
      </c>
      <c r="R1815">
        <v>0</v>
      </c>
      <c r="T1815">
        <v>0</v>
      </c>
      <c r="U1815" t="b">
        <v>0</v>
      </c>
      <c r="V1815">
        <v>3.75</v>
      </c>
      <c r="Y1815">
        <v>0</v>
      </c>
      <c r="Z1815">
        <v>118</v>
      </c>
      <c r="AA1815">
        <v>-3.4985068407528E-3</v>
      </c>
      <c r="AB1815">
        <v>-0.24394673123486679</v>
      </c>
      <c r="AC1815">
        <v>1.23621784163047E-2</v>
      </c>
      <c r="AD1815">
        <v>-1.53846153846153E-2</v>
      </c>
      <c r="AE1815">
        <v>0</v>
      </c>
      <c r="AF1815" t="b">
        <v>0</v>
      </c>
    </row>
    <row r="1816" spans="1:32" x14ac:dyDescent="0.3">
      <c r="A1816" t="s">
        <v>3644</v>
      </c>
      <c r="B1816" t="s">
        <v>3645</v>
      </c>
      <c r="C1816" t="s">
        <v>474</v>
      </c>
      <c r="D1816">
        <v>791</v>
      </c>
      <c r="E1816">
        <v>15361</v>
      </c>
      <c r="F1816">
        <v>9</v>
      </c>
      <c r="G1816">
        <v>60</v>
      </c>
      <c r="H1816">
        <v>60</v>
      </c>
      <c r="I1816">
        <v>1</v>
      </c>
      <c r="J1816">
        <v>1</v>
      </c>
      <c r="K1816" t="s">
        <v>86</v>
      </c>
      <c r="P1816">
        <v>0</v>
      </c>
      <c r="R1816">
        <v>0</v>
      </c>
      <c r="T1816">
        <v>0</v>
      </c>
      <c r="U1816" t="b">
        <v>0</v>
      </c>
      <c r="V1816">
        <v>0.32967032967032961</v>
      </c>
      <c r="Y1816">
        <v>0</v>
      </c>
      <c r="Z1816">
        <v>411</v>
      </c>
      <c r="AA1816">
        <v>-1.071607172624E-3</v>
      </c>
      <c r="AB1816">
        <v>-7.8206465067778994E-2</v>
      </c>
      <c r="AC1816">
        <v>-1.4705882352941001E-3</v>
      </c>
      <c r="AD1816">
        <v>0</v>
      </c>
      <c r="AE1816">
        <v>0</v>
      </c>
      <c r="AF1816" t="b">
        <v>0</v>
      </c>
    </row>
    <row r="1817" spans="1:32" x14ac:dyDescent="0.3">
      <c r="A1817" t="s">
        <v>3646</v>
      </c>
      <c r="B1817" t="s">
        <v>3647</v>
      </c>
      <c r="C1817" t="s">
        <v>474</v>
      </c>
      <c r="D1817">
        <v>311</v>
      </c>
      <c r="E1817">
        <v>5859</v>
      </c>
      <c r="F1817">
        <v>8</v>
      </c>
      <c r="G1817">
        <v>60</v>
      </c>
      <c r="H1817">
        <v>60</v>
      </c>
      <c r="I1817">
        <v>1</v>
      </c>
      <c r="J1817">
        <v>1</v>
      </c>
      <c r="K1817" t="s">
        <v>86</v>
      </c>
      <c r="P1817">
        <v>0</v>
      </c>
      <c r="R1817">
        <v>0</v>
      </c>
      <c r="T1817">
        <v>0</v>
      </c>
      <c r="U1817" t="b">
        <v>0</v>
      </c>
      <c r="V1817">
        <v>0</v>
      </c>
      <c r="Y1817">
        <v>0</v>
      </c>
      <c r="Z1817">
        <v>129</v>
      </c>
      <c r="AA1817">
        <v>-8.2987551867210005E-4</v>
      </c>
      <c r="AB1817">
        <v>-6.64451827242524E-2</v>
      </c>
      <c r="AC1817">
        <v>-1.4124293785309999E-3</v>
      </c>
      <c r="AD1817">
        <v>-1.1148272017837001E-3</v>
      </c>
      <c r="AE1817">
        <v>0</v>
      </c>
      <c r="AF1817" t="b">
        <v>0</v>
      </c>
    </row>
    <row r="1818" spans="1:32" x14ac:dyDescent="0.3">
      <c r="A1818" t="s">
        <v>3648</v>
      </c>
      <c r="B1818" t="s">
        <v>3649</v>
      </c>
      <c r="C1818" t="s">
        <v>474</v>
      </c>
      <c r="D1818">
        <v>683</v>
      </c>
      <c r="E1818">
        <v>12695</v>
      </c>
      <c r="F1818">
        <v>5</v>
      </c>
      <c r="G1818">
        <v>60</v>
      </c>
      <c r="H1818">
        <v>60</v>
      </c>
      <c r="I1818">
        <v>1</v>
      </c>
      <c r="J1818">
        <v>1</v>
      </c>
      <c r="K1818" t="s">
        <v>86</v>
      </c>
      <c r="P1818">
        <v>0</v>
      </c>
      <c r="R1818">
        <v>0</v>
      </c>
      <c r="T1818">
        <v>0</v>
      </c>
      <c r="U1818" t="b">
        <v>0</v>
      </c>
      <c r="V1818">
        <v>0</v>
      </c>
      <c r="Y1818">
        <v>0</v>
      </c>
      <c r="Z1818">
        <v>232</v>
      </c>
      <c r="AA1818">
        <v>-1.2254901960783999E-3</v>
      </c>
      <c r="AB1818">
        <v>-8.6206896551724102E-2</v>
      </c>
      <c r="AC1818">
        <v>0</v>
      </c>
      <c r="AD1818">
        <v>0</v>
      </c>
      <c r="AE1818">
        <v>0</v>
      </c>
      <c r="AF1818" t="b">
        <v>0</v>
      </c>
    </row>
    <row r="1819" spans="1:32" x14ac:dyDescent="0.3">
      <c r="A1819" t="s">
        <v>3650</v>
      </c>
      <c r="B1819" t="s">
        <v>3651</v>
      </c>
      <c r="C1819" t="s">
        <v>474</v>
      </c>
      <c r="D1819">
        <v>273</v>
      </c>
      <c r="E1819">
        <v>5342</v>
      </c>
      <c r="F1819">
        <v>5</v>
      </c>
      <c r="G1819">
        <v>60</v>
      </c>
      <c r="H1819">
        <v>60</v>
      </c>
      <c r="I1819">
        <v>1</v>
      </c>
      <c r="J1819">
        <v>1</v>
      </c>
      <c r="K1819" t="s">
        <v>86</v>
      </c>
      <c r="P1819">
        <v>0</v>
      </c>
      <c r="R1819">
        <v>0</v>
      </c>
      <c r="T1819">
        <v>0</v>
      </c>
      <c r="U1819" t="b">
        <v>0</v>
      </c>
      <c r="V1819">
        <v>0</v>
      </c>
      <c r="Y1819">
        <v>0</v>
      </c>
      <c r="Z1819">
        <v>235</v>
      </c>
      <c r="AA1819">
        <v>0</v>
      </c>
      <c r="AB1819">
        <v>0</v>
      </c>
      <c r="AC1819">
        <v>0</v>
      </c>
      <c r="AD1819">
        <v>0</v>
      </c>
      <c r="AE1819">
        <v>0</v>
      </c>
      <c r="AF1819" t="b">
        <v>0</v>
      </c>
    </row>
    <row r="1820" spans="1:32" x14ac:dyDescent="0.3">
      <c r="A1820" t="s">
        <v>3652</v>
      </c>
      <c r="B1820" t="s">
        <v>3653</v>
      </c>
      <c r="C1820" t="s">
        <v>474</v>
      </c>
      <c r="D1820">
        <v>440</v>
      </c>
      <c r="E1820">
        <v>8008</v>
      </c>
      <c r="F1820">
        <v>9</v>
      </c>
      <c r="G1820">
        <v>60</v>
      </c>
      <c r="H1820">
        <v>60</v>
      </c>
      <c r="I1820">
        <v>1</v>
      </c>
      <c r="J1820">
        <v>1</v>
      </c>
      <c r="K1820" t="s">
        <v>86</v>
      </c>
      <c r="P1820">
        <v>0</v>
      </c>
      <c r="R1820">
        <v>0</v>
      </c>
      <c r="T1820">
        <v>0</v>
      </c>
      <c r="U1820" t="b">
        <v>0</v>
      </c>
      <c r="V1820">
        <v>0.83535353535353529</v>
      </c>
      <c r="Y1820">
        <v>0</v>
      </c>
      <c r="Z1820">
        <v>204</v>
      </c>
      <c r="AA1820">
        <v>-1.221357680985E-2</v>
      </c>
      <c r="AB1820">
        <v>-0.93038717463269838</v>
      </c>
      <c r="AC1820">
        <v>-1.6915024835816899E-2</v>
      </c>
      <c r="AD1820">
        <v>0</v>
      </c>
      <c r="AE1820">
        <v>0</v>
      </c>
      <c r="AF1820" t="b">
        <v>0</v>
      </c>
    </row>
    <row r="1821" spans="1:32" x14ac:dyDescent="0.3">
      <c r="A1821" t="s">
        <v>3654</v>
      </c>
      <c r="B1821" t="s">
        <v>3655</v>
      </c>
      <c r="C1821" t="s">
        <v>474</v>
      </c>
      <c r="D1821">
        <v>123</v>
      </c>
      <c r="E1821">
        <v>2775</v>
      </c>
      <c r="F1821">
        <v>4</v>
      </c>
      <c r="G1821">
        <v>60</v>
      </c>
      <c r="H1821">
        <v>60</v>
      </c>
      <c r="I1821">
        <v>1</v>
      </c>
      <c r="J1821">
        <v>1</v>
      </c>
      <c r="K1821" t="s">
        <v>86</v>
      </c>
      <c r="P1821">
        <v>0</v>
      </c>
      <c r="R1821">
        <v>0</v>
      </c>
      <c r="T1821">
        <v>0</v>
      </c>
      <c r="U1821" t="b">
        <v>0</v>
      </c>
      <c r="V1821">
        <v>0.61224489795918369</v>
      </c>
      <c r="Y1821">
        <v>0</v>
      </c>
      <c r="Z1821">
        <v>105</v>
      </c>
      <c r="AA1821">
        <v>1.8115942028985E-3</v>
      </c>
      <c r="AB1821">
        <v>0.14285714285714279</v>
      </c>
      <c r="AC1821">
        <v>9.6153846153846003E-3</v>
      </c>
      <c r="AD1821">
        <v>0</v>
      </c>
      <c r="AE1821">
        <v>0</v>
      </c>
      <c r="AF1821" t="b">
        <v>0</v>
      </c>
    </row>
    <row r="1822" spans="1:32" x14ac:dyDescent="0.3">
      <c r="A1822" t="s">
        <v>3656</v>
      </c>
      <c r="B1822" t="s">
        <v>3657</v>
      </c>
      <c r="C1822" t="s">
        <v>474</v>
      </c>
      <c r="D1822">
        <v>340</v>
      </c>
      <c r="E1822">
        <v>2476</v>
      </c>
      <c r="F1822">
        <v>9</v>
      </c>
      <c r="G1822">
        <v>60</v>
      </c>
      <c r="H1822">
        <v>60</v>
      </c>
      <c r="I1822">
        <v>1</v>
      </c>
      <c r="J1822">
        <v>1</v>
      </c>
      <c r="K1822" t="s">
        <v>86</v>
      </c>
      <c r="P1822">
        <v>0</v>
      </c>
      <c r="R1822">
        <v>0</v>
      </c>
      <c r="T1822">
        <v>0</v>
      </c>
      <c r="U1822" t="b">
        <v>0</v>
      </c>
      <c r="V1822">
        <v>0</v>
      </c>
      <c r="Y1822">
        <v>0</v>
      </c>
      <c r="Z1822">
        <v>99</v>
      </c>
      <c r="AA1822">
        <v>0</v>
      </c>
      <c r="AB1822">
        <v>0</v>
      </c>
      <c r="AC1822">
        <v>0</v>
      </c>
      <c r="AD1822">
        <v>0</v>
      </c>
      <c r="AE1822">
        <v>0</v>
      </c>
      <c r="AF1822" t="b">
        <v>0</v>
      </c>
    </row>
    <row r="1823" spans="1:32" x14ac:dyDescent="0.3">
      <c r="A1823" t="s">
        <v>3658</v>
      </c>
      <c r="B1823" t="s">
        <v>3659</v>
      </c>
      <c r="C1823" t="s">
        <v>474</v>
      </c>
      <c r="D1823">
        <v>65</v>
      </c>
      <c r="E1823">
        <v>733</v>
      </c>
      <c r="F1823">
        <v>4</v>
      </c>
      <c r="G1823">
        <v>60</v>
      </c>
      <c r="H1823">
        <v>60</v>
      </c>
      <c r="I1823">
        <v>1</v>
      </c>
      <c r="J1823">
        <v>1</v>
      </c>
      <c r="K1823" t="s">
        <v>86</v>
      </c>
      <c r="P1823">
        <v>0</v>
      </c>
      <c r="R1823">
        <v>0</v>
      </c>
      <c r="T1823">
        <v>0</v>
      </c>
      <c r="U1823" t="b">
        <v>0</v>
      </c>
      <c r="V1823">
        <v>0</v>
      </c>
      <c r="Y1823">
        <v>0</v>
      </c>
      <c r="Z1823">
        <v>23</v>
      </c>
      <c r="AA1823">
        <v>0</v>
      </c>
      <c r="AB1823">
        <v>0</v>
      </c>
      <c r="AC1823">
        <v>0</v>
      </c>
      <c r="AD1823">
        <v>0</v>
      </c>
      <c r="AE1823">
        <v>0</v>
      </c>
      <c r="AF1823" t="b">
        <v>0</v>
      </c>
    </row>
    <row r="1824" spans="1:32" x14ac:dyDescent="0.3">
      <c r="A1824" t="s">
        <v>3660</v>
      </c>
      <c r="B1824" t="s">
        <v>3661</v>
      </c>
      <c r="C1824" t="s">
        <v>474</v>
      </c>
      <c r="D1824">
        <v>54</v>
      </c>
      <c r="E1824">
        <v>499</v>
      </c>
      <c r="F1824">
        <v>3</v>
      </c>
      <c r="G1824">
        <v>60</v>
      </c>
      <c r="H1824">
        <v>60</v>
      </c>
      <c r="I1824">
        <v>1</v>
      </c>
      <c r="J1824">
        <v>1</v>
      </c>
      <c r="K1824" t="s">
        <v>86</v>
      </c>
      <c r="P1824">
        <v>0</v>
      </c>
      <c r="R1824">
        <v>0</v>
      </c>
      <c r="T1824">
        <v>0</v>
      </c>
      <c r="U1824" t="b">
        <v>0</v>
      </c>
      <c r="V1824">
        <v>0</v>
      </c>
      <c r="Y1824">
        <v>0</v>
      </c>
      <c r="Z1824">
        <v>12</v>
      </c>
      <c r="AA1824">
        <v>0</v>
      </c>
      <c r="AB1824">
        <v>0</v>
      </c>
      <c r="AC1824">
        <v>0</v>
      </c>
      <c r="AD1824">
        <v>0</v>
      </c>
      <c r="AE1824">
        <v>0</v>
      </c>
      <c r="AF1824" t="b">
        <v>0</v>
      </c>
    </row>
    <row r="1825" spans="1:32" x14ac:dyDescent="0.3">
      <c r="A1825" t="s">
        <v>3662</v>
      </c>
      <c r="B1825" t="s">
        <v>3663</v>
      </c>
      <c r="C1825" t="s">
        <v>474</v>
      </c>
      <c r="D1825">
        <v>106</v>
      </c>
      <c r="E1825">
        <v>1645</v>
      </c>
      <c r="F1825">
        <v>13</v>
      </c>
      <c r="G1825">
        <v>60</v>
      </c>
      <c r="H1825">
        <v>60</v>
      </c>
      <c r="I1825">
        <v>1</v>
      </c>
      <c r="J1825">
        <v>1</v>
      </c>
      <c r="K1825" t="s">
        <v>86</v>
      </c>
      <c r="P1825">
        <v>0</v>
      </c>
      <c r="R1825">
        <v>0</v>
      </c>
      <c r="T1825">
        <v>0</v>
      </c>
      <c r="U1825" t="b">
        <v>0</v>
      </c>
      <c r="Y1825">
        <v>0</v>
      </c>
      <c r="Z1825">
        <v>0</v>
      </c>
      <c r="AE1825">
        <v>0</v>
      </c>
      <c r="AF1825" t="b">
        <v>0</v>
      </c>
    </row>
    <row r="1826" spans="1:32" x14ac:dyDescent="0.3">
      <c r="A1826" t="s">
        <v>3664</v>
      </c>
      <c r="B1826" t="s">
        <v>3665</v>
      </c>
      <c r="C1826" t="s">
        <v>474</v>
      </c>
      <c r="D1826">
        <v>60</v>
      </c>
      <c r="E1826">
        <v>730</v>
      </c>
      <c r="F1826">
        <v>12</v>
      </c>
      <c r="G1826">
        <v>240</v>
      </c>
      <c r="H1826">
        <v>60</v>
      </c>
      <c r="I1826">
        <v>1</v>
      </c>
      <c r="J1826">
        <v>1</v>
      </c>
      <c r="K1826" t="s">
        <v>86</v>
      </c>
      <c r="P1826">
        <v>0</v>
      </c>
      <c r="R1826">
        <v>0</v>
      </c>
      <c r="T1826">
        <v>0</v>
      </c>
      <c r="U1826" t="b">
        <v>0</v>
      </c>
      <c r="V1826">
        <v>47.916666666666657</v>
      </c>
      <c r="Y1826">
        <v>0</v>
      </c>
      <c r="Z1826">
        <v>34</v>
      </c>
      <c r="AA1826">
        <v>3.5563756433912699E-2</v>
      </c>
      <c r="AB1826">
        <v>7.6932773109243691</v>
      </c>
      <c r="AC1826">
        <v>5.5555555555555497E-2</v>
      </c>
      <c r="AD1826">
        <v>4.54545454545454E-2</v>
      </c>
      <c r="AE1826">
        <v>0</v>
      </c>
      <c r="AF1826" t="b">
        <v>0</v>
      </c>
    </row>
    <row r="1827" spans="1:32" x14ac:dyDescent="0.3">
      <c r="A1827" t="s">
        <v>3666</v>
      </c>
      <c r="B1827" t="s">
        <v>3667</v>
      </c>
      <c r="C1827" t="s">
        <v>474</v>
      </c>
      <c r="D1827">
        <v>334</v>
      </c>
      <c r="E1827">
        <v>6479</v>
      </c>
      <c r="F1827">
        <v>9</v>
      </c>
      <c r="G1827">
        <v>60</v>
      </c>
      <c r="H1827">
        <v>60</v>
      </c>
      <c r="I1827">
        <v>1</v>
      </c>
      <c r="J1827">
        <v>1</v>
      </c>
      <c r="K1827" t="s">
        <v>86</v>
      </c>
      <c r="P1827">
        <v>0</v>
      </c>
      <c r="R1827">
        <v>0</v>
      </c>
      <c r="T1827">
        <v>0</v>
      </c>
      <c r="U1827" t="b">
        <v>0</v>
      </c>
      <c r="V1827">
        <v>1.214285714285714</v>
      </c>
      <c r="Y1827">
        <v>0</v>
      </c>
      <c r="Z1827">
        <v>165</v>
      </c>
      <c r="AA1827">
        <v>6.7456499077860003E-3</v>
      </c>
      <c r="AB1827">
        <v>0.5826839826839828</v>
      </c>
      <c r="AC1827">
        <v>1.26139427397612E-2</v>
      </c>
      <c r="AD1827">
        <v>-5.8187863674146996E-3</v>
      </c>
      <c r="AE1827">
        <v>0</v>
      </c>
      <c r="AF1827" t="b">
        <v>0</v>
      </c>
    </row>
    <row r="1828" spans="1:32" x14ac:dyDescent="0.3">
      <c r="A1828" t="s">
        <v>3668</v>
      </c>
      <c r="B1828" t="s">
        <v>3669</v>
      </c>
      <c r="C1828" t="s">
        <v>474</v>
      </c>
      <c r="D1828">
        <v>250</v>
      </c>
      <c r="E1828">
        <v>4859</v>
      </c>
      <c r="F1828">
        <v>16</v>
      </c>
      <c r="G1828">
        <v>60</v>
      </c>
      <c r="H1828">
        <v>60</v>
      </c>
      <c r="I1828">
        <v>1</v>
      </c>
      <c r="J1828">
        <v>1</v>
      </c>
      <c r="K1828" t="s">
        <v>86</v>
      </c>
      <c r="P1828">
        <v>0</v>
      </c>
      <c r="R1828">
        <v>0</v>
      </c>
      <c r="T1828">
        <v>0</v>
      </c>
      <c r="U1828" t="b">
        <v>0</v>
      </c>
      <c r="Y1828">
        <v>0</v>
      </c>
      <c r="Z1828">
        <v>60</v>
      </c>
      <c r="AA1828">
        <v>-1.98389314476527E-2</v>
      </c>
      <c r="AB1828">
        <v>-1.6833333333333329</v>
      </c>
      <c r="AC1828">
        <v>-4.4334975369458102E-2</v>
      </c>
      <c r="AE1828">
        <v>0</v>
      </c>
      <c r="AF1828" t="b">
        <v>0</v>
      </c>
    </row>
    <row r="1829" spans="1:32" x14ac:dyDescent="0.3">
      <c r="A1829" t="s">
        <v>3670</v>
      </c>
      <c r="B1829" t="s">
        <v>3671</v>
      </c>
      <c r="C1829" t="s">
        <v>474</v>
      </c>
      <c r="D1829">
        <v>756</v>
      </c>
      <c r="E1829">
        <v>15190</v>
      </c>
      <c r="F1829">
        <v>8</v>
      </c>
      <c r="G1829">
        <v>60</v>
      </c>
      <c r="H1829">
        <v>60</v>
      </c>
      <c r="I1829">
        <v>1</v>
      </c>
      <c r="J1829">
        <v>1</v>
      </c>
      <c r="K1829" t="s">
        <v>86</v>
      </c>
      <c r="P1829">
        <v>0</v>
      </c>
      <c r="R1829">
        <v>0</v>
      </c>
      <c r="T1829">
        <v>0</v>
      </c>
      <c r="U1829" t="b">
        <v>0</v>
      </c>
      <c r="V1829">
        <v>0.17094017094017089</v>
      </c>
      <c r="Y1829">
        <v>0</v>
      </c>
      <c r="Z1829">
        <v>651</v>
      </c>
      <c r="AA1829">
        <v>1.0961676293267E-3</v>
      </c>
      <c r="AB1829">
        <v>7.9877112135176606E-2</v>
      </c>
      <c r="AC1829">
        <v>1.2848751835535001E-3</v>
      </c>
      <c r="AD1829">
        <v>-7.7726919423089995E-4</v>
      </c>
      <c r="AE1829">
        <v>0</v>
      </c>
      <c r="AF1829" t="b">
        <v>0</v>
      </c>
    </row>
    <row r="1830" spans="1:32" x14ac:dyDescent="0.3">
      <c r="A1830" t="s">
        <v>3672</v>
      </c>
      <c r="B1830" t="s">
        <v>3673</v>
      </c>
      <c r="C1830" t="s">
        <v>474</v>
      </c>
      <c r="D1830">
        <v>1282</v>
      </c>
      <c r="E1830">
        <v>24441</v>
      </c>
      <c r="F1830">
        <v>7</v>
      </c>
      <c r="G1830">
        <v>60</v>
      </c>
      <c r="H1830">
        <v>60</v>
      </c>
      <c r="I1830">
        <v>1</v>
      </c>
      <c r="J1830">
        <v>1</v>
      </c>
      <c r="K1830" t="s">
        <v>86</v>
      </c>
      <c r="P1830">
        <v>0</v>
      </c>
      <c r="R1830">
        <v>0</v>
      </c>
      <c r="T1830">
        <v>0</v>
      </c>
      <c r="U1830" t="b">
        <v>0</v>
      </c>
      <c r="V1830">
        <v>2.368677042801556</v>
      </c>
      <c r="Y1830">
        <v>0</v>
      </c>
      <c r="Z1830">
        <v>752</v>
      </c>
      <c r="AA1830">
        <v>-7.3825260273871996E-3</v>
      </c>
      <c r="AB1830">
        <v>-0.50983092705167166</v>
      </c>
      <c r="AC1830">
        <v>-1.9284139294403799E-2</v>
      </c>
      <c r="AD1830">
        <v>1.3632049761495E-3</v>
      </c>
      <c r="AE1830">
        <v>0</v>
      </c>
      <c r="AF1830" t="b">
        <v>0</v>
      </c>
    </row>
    <row r="1831" spans="1:32" x14ac:dyDescent="0.3">
      <c r="A1831" t="s">
        <v>3674</v>
      </c>
      <c r="B1831" t="s">
        <v>3675</v>
      </c>
      <c r="C1831" t="s">
        <v>431</v>
      </c>
      <c r="D1831">
        <v>594</v>
      </c>
      <c r="E1831">
        <v>14619</v>
      </c>
      <c r="F1831">
        <v>8</v>
      </c>
      <c r="G1831">
        <v>60</v>
      </c>
      <c r="H1831">
        <v>60</v>
      </c>
      <c r="I1831">
        <v>1</v>
      </c>
      <c r="J1831">
        <v>1</v>
      </c>
      <c r="K1831" t="s">
        <v>86</v>
      </c>
      <c r="P1831">
        <v>0</v>
      </c>
      <c r="R1831">
        <v>0</v>
      </c>
      <c r="T1831">
        <v>0</v>
      </c>
      <c r="U1831" t="b">
        <v>0</v>
      </c>
      <c r="V1831">
        <v>0.29644268774703558</v>
      </c>
      <c r="Y1831">
        <v>0</v>
      </c>
      <c r="Z1831">
        <v>700</v>
      </c>
      <c r="AA1831">
        <v>1.5862944162430001E-4</v>
      </c>
      <c r="AB1831">
        <v>1.0714285714285701E-2</v>
      </c>
      <c r="AC1831">
        <v>0</v>
      </c>
      <c r="AD1831">
        <v>8.7719298245610003E-4</v>
      </c>
      <c r="AE1831">
        <v>0</v>
      </c>
      <c r="AF1831" t="b">
        <v>0</v>
      </c>
    </row>
    <row r="1832" spans="1:32" x14ac:dyDescent="0.3">
      <c r="A1832" t="s">
        <v>3676</v>
      </c>
      <c r="B1832" t="s">
        <v>3677</v>
      </c>
      <c r="C1832" t="s">
        <v>431</v>
      </c>
      <c r="D1832">
        <v>116</v>
      </c>
      <c r="E1832">
        <v>1161</v>
      </c>
      <c r="F1832">
        <v>309</v>
      </c>
      <c r="G1832">
        <v>174</v>
      </c>
      <c r="H1832">
        <v>1</v>
      </c>
      <c r="I1832">
        <v>0.15331610680447891</v>
      </c>
      <c r="J1832">
        <v>0.46358653093187158</v>
      </c>
      <c r="K1832" t="s">
        <v>432</v>
      </c>
      <c r="L1832">
        <v>0.54032889584964761</v>
      </c>
      <c r="M1832">
        <v>1</v>
      </c>
      <c r="N1832">
        <v>7.2463768115942004E-3</v>
      </c>
      <c r="O1832" t="s">
        <v>433</v>
      </c>
      <c r="P1832">
        <v>685</v>
      </c>
      <c r="Q1832">
        <v>0.98540145985401462</v>
      </c>
      <c r="R1832">
        <v>0</v>
      </c>
      <c r="T1832">
        <v>0</v>
      </c>
      <c r="U1832" t="b">
        <v>0</v>
      </c>
      <c r="V1832">
        <v>29.666666666666661</v>
      </c>
      <c r="Y1832">
        <v>0</v>
      </c>
      <c r="Z1832">
        <v>23</v>
      </c>
      <c r="AA1832">
        <v>2.6981487639951202E-2</v>
      </c>
      <c r="AB1832">
        <v>4.4094202898550732</v>
      </c>
      <c r="AC1832">
        <v>0.1566727764685345</v>
      </c>
      <c r="AD1832">
        <v>2.92011019283746E-2</v>
      </c>
      <c r="AE1832">
        <v>0</v>
      </c>
      <c r="AF1832" t="b">
        <v>0</v>
      </c>
    </row>
    <row r="1833" spans="1:32" x14ac:dyDescent="0.3">
      <c r="A1833" t="s">
        <v>3678</v>
      </c>
      <c r="B1833" t="s">
        <v>3679</v>
      </c>
      <c r="C1833" t="s">
        <v>431</v>
      </c>
      <c r="D1833">
        <v>102</v>
      </c>
      <c r="E1833">
        <v>798</v>
      </c>
      <c r="F1833">
        <v>54</v>
      </c>
      <c r="G1833">
        <v>245</v>
      </c>
      <c r="H1833">
        <v>2</v>
      </c>
      <c r="I1833">
        <v>0.14536340852130319</v>
      </c>
      <c r="J1833">
        <v>0.56222222222222218</v>
      </c>
      <c r="K1833" t="s">
        <v>432</v>
      </c>
      <c r="L1833">
        <v>0.45555555555555549</v>
      </c>
      <c r="M1833">
        <v>1</v>
      </c>
      <c r="N1833">
        <v>3.9024390243902397E-2</v>
      </c>
      <c r="O1833" t="s">
        <v>433</v>
      </c>
      <c r="P1833">
        <v>394</v>
      </c>
      <c r="Q1833">
        <v>1</v>
      </c>
      <c r="R1833">
        <v>0</v>
      </c>
      <c r="T1833">
        <v>0</v>
      </c>
      <c r="U1833" t="b">
        <v>0</v>
      </c>
      <c r="Y1833">
        <v>0</v>
      </c>
      <c r="Z1833">
        <v>48</v>
      </c>
      <c r="AA1833">
        <v>0</v>
      </c>
      <c r="AB1833">
        <v>0</v>
      </c>
      <c r="AE1833">
        <v>0</v>
      </c>
      <c r="AF1833" t="b">
        <v>0</v>
      </c>
    </row>
    <row r="1834" spans="1:32" x14ac:dyDescent="0.3">
      <c r="A1834" t="s">
        <v>3680</v>
      </c>
      <c r="B1834" t="s">
        <v>3681</v>
      </c>
      <c r="C1834" t="s">
        <v>431</v>
      </c>
      <c r="D1834">
        <v>86</v>
      </c>
      <c r="E1834">
        <v>948</v>
      </c>
      <c r="F1834">
        <v>263</v>
      </c>
      <c r="G1834">
        <v>180</v>
      </c>
      <c r="H1834">
        <v>1</v>
      </c>
      <c r="I1834">
        <v>0.20042194092827001</v>
      </c>
      <c r="J1834">
        <v>0.52023121387283233</v>
      </c>
      <c r="K1834" t="s">
        <v>432</v>
      </c>
      <c r="L1834">
        <v>0.50674373795761074</v>
      </c>
      <c r="M1834">
        <v>1</v>
      </c>
      <c r="N1834">
        <v>5.3231939163497999E-2</v>
      </c>
      <c r="O1834" t="s">
        <v>433</v>
      </c>
      <c r="P1834">
        <v>498</v>
      </c>
      <c r="Q1834">
        <v>0.99196787148594379</v>
      </c>
      <c r="R1834">
        <v>0</v>
      </c>
      <c r="T1834">
        <v>0</v>
      </c>
      <c r="U1834" t="b">
        <v>0</v>
      </c>
      <c r="Y1834">
        <v>0</v>
      </c>
      <c r="Z1834">
        <v>10</v>
      </c>
      <c r="AA1834">
        <v>0</v>
      </c>
      <c r="AB1834">
        <v>0</v>
      </c>
      <c r="AE1834">
        <v>0</v>
      </c>
      <c r="AF1834" t="b">
        <v>0</v>
      </c>
    </row>
    <row r="1835" spans="1:32" x14ac:dyDescent="0.3">
      <c r="A1835" t="s">
        <v>3682</v>
      </c>
      <c r="B1835" t="s">
        <v>3683</v>
      </c>
      <c r="C1835" t="s">
        <v>431</v>
      </c>
      <c r="D1835">
        <v>269</v>
      </c>
      <c r="E1835">
        <v>1636</v>
      </c>
      <c r="F1835">
        <v>157</v>
      </c>
      <c r="G1835">
        <v>240</v>
      </c>
      <c r="H1835">
        <v>1</v>
      </c>
      <c r="I1835">
        <v>0.39853300733496327</v>
      </c>
      <c r="J1835">
        <v>0.69569779643231899</v>
      </c>
      <c r="K1835" t="s">
        <v>432</v>
      </c>
      <c r="L1835">
        <v>0.30587618048268628</v>
      </c>
      <c r="M1835">
        <v>1</v>
      </c>
      <c r="N1835">
        <v>5.1457975986277001E-3</v>
      </c>
      <c r="O1835" t="s">
        <v>433</v>
      </c>
      <c r="P1835">
        <v>580</v>
      </c>
      <c r="Q1835">
        <v>1</v>
      </c>
      <c r="R1835">
        <v>0</v>
      </c>
      <c r="T1835">
        <v>0</v>
      </c>
      <c r="U1835" t="b">
        <v>0</v>
      </c>
      <c r="V1835">
        <v>0</v>
      </c>
      <c r="Y1835">
        <v>0</v>
      </c>
      <c r="Z1835">
        <v>77</v>
      </c>
      <c r="AA1835">
        <v>2.2497500277745999E-3</v>
      </c>
      <c r="AB1835">
        <v>0.52597402597402598</v>
      </c>
      <c r="AC1835">
        <v>0</v>
      </c>
      <c r="AD1835">
        <v>0</v>
      </c>
      <c r="AE1835">
        <v>0</v>
      </c>
      <c r="AF1835" t="b">
        <v>0</v>
      </c>
    </row>
    <row r="1836" spans="1:32" x14ac:dyDescent="0.3">
      <c r="A1836" t="s">
        <v>3684</v>
      </c>
      <c r="B1836" t="s">
        <v>3685</v>
      </c>
      <c r="C1836" t="s">
        <v>431</v>
      </c>
      <c r="D1836">
        <v>327</v>
      </c>
      <c r="E1836">
        <v>4644</v>
      </c>
      <c r="F1836">
        <v>16</v>
      </c>
      <c r="G1836">
        <v>60</v>
      </c>
      <c r="H1836">
        <v>60</v>
      </c>
      <c r="I1836">
        <v>1</v>
      </c>
      <c r="J1836">
        <v>1</v>
      </c>
      <c r="K1836" t="s">
        <v>432</v>
      </c>
      <c r="L1836">
        <v>0.89053341148886289</v>
      </c>
      <c r="M1836">
        <v>1</v>
      </c>
      <c r="N1836">
        <v>1</v>
      </c>
      <c r="O1836" t="s">
        <v>433</v>
      </c>
      <c r="P1836">
        <v>0</v>
      </c>
      <c r="R1836">
        <v>0</v>
      </c>
      <c r="T1836">
        <v>0</v>
      </c>
      <c r="U1836" t="b">
        <v>0</v>
      </c>
      <c r="V1836">
        <v>0.79470198675496684</v>
      </c>
      <c r="Y1836">
        <v>0</v>
      </c>
      <c r="Z1836">
        <v>227</v>
      </c>
      <c r="AA1836">
        <v>1.0351966873706001E-3</v>
      </c>
      <c r="AB1836">
        <v>8.8105726872246701E-2</v>
      </c>
      <c r="AC1836">
        <v>0</v>
      </c>
      <c r="AD1836">
        <v>2.8735632183907998E-3</v>
      </c>
      <c r="AE1836">
        <v>0</v>
      </c>
      <c r="AF1836" t="b">
        <v>0</v>
      </c>
    </row>
    <row r="1837" spans="1:32" x14ac:dyDescent="0.3">
      <c r="A1837" t="s">
        <v>3686</v>
      </c>
      <c r="B1837" t="s">
        <v>3687</v>
      </c>
      <c r="C1837" t="s">
        <v>431</v>
      </c>
      <c r="D1837">
        <v>626</v>
      </c>
      <c r="E1837">
        <v>9246</v>
      </c>
      <c r="F1837">
        <v>7</v>
      </c>
      <c r="G1837">
        <v>60</v>
      </c>
      <c r="H1837">
        <v>60</v>
      </c>
      <c r="I1837">
        <v>1</v>
      </c>
      <c r="J1837">
        <v>1</v>
      </c>
      <c r="K1837" t="s">
        <v>432</v>
      </c>
      <c r="L1837">
        <v>0.88096610006722365</v>
      </c>
      <c r="M1837">
        <v>1</v>
      </c>
      <c r="N1837">
        <v>1</v>
      </c>
      <c r="O1837" t="s">
        <v>433</v>
      </c>
      <c r="P1837">
        <v>0</v>
      </c>
      <c r="R1837">
        <v>0</v>
      </c>
      <c r="T1837">
        <v>0</v>
      </c>
      <c r="U1837" t="b">
        <v>0</v>
      </c>
      <c r="V1837">
        <v>0</v>
      </c>
      <c r="Y1837">
        <v>0</v>
      </c>
      <c r="Z1837">
        <v>490</v>
      </c>
      <c r="AA1837">
        <v>-2.853881278538E-4</v>
      </c>
      <c r="AB1837">
        <v>-2.04081632653061E-2</v>
      </c>
      <c r="AC1837">
        <v>0</v>
      </c>
      <c r="AD1837">
        <v>0</v>
      </c>
      <c r="AE1837">
        <v>0</v>
      </c>
      <c r="AF1837" t="b">
        <v>0</v>
      </c>
    </row>
    <row r="1838" spans="1:32" x14ac:dyDescent="0.3">
      <c r="A1838" t="s">
        <v>3688</v>
      </c>
      <c r="B1838" t="s">
        <v>3689</v>
      </c>
      <c r="C1838" t="s">
        <v>431</v>
      </c>
      <c r="D1838">
        <v>468</v>
      </c>
      <c r="E1838">
        <v>5962</v>
      </c>
      <c r="F1838">
        <v>17</v>
      </c>
      <c r="G1838">
        <v>60</v>
      </c>
      <c r="H1838">
        <v>60</v>
      </c>
      <c r="I1838">
        <v>1</v>
      </c>
      <c r="J1838">
        <v>1</v>
      </c>
      <c r="K1838" t="s">
        <v>432</v>
      </c>
      <c r="L1838">
        <v>0.63752321981424154</v>
      </c>
      <c r="M1838">
        <v>1</v>
      </c>
      <c r="N1838">
        <v>1</v>
      </c>
      <c r="O1838" t="s">
        <v>433</v>
      </c>
      <c r="P1838">
        <v>0</v>
      </c>
      <c r="R1838">
        <v>0</v>
      </c>
      <c r="T1838">
        <v>0</v>
      </c>
      <c r="U1838" t="b">
        <v>0</v>
      </c>
      <c r="V1838">
        <v>0</v>
      </c>
      <c r="Y1838">
        <v>0</v>
      </c>
      <c r="Z1838">
        <v>129</v>
      </c>
      <c r="AA1838">
        <v>0</v>
      </c>
      <c r="AB1838">
        <v>0</v>
      </c>
      <c r="AC1838">
        <v>0</v>
      </c>
      <c r="AD1838">
        <v>0</v>
      </c>
      <c r="AE1838">
        <v>0</v>
      </c>
      <c r="AF1838" t="b">
        <v>0</v>
      </c>
    </row>
    <row r="1839" spans="1:32" x14ac:dyDescent="0.3">
      <c r="A1839" t="s">
        <v>3690</v>
      </c>
      <c r="B1839" t="s">
        <v>3691</v>
      </c>
      <c r="C1839" t="s">
        <v>431</v>
      </c>
      <c r="D1839">
        <v>759</v>
      </c>
      <c r="E1839">
        <v>16164</v>
      </c>
      <c r="F1839">
        <v>13</v>
      </c>
      <c r="G1839">
        <v>60</v>
      </c>
      <c r="H1839">
        <v>60</v>
      </c>
      <c r="I1839">
        <v>1</v>
      </c>
      <c r="J1839">
        <v>1</v>
      </c>
      <c r="K1839" t="s">
        <v>432</v>
      </c>
      <c r="L1839">
        <v>0.84909155053801377</v>
      </c>
      <c r="M1839">
        <v>1</v>
      </c>
      <c r="N1839">
        <v>1</v>
      </c>
      <c r="O1839" t="s">
        <v>433</v>
      </c>
      <c r="P1839">
        <v>0</v>
      </c>
      <c r="R1839">
        <v>0</v>
      </c>
      <c r="T1839">
        <v>0</v>
      </c>
      <c r="U1839" t="b">
        <v>0</v>
      </c>
      <c r="V1839">
        <v>1.335849056603774</v>
      </c>
      <c r="Y1839">
        <v>0</v>
      </c>
      <c r="Z1839">
        <v>836</v>
      </c>
      <c r="AA1839">
        <v>9.3713273314150001E-4</v>
      </c>
      <c r="AB1839">
        <v>8.1709956709956705E-2</v>
      </c>
      <c r="AC1839">
        <v>5.2197772752119002E-3</v>
      </c>
      <c r="AD1839">
        <v>5.9400422298201997E-3</v>
      </c>
      <c r="AE1839">
        <v>0</v>
      </c>
      <c r="AF1839" t="b">
        <v>0</v>
      </c>
    </row>
    <row r="1840" spans="1:32" x14ac:dyDescent="0.3">
      <c r="A1840" t="s">
        <v>3692</v>
      </c>
      <c r="B1840" t="s">
        <v>3693</v>
      </c>
      <c r="C1840" t="s">
        <v>431</v>
      </c>
      <c r="D1840">
        <v>59</v>
      </c>
      <c r="E1840">
        <v>602</v>
      </c>
      <c r="F1840">
        <v>22</v>
      </c>
      <c r="G1840">
        <v>270</v>
      </c>
      <c r="H1840">
        <v>60</v>
      </c>
      <c r="I1840">
        <v>1.9933554817275701E-2</v>
      </c>
      <c r="J1840">
        <v>0</v>
      </c>
      <c r="K1840" t="s">
        <v>86</v>
      </c>
      <c r="P1840">
        <v>0</v>
      </c>
      <c r="R1840">
        <v>0</v>
      </c>
      <c r="T1840">
        <v>0</v>
      </c>
      <c r="U1840" t="b">
        <v>0</v>
      </c>
      <c r="Y1840">
        <v>0</v>
      </c>
      <c r="Z1840">
        <v>43</v>
      </c>
      <c r="AA1840">
        <v>-1.1640679099308999E-3</v>
      </c>
      <c r="AB1840">
        <v>-0.32392026578073041</v>
      </c>
      <c r="AC1840">
        <v>-1.2018489984591599E-2</v>
      </c>
      <c r="AD1840">
        <v>3.0816640986132001E-3</v>
      </c>
      <c r="AE1840">
        <v>0</v>
      </c>
      <c r="AF1840" t="b">
        <v>0</v>
      </c>
    </row>
    <row r="1841" spans="1:35" x14ac:dyDescent="0.3">
      <c r="A1841" t="s">
        <v>3694</v>
      </c>
      <c r="B1841" t="s">
        <v>3695</v>
      </c>
      <c r="C1841" t="s">
        <v>431</v>
      </c>
      <c r="D1841">
        <v>117</v>
      </c>
      <c r="E1841">
        <v>740</v>
      </c>
      <c r="F1841">
        <v>19</v>
      </c>
      <c r="G1841">
        <v>240</v>
      </c>
      <c r="H1841">
        <v>60</v>
      </c>
      <c r="I1841">
        <v>0.99459459459459465</v>
      </c>
      <c r="J1841">
        <v>0.99777530589543939</v>
      </c>
      <c r="K1841" t="s">
        <v>432</v>
      </c>
      <c r="L1841">
        <v>6.25651720542231E-2</v>
      </c>
      <c r="M1841">
        <v>0.99777530589543939</v>
      </c>
      <c r="O1841" t="s">
        <v>518</v>
      </c>
      <c r="P1841">
        <v>0</v>
      </c>
      <c r="R1841">
        <v>2</v>
      </c>
      <c r="S1841">
        <v>0</v>
      </c>
      <c r="T1841">
        <v>0</v>
      </c>
      <c r="U1841" t="b">
        <v>0</v>
      </c>
      <c r="V1841">
        <v>0.55000000000000004</v>
      </c>
      <c r="Y1841">
        <v>6.25651720542231E-2</v>
      </c>
      <c r="Z1841">
        <v>19</v>
      </c>
      <c r="AA1841">
        <v>1.4084507042253501E-2</v>
      </c>
      <c r="AB1841">
        <v>3.9473684210526319</v>
      </c>
      <c r="AC1841">
        <v>3.7037037037037E-2</v>
      </c>
      <c r="AD1841">
        <v>3.7037037037037E-2</v>
      </c>
      <c r="AE1841">
        <v>0</v>
      </c>
      <c r="AF1841" t="b">
        <v>0</v>
      </c>
    </row>
    <row r="1842" spans="1:35" x14ac:dyDescent="0.3">
      <c r="A1842" t="s">
        <v>3696</v>
      </c>
      <c r="B1842" t="s">
        <v>3697</v>
      </c>
      <c r="C1842" t="s">
        <v>431</v>
      </c>
      <c r="D1842">
        <v>178</v>
      </c>
      <c r="E1842">
        <v>2375</v>
      </c>
      <c r="F1842">
        <v>9</v>
      </c>
      <c r="G1842">
        <v>60</v>
      </c>
      <c r="H1842">
        <v>60</v>
      </c>
      <c r="I1842">
        <v>1</v>
      </c>
      <c r="J1842">
        <v>1</v>
      </c>
      <c r="K1842" t="s">
        <v>86</v>
      </c>
      <c r="P1842">
        <v>0</v>
      </c>
      <c r="R1842">
        <v>0</v>
      </c>
      <c r="T1842">
        <v>0</v>
      </c>
      <c r="U1842" t="b">
        <v>0</v>
      </c>
      <c r="Y1842">
        <v>0</v>
      </c>
      <c r="Z1842">
        <v>150</v>
      </c>
      <c r="AA1842">
        <v>0</v>
      </c>
      <c r="AB1842">
        <v>0</v>
      </c>
      <c r="AD1842">
        <v>0</v>
      </c>
      <c r="AE1842">
        <v>0</v>
      </c>
      <c r="AF1842" t="b">
        <v>0</v>
      </c>
    </row>
    <row r="1843" spans="1:35" x14ac:dyDescent="0.3">
      <c r="A1843" t="s">
        <v>3698</v>
      </c>
      <c r="B1843" t="s">
        <v>3699</v>
      </c>
      <c r="C1843" t="s">
        <v>431</v>
      </c>
      <c r="D1843">
        <v>502</v>
      </c>
      <c r="E1843">
        <v>9414</v>
      </c>
      <c r="F1843">
        <v>6</v>
      </c>
      <c r="G1843">
        <v>60</v>
      </c>
      <c r="H1843">
        <v>60</v>
      </c>
      <c r="I1843">
        <v>1</v>
      </c>
      <c r="J1843">
        <v>1</v>
      </c>
      <c r="K1843" t="s">
        <v>86</v>
      </c>
      <c r="P1843">
        <v>0</v>
      </c>
      <c r="R1843">
        <v>0</v>
      </c>
      <c r="T1843">
        <v>0</v>
      </c>
      <c r="U1843" t="b">
        <v>0</v>
      </c>
      <c r="Y1843">
        <v>6.72519754170324E-2</v>
      </c>
      <c r="Z1843">
        <v>211</v>
      </c>
      <c r="AA1843">
        <v>-3.6873156342180001E-4</v>
      </c>
      <c r="AB1843">
        <v>-3.5545023696682401E-2</v>
      </c>
      <c r="AC1843">
        <v>0</v>
      </c>
      <c r="AD1843">
        <v>-7.3746312684360002E-4</v>
      </c>
      <c r="AE1843">
        <v>0</v>
      </c>
      <c r="AF1843" t="b">
        <v>0</v>
      </c>
    </row>
    <row r="1844" spans="1:35" x14ac:dyDescent="0.3">
      <c r="A1844" t="s">
        <v>3700</v>
      </c>
      <c r="B1844" t="s">
        <v>3701</v>
      </c>
      <c r="C1844" t="s">
        <v>431</v>
      </c>
      <c r="D1844">
        <v>91</v>
      </c>
      <c r="E1844">
        <v>1058</v>
      </c>
      <c r="F1844">
        <v>12</v>
      </c>
      <c r="G1844">
        <v>120</v>
      </c>
      <c r="H1844">
        <v>300</v>
      </c>
      <c r="I1844">
        <v>1</v>
      </c>
      <c r="J1844">
        <v>1</v>
      </c>
      <c r="K1844" t="s">
        <v>86</v>
      </c>
      <c r="P1844">
        <v>0</v>
      </c>
      <c r="R1844">
        <v>0</v>
      </c>
      <c r="T1844">
        <v>0</v>
      </c>
      <c r="U1844" t="b">
        <v>0</v>
      </c>
      <c r="V1844">
        <v>0</v>
      </c>
      <c r="Y1844">
        <v>0</v>
      </c>
      <c r="Z1844">
        <v>32</v>
      </c>
      <c r="AA1844">
        <v>0</v>
      </c>
      <c r="AB1844">
        <v>0</v>
      </c>
      <c r="AC1844">
        <v>0</v>
      </c>
      <c r="AD1844">
        <v>0</v>
      </c>
      <c r="AE1844">
        <v>0</v>
      </c>
      <c r="AF1844" t="b">
        <v>0</v>
      </c>
    </row>
    <row r="1845" spans="1:35" x14ac:dyDescent="0.3">
      <c r="A1845" t="s">
        <v>3702</v>
      </c>
      <c r="B1845" t="s">
        <v>1657</v>
      </c>
      <c r="C1845" t="s">
        <v>479</v>
      </c>
      <c r="D1845">
        <v>140618</v>
      </c>
      <c r="E1845">
        <v>1966075</v>
      </c>
      <c r="F1845">
        <v>56</v>
      </c>
      <c r="G1845">
        <v>60</v>
      </c>
      <c r="H1845">
        <v>60</v>
      </c>
      <c r="I1845">
        <v>1</v>
      </c>
      <c r="J1845">
        <v>1</v>
      </c>
      <c r="K1845" t="s">
        <v>86</v>
      </c>
      <c r="P1845">
        <v>0</v>
      </c>
      <c r="R1845">
        <v>0</v>
      </c>
      <c r="T1845">
        <v>2</v>
      </c>
      <c r="U1845" t="b">
        <v>1</v>
      </c>
      <c r="V1845">
        <v>3.339231682437886</v>
      </c>
      <c r="W1845">
        <v>7.5621608565590908</v>
      </c>
      <c r="X1845" t="b">
        <v>0</v>
      </c>
      <c r="Y1845">
        <v>0</v>
      </c>
      <c r="Z1845">
        <v>47917</v>
      </c>
      <c r="AA1845">
        <v>1.1185139029111699E-2</v>
      </c>
      <c r="AB1845">
        <v>1.0596956349221249</v>
      </c>
      <c r="AC1845">
        <v>9.4452998077691995E-3</v>
      </c>
      <c r="AD1845">
        <v>1.9678709923200199E-2</v>
      </c>
      <c r="AE1845">
        <v>3</v>
      </c>
      <c r="AF1845" t="b">
        <v>1</v>
      </c>
      <c r="AG1845">
        <v>1.52625882731331E-2</v>
      </c>
      <c r="AH1845">
        <v>1.276301409611216</v>
      </c>
      <c r="AI1845" t="b">
        <v>0</v>
      </c>
    </row>
    <row r="1846" spans="1:35" x14ac:dyDescent="0.3">
      <c r="A1846" t="s">
        <v>3703</v>
      </c>
      <c r="B1846" t="s">
        <v>3704</v>
      </c>
      <c r="C1846" t="s">
        <v>454</v>
      </c>
      <c r="D1846">
        <v>421</v>
      </c>
      <c r="E1846">
        <v>8713</v>
      </c>
      <c r="F1846">
        <v>6</v>
      </c>
      <c r="G1846">
        <v>60</v>
      </c>
      <c r="H1846">
        <v>60</v>
      </c>
      <c r="I1846">
        <v>1</v>
      </c>
      <c r="J1846">
        <v>1</v>
      </c>
      <c r="K1846" t="s">
        <v>86</v>
      </c>
      <c r="P1846">
        <v>0</v>
      </c>
      <c r="R1846">
        <v>0</v>
      </c>
      <c r="T1846">
        <v>0</v>
      </c>
      <c r="U1846" t="b">
        <v>0</v>
      </c>
      <c r="V1846">
        <v>0.88826815642458101</v>
      </c>
      <c r="Y1846">
        <v>0</v>
      </c>
      <c r="Z1846">
        <v>217</v>
      </c>
      <c r="AA1846">
        <v>-8.8829187971227707E-5</v>
      </c>
      <c r="AB1846">
        <v>-7.3613022921778003E-3</v>
      </c>
      <c r="AC1846">
        <v>1.4537654909437001E-3</v>
      </c>
      <c r="AD1846">
        <v>-3.0048076923076001E-3</v>
      </c>
      <c r="AE1846">
        <v>0</v>
      </c>
      <c r="AF1846" t="b">
        <v>0</v>
      </c>
    </row>
    <row r="1847" spans="1:35" x14ac:dyDescent="0.3">
      <c r="A1847" t="s">
        <v>3705</v>
      </c>
      <c r="B1847" t="s">
        <v>3706</v>
      </c>
      <c r="C1847" t="s">
        <v>431</v>
      </c>
      <c r="D1847">
        <v>1964</v>
      </c>
      <c r="E1847">
        <v>76963</v>
      </c>
      <c r="F1847">
        <v>519</v>
      </c>
      <c r="G1847">
        <v>55</v>
      </c>
      <c r="H1847">
        <v>1</v>
      </c>
      <c r="I1847">
        <v>3.0209321362213E-2</v>
      </c>
      <c r="J1847">
        <v>0.168640101201771</v>
      </c>
      <c r="K1847" t="s">
        <v>432</v>
      </c>
      <c r="L1847">
        <v>0.86352941176470588</v>
      </c>
      <c r="M1847">
        <v>1</v>
      </c>
      <c r="N1847">
        <v>3.7253523190061803E-2</v>
      </c>
      <c r="O1847" t="s">
        <v>433</v>
      </c>
      <c r="P1847">
        <v>65719</v>
      </c>
      <c r="Q1847">
        <v>0.123312892770736</v>
      </c>
      <c r="R1847">
        <v>0</v>
      </c>
      <c r="T1847">
        <v>0</v>
      </c>
      <c r="U1847" t="b">
        <v>0</v>
      </c>
      <c r="V1847">
        <v>7.5380553974577884</v>
      </c>
      <c r="Y1847">
        <v>0</v>
      </c>
      <c r="Z1847">
        <v>2853</v>
      </c>
      <c r="AA1847">
        <v>2.6182533292553E-2</v>
      </c>
      <c r="AB1847">
        <v>1.9808276332461401</v>
      </c>
      <c r="AC1847">
        <v>-2.5091868738807001E-3</v>
      </c>
      <c r="AD1847">
        <v>4.2624934005764697E-2</v>
      </c>
      <c r="AE1847">
        <v>0</v>
      </c>
      <c r="AF1847" t="b">
        <v>0</v>
      </c>
    </row>
    <row r="1848" spans="1:35" x14ac:dyDescent="0.3">
      <c r="A1848" t="s">
        <v>3707</v>
      </c>
      <c r="B1848" t="s">
        <v>3708</v>
      </c>
      <c r="C1848" t="s">
        <v>573</v>
      </c>
      <c r="D1848">
        <v>3934</v>
      </c>
      <c r="E1848">
        <v>78770</v>
      </c>
      <c r="F1848">
        <v>7</v>
      </c>
      <c r="G1848">
        <v>120</v>
      </c>
      <c r="H1848">
        <v>60</v>
      </c>
      <c r="I1848">
        <v>1</v>
      </c>
      <c r="J1848">
        <v>1</v>
      </c>
      <c r="K1848" t="s">
        <v>86</v>
      </c>
      <c r="P1848">
        <v>0</v>
      </c>
      <c r="R1848">
        <v>0</v>
      </c>
      <c r="T1848">
        <v>0</v>
      </c>
      <c r="U1848" t="b">
        <v>0</v>
      </c>
      <c r="V1848">
        <v>1.0016529506928331</v>
      </c>
      <c r="Y1848">
        <v>0</v>
      </c>
      <c r="Z1848">
        <v>1527</v>
      </c>
      <c r="AA1848">
        <v>1.8596053509730001E-3</v>
      </c>
      <c r="AB1848">
        <v>0.1960824401018553</v>
      </c>
      <c r="AC1848">
        <v>3.9169938386612001E-3</v>
      </c>
      <c r="AD1848">
        <v>8.1606760322092996E-5</v>
      </c>
      <c r="AE1848">
        <v>0</v>
      </c>
      <c r="AF1848" t="b">
        <v>0</v>
      </c>
    </row>
    <row r="1849" spans="1:35" x14ac:dyDescent="0.3">
      <c r="A1849" t="s">
        <v>3709</v>
      </c>
      <c r="B1849" t="s">
        <v>3710</v>
      </c>
      <c r="C1849" t="s">
        <v>431</v>
      </c>
      <c r="D1849">
        <v>109</v>
      </c>
      <c r="E1849">
        <v>3813</v>
      </c>
      <c r="F1849">
        <v>112</v>
      </c>
      <c r="G1849">
        <v>52</v>
      </c>
      <c r="H1849">
        <v>1</v>
      </c>
      <c r="I1849">
        <v>0.18699186991869909</v>
      </c>
      <c r="J1849">
        <v>0.37333333333333329</v>
      </c>
      <c r="K1849" t="s">
        <v>432</v>
      </c>
      <c r="L1849">
        <v>9.2470277410831997E-3</v>
      </c>
      <c r="M1849">
        <v>0.37333333333333329</v>
      </c>
      <c r="O1849" t="s">
        <v>433</v>
      </c>
      <c r="P1849">
        <v>0</v>
      </c>
      <c r="R1849">
        <v>1859</v>
      </c>
      <c r="S1849">
        <v>0.56213017751479288</v>
      </c>
      <c r="T1849">
        <v>0</v>
      </c>
      <c r="U1849" t="b">
        <v>0</v>
      </c>
      <c r="V1849">
        <v>0</v>
      </c>
      <c r="Y1849">
        <v>9.2470277410831997E-3</v>
      </c>
      <c r="Z1849">
        <v>173</v>
      </c>
      <c r="AA1849">
        <v>-3.2623386307490001E-4</v>
      </c>
      <c r="AB1849">
        <v>-2.0231213872832301E-2</v>
      </c>
      <c r="AC1849">
        <v>-7.497054728499E-4</v>
      </c>
      <c r="AD1849">
        <v>-7.8572230328879998E-4</v>
      </c>
      <c r="AE1849">
        <v>0</v>
      </c>
      <c r="AF1849" t="b">
        <v>0</v>
      </c>
    </row>
    <row r="1850" spans="1:35" x14ac:dyDescent="0.3">
      <c r="A1850" t="s">
        <v>3711</v>
      </c>
      <c r="B1850" t="s">
        <v>3712</v>
      </c>
      <c r="C1850" t="s">
        <v>431</v>
      </c>
      <c r="D1850">
        <v>316</v>
      </c>
      <c r="E1850">
        <v>25</v>
      </c>
      <c r="F1850">
        <v>1</v>
      </c>
      <c r="G1850">
        <v>60</v>
      </c>
      <c r="I1850">
        <v>1</v>
      </c>
      <c r="J1850">
        <v>1</v>
      </c>
      <c r="K1850" t="s">
        <v>432</v>
      </c>
      <c r="L1850">
        <v>0.8210571306453911</v>
      </c>
      <c r="M1850">
        <v>1</v>
      </c>
      <c r="O1850" t="s">
        <v>433</v>
      </c>
      <c r="P1850">
        <v>0</v>
      </c>
      <c r="R1850">
        <v>0</v>
      </c>
      <c r="T1850">
        <v>0</v>
      </c>
      <c r="U1850" t="b">
        <v>0</v>
      </c>
      <c r="Y1850">
        <v>0.8210571306453911</v>
      </c>
      <c r="Z1850">
        <v>2</v>
      </c>
      <c r="AA1850">
        <v>0</v>
      </c>
      <c r="AB1850">
        <v>0</v>
      </c>
      <c r="AE1850">
        <v>0</v>
      </c>
      <c r="AF1850" t="b">
        <v>0</v>
      </c>
    </row>
    <row r="1851" spans="1:35" x14ac:dyDescent="0.3">
      <c r="A1851" t="s">
        <v>3713</v>
      </c>
      <c r="B1851" t="s">
        <v>3714</v>
      </c>
      <c r="C1851" t="s">
        <v>2802</v>
      </c>
      <c r="D1851">
        <v>130</v>
      </c>
      <c r="E1851">
        <v>975</v>
      </c>
      <c r="F1851">
        <v>9</v>
      </c>
      <c r="G1851">
        <v>180</v>
      </c>
      <c r="H1851">
        <v>60</v>
      </c>
      <c r="I1851">
        <v>1</v>
      </c>
      <c r="J1851">
        <v>1</v>
      </c>
      <c r="K1851" t="s">
        <v>86</v>
      </c>
      <c r="P1851">
        <v>0</v>
      </c>
      <c r="R1851">
        <v>0</v>
      </c>
      <c r="T1851">
        <v>0</v>
      </c>
      <c r="U1851" t="b">
        <v>0</v>
      </c>
      <c r="Y1851">
        <v>0</v>
      </c>
      <c r="Z1851">
        <v>75</v>
      </c>
      <c r="AA1851">
        <v>0</v>
      </c>
      <c r="AB1851">
        <v>0</v>
      </c>
      <c r="AE1851">
        <v>0</v>
      </c>
      <c r="AF1851" t="b">
        <v>0</v>
      </c>
    </row>
    <row r="1852" spans="1:35" x14ac:dyDescent="0.3">
      <c r="A1852" t="s">
        <v>3715</v>
      </c>
      <c r="B1852" t="s">
        <v>3716</v>
      </c>
      <c r="C1852" t="s">
        <v>431</v>
      </c>
      <c r="D1852">
        <v>140</v>
      </c>
      <c r="E1852">
        <v>169</v>
      </c>
      <c r="F1852">
        <v>17</v>
      </c>
      <c r="G1852">
        <v>480</v>
      </c>
      <c r="H1852">
        <v>60</v>
      </c>
      <c r="I1852">
        <v>1</v>
      </c>
      <c r="J1852">
        <v>1</v>
      </c>
      <c r="K1852" t="s">
        <v>86</v>
      </c>
      <c r="P1852">
        <v>0</v>
      </c>
      <c r="R1852">
        <v>0</v>
      </c>
      <c r="T1852">
        <v>0</v>
      </c>
      <c r="U1852" t="b">
        <v>0</v>
      </c>
      <c r="Y1852">
        <v>0.12564102564102561</v>
      </c>
      <c r="Z1852">
        <v>0</v>
      </c>
      <c r="AE1852">
        <v>0</v>
      </c>
      <c r="AF1852" t="b">
        <v>0</v>
      </c>
    </row>
    <row r="1853" spans="1:35" x14ac:dyDescent="0.3">
      <c r="A1853" t="s">
        <v>3717</v>
      </c>
      <c r="B1853" t="s">
        <v>3718</v>
      </c>
      <c r="C1853" t="s">
        <v>431</v>
      </c>
      <c r="D1853">
        <v>356</v>
      </c>
      <c r="E1853">
        <v>15286</v>
      </c>
      <c r="F1853">
        <v>297</v>
      </c>
      <c r="G1853">
        <v>28</v>
      </c>
      <c r="H1853">
        <v>1</v>
      </c>
      <c r="I1853">
        <v>6.7381918094987997E-3</v>
      </c>
      <c r="J1853">
        <v>0.1118206782042276</v>
      </c>
      <c r="K1853" t="s">
        <v>432</v>
      </c>
      <c r="L1853">
        <v>0.90356983204546903</v>
      </c>
      <c r="M1853">
        <v>1</v>
      </c>
      <c r="N1853">
        <v>1.7033005866138901E-2</v>
      </c>
      <c r="O1853" t="s">
        <v>433</v>
      </c>
      <c r="P1853">
        <v>13908</v>
      </c>
      <c r="Q1853">
        <v>1</v>
      </c>
      <c r="R1853">
        <v>0</v>
      </c>
      <c r="T1853">
        <v>0</v>
      </c>
      <c r="U1853" t="b">
        <v>0</v>
      </c>
      <c r="V1853">
        <v>10.720545977011501</v>
      </c>
      <c r="Y1853">
        <v>0</v>
      </c>
      <c r="Z1853">
        <v>870</v>
      </c>
      <c r="AA1853">
        <v>-1.32464780211191E-2</v>
      </c>
      <c r="AB1853">
        <v>-0.61178434592227693</v>
      </c>
      <c r="AC1853">
        <v>1.3353564637110399E-2</v>
      </c>
      <c r="AD1853">
        <v>-6.1380039453322998E-3</v>
      </c>
      <c r="AE1853">
        <v>0</v>
      </c>
      <c r="AF1853" t="b">
        <v>0</v>
      </c>
    </row>
    <row r="1854" spans="1:35" x14ac:dyDescent="0.3">
      <c r="A1854" t="s">
        <v>3719</v>
      </c>
      <c r="B1854" t="s">
        <v>3720</v>
      </c>
      <c r="C1854" t="s">
        <v>831</v>
      </c>
      <c r="D1854">
        <v>571</v>
      </c>
      <c r="E1854">
        <v>10219</v>
      </c>
      <c r="F1854">
        <v>16</v>
      </c>
      <c r="G1854">
        <v>60</v>
      </c>
      <c r="H1854">
        <v>60</v>
      </c>
      <c r="I1854">
        <v>0.98052647030042084</v>
      </c>
      <c r="J1854">
        <v>0.99051740011047684</v>
      </c>
      <c r="K1854" t="s">
        <v>86</v>
      </c>
      <c r="P1854">
        <v>0</v>
      </c>
      <c r="R1854">
        <v>0</v>
      </c>
      <c r="T1854">
        <v>0</v>
      </c>
      <c r="U1854" t="b">
        <v>0</v>
      </c>
      <c r="V1854">
        <v>0.36</v>
      </c>
      <c r="Y1854">
        <v>0</v>
      </c>
      <c r="Z1854">
        <v>245</v>
      </c>
      <c r="AA1854">
        <v>-7.1439733886989999E-4</v>
      </c>
      <c r="AB1854">
        <v>-6.2196307094266198E-2</v>
      </c>
      <c r="AC1854">
        <v>0</v>
      </c>
      <c r="AD1854">
        <v>-4.1666666666665998E-3</v>
      </c>
      <c r="AE1854">
        <v>0</v>
      </c>
      <c r="AF1854" t="b">
        <v>0</v>
      </c>
    </row>
    <row r="1855" spans="1:35" x14ac:dyDescent="0.3">
      <c r="A1855" t="s">
        <v>3721</v>
      </c>
      <c r="B1855" t="s">
        <v>3722</v>
      </c>
      <c r="C1855" t="s">
        <v>457</v>
      </c>
      <c r="D1855">
        <v>160</v>
      </c>
      <c r="E1855">
        <v>3842</v>
      </c>
      <c r="F1855">
        <v>217</v>
      </c>
      <c r="G1855">
        <v>56</v>
      </c>
      <c r="H1855">
        <v>1</v>
      </c>
      <c r="I1855">
        <v>9.55231650182196E-2</v>
      </c>
      <c r="J1855">
        <v>0.32135728542914171</v>
      </c>
      <c r="K1855" t="s">
        <v>432</v>
      </c>
      <c r="L1855">
        <v>0.74650698602794407</v>
      </c>
      <c r="M1855">
        <v>0.99803149606299202</v>
      </c>
      <c r="N1855">
        <v>9.1577540106951794E-2</v>
      </c>
      <c r="O1855" t="s">
        <v>433</v>
      </c>
      <c r="P1855">
        <v>2718</v>
      </c>
      <c r="Q1855">
        <v>0.96983075791022799</v>
      </c>
      <c r="R1855">
        <v>2</v>
      </c>
      <c r="S1855">
        <v>1</v>
      </c>
      <c r="T1855">
        <v>0</v>
      </c>
      <c r="U1855" t="b">
        <v>0</v>
      </c>
      <c r="V1855">
        <v>10.133333333333329</v>
      </c>
      <c r="Y1855">
        <v>0</v>
      </c>
      <c r="Z1855">
        <v>220</v>
      </c>
      <c r="AA1855">
        <v>8.9950293429111997E-2</v>
      </c>
      <c r="AB1855">
        <v>5.312348484848485</v>
      </c>
      <c r="AC1855">
        <v>0.1180516503006445</v>
      </c>
      <c r="AD1855">
        <v>0.1140387506263571</v>
      </c>
      <c r="AE1855">
        <v>0</v>
      </c>
      <c r="AF1855" t="b">
        <v>0</v>
      </c>
    </row>
    <row r="1856" spans="1:35" x14ac:dyDescent="0.3">
      <c r="A1856" t="s">
        <v>3723</v>
      </c>
      <c r="B1856" t="s">
        <v>3724</v>
      </c>
      <c r="C1856" t="s">
        <v>457</v>
      </c>
      <c r="D1856">
        <v>606</v>
      </c>
      <c r="E1856">
        <v>15950</v>
      </c>
      <c r="F1856">
        <v>201</v>
      </c>
      <c r="G1856">
        <v>56</v>
      </c>
      <c r="H1856">
        <v>1</v>
      </c>
      <c r="I1856">
        <v>7.4670846394984294E-2</v>
      </c>
      <c r="J1856">
        <v>0.33024765568646308</v>
      </c>
      <c r="K1856" t="s">
        <v>432</v>
      </c>
      <c r="L1856">
        <v>0.77236114450589088</v>
      </c>
      <c r="M1856">
        <v>0.98019540533403759</v>
      </c>
      <c r="N1856">
        <v>0.13868783562923179</v>
      </c>
      <c r="O1856" t="s">
        <v>518</v>
      </c>
      <c r="P1856">
        <v>11067</v>
      </c>
      <c r="Q1856">
        <v>4.8612993584530501E-2</v>
      </c>
      <c r="R1856">
        <v>66</v>
      </c>
      <c r="S1856">
        <v>0</v>
      </c>
      <c r="T1856">
        <v>0</v>
      </c>
      <c r="U1856" t="b">
        <v>0</v>
      </c>
      <c r="V1856">
        <v>6.0000369385342784</v>
      </c>
      <c r="Y1856">
        <v>0</v>
      </c>
      <c r="Z1856">
        <v>378</v>
      </c>
      <c r="AA1856">
        <v>8.3860374730471993E-3</v>
      </c>
      <c r="AB1856">
        <v>0.5910159742909511</v>
      </c>
      <c r="AC1856">
        <v>-2.3711881524381501E-2</v>
      </c>
      <c r="AD1856">
        <v>3.8960923213716497E-2</v>
      </c>
      <c r="AE1856">
        <v>0</v>
      </c>
      <c r="AF1856" t="b">
        <v>0</v>
      </c>
    </row>
    <row r="1857" spans="1:35" x14ac:dyDescent="0.3">
      <c r="A1857" t="s">
        <v>3725</v>
      </c>
      <c r="B1857" t="s">
        <v>3726</v>
      </c>
      <c r="C1857" t="s">
        <v>826</v>
      </c>
      <c r="D1857">
        <v>2619</v>
      </c>
      <c r="E1857">
        <v>41621</v>
      </c>
      <c r="F1857">
        <v>9</v>
      </c>
      <c r="G1857">
        <v>60</v>
      </c>
      <c r="H1857">
        <v>60</v>
      </c>
      <c r="I1857">
        <v>1</v>
      </c>
      <c r="J1857">
        <v>1</v>
      </c>
      <c r="K1857" t="s">
        <v>86</v>
      </c>
      <c r="P1857">
        <v>0</v>
      </c>
      <c r="R1857">
        <v>0</v>
      </c>
      <c r="T1857">
        <v>1</v>
      </c>
      <c r="U1857" t="b">
        <v>1</v>
      </c>
      <c r="V1857">
        <v>1.596028075866786</v>
      </c>
      <c r="W1857">
        <v>0</v>
      </c>
      <c r="X1857" t="b">
        <v>1</v>
      </c>
      <c r="Y1857">
        <v>0</v>
      </c>
      <c r="Z1857">
        <v>704</v>
      </c>
      <c r="AA1857">
        <v>-2.6084585837831001E-3</v>
      </c>
      <c r="AB1857">
        <v>-0.23659534498220269</v>
      </c>
      <c r="AC1857">
        <v>1.3344152916779E-3</v>
      </c>
      <c r="AD1857">
        <v>-7.5573283550910003E-3</v>
      </c>
      <c r="AE1857">
        <v>1</v>
      </c>
      <c r="AF1857" t="b">
        <v>1</v>
      </c>
      <c r="AG1857">
        <v>0</v>
      </c>
      <c r="AH1857">
        <v>0</v>
      </c>
      <c r="AI1857" t="b">
        <v>0</v>
      </c>
    </row>
    <row r="1858" spans="1:35" x14ac:dyDescent="0.3">
      <c r="A1858" t="s">
        <v>3727</v>
      </c>
      <c r="B1858" t="s">
        <v>3728</v>
      </c>
      <c r="C1858" t="s">
        <v>431</v>
      </c>
      <c r="D1858">
        <v>244</v>
      </c>
      <c r="E1858">
        <v>4123</v>
      </c>
      <c r="F1858">
        <v>147</v>
      </c>
      <c r="G1858">
        <v>63</v>
      </c>
      <c r="H1858">
        <v>1</v>
      </c>
      <c r="I1858">
        <v>2.1343681785107899E-2</v>
      </c>
      <c r="J1858">
        <v>0.26791847950538128</v>
      </c>
      <c r="K1858" t="s">
        <v>432</v>
      </c>
      <c r="L1858">
        <v>0.73208152049461872</v>
      </c>
      <c r="M1858">
        <v>1</v>
      </c>
      <c r="N1858">
        <v>0</v>
      </c>
      <c r="O1858" t="s">
        <v>518</v>
      </c>
      <c r="P1858">
        <v>3197</v>
      </c>
      <c r="Q1858">
        <v>5.5989990616202599E-2</v>
      </c>
      <c r="R1858">
        <v>0</v>
      </c>
      <c r="T1858">
        <v>0</v>
      </c>
      <c r="U1858" t="b">
        <v>0</v>
      </c>
      <c r="V1858">
        <v>0.21052631578947359</v>
      </c>
      <c r="Y1858">
        <v>0</v>
      </c>
      <c r="Z1858">
        <v>186</v>
      </c>
      <c r="AA1858">
        <v>-9.8425196850389991E-4</v>
      </c>
      <c r="AB1858">
        <v>-8.0645161290322495E-2</v>
      </c>
      <c r="AC1858">
        <v>0</v>
      </c>
      <c r="AD1858">
        <v>-2.4509803921567998E-3</v>
      </c>
      <c r="AE1858">
        <v>0</v>
      </c>
      <c r="AF1858" t="b">
        <v>0</v>
      </c>
    </row>
    <row r="1859" spans="1:35" x14ac:dyDescent="0.3">
      <c r="A1859" t="s">
        <v>3729</v>
      </c>
      <c r="B1859" t="s">
        <v>3730</v>
      </c>
      <c r="C1859" t="s">
        <v>532</v>
      </c>
      <c r="D1859">
        <v>187</v>
      </c>
      <c r="E1859">
        <v>5635</v>
      </c>
      <c r="F1859">
        <v>16</v>
      </c>
      <c r="G1859">
        <v>60</v>
      </c>
      <c r="H1859">
        <v>30</v>
      </c>
      <c r="I1859">
        <v>0.92511091393078959</v>
      </c>
      <c r="J1859">
        <v>0.93252933507170799</v>
      </c>
      <c r="K1859" t="s">
        <v>86</v>
      </c>
      <c r="P1859">
        <v>0</v>
      </c>
      <c r="R1859">
        <v>0</v>
      </c>
      <c r="T1859">
        <v>0</v>
      </c>
      <c r="U1859" t="b">
        <v>0</v>
      </c>
      <c r="Y1859">
        <v>0</v>
      </c>
      <c r="Z1859">
        <v>161</v>
      </c>
      <c r="AA1859">
        <v>-1.3661202185792001E-3</v>
      </c>
      <c r="AB1859">
        <v>-9.3167701863354005E-2</v>
      </c>
      <c r="AC1859">
        <v>0</v>
      </c>
      <c r="AE1859">
        <v>0</v>
      </c>
      <c r="AF1859" t="b">
        <v>0</v>
      </c>
    </row>
    <row r="1860" spans="1:35" x14ac:dyDescent="0.3">
      <c r="A1860" t="s">
        <v>3731</v>
      </c>
      <c r="B1860" t="s">
        <v>3732</v>
      </c>
      <c r="C1860" t="s">
        <v>549</v>
      </c>
      <c r="D1860">
        <v>3930</v>
      </c>
      <c r="E1860">
        <v>66301</v>
      </c>
      <c r="F1860">
        <v>252</v>
      </c>
      <c r="G1860">
        <v>33</v>
      </c>
      <c r="H1860">
        <v>1</v>
      </c>
      <c r="I1860">
        <v>5.7027797469118097E-2</v>
      </c>
      <c r="J1860">
        <v>0.22363343822528511</v>
      </c>
      <c r="K1860" t="s">
        <v>432</v>
      </c>
      <c r="L1860">
        <v>0.78688898064957069</v>
      </c>
      <c r="M1860">
        <v>1</v>
      </c>
      <c r="N1860">
        <v>1.3372177185871401E-2</v>
      </c>
      <c r="O1860" t="s">
        <v>433</v>
      </c>
      <c r="P1860">
        <v>54525</v>
      </c>
      <c r="Q1860">
        <v>0.19308574048601559</v>
      </c>
      <c r="R1860">
        <v>0</v>
      </c>
      <c r="T1860">
        <v>0</v>
      </c>
      <c r="U1860" t="b">
        <v>0</v>
      </c>
      <c r="V1860">
        <v>2.27929591334318</v>
      </c>
      <c r="Y1860">
        <v>0</v>
      </c>
      <c r="Z1860">
        <v>2495</v>
      </c>
      <c r="AA1860">
        <v>3.3644455640844E-3</v>
      </c>
      <c r="AB1860">
        <v>0.18896566581937321</v>
      </c>
      <c r="AC1860">
        <v>-1.7054930027487002E-2</v>
      </c>
      <c r="AD1860">
        <v>2.3541966817778901E-2</v>
      </c>
      <c r="AE1860">
        <v>0</v>
      </c>
      <c r="AF1860" t="b">
        <v>0</v>
      </c>
    </row>
    <row r="1861" spans="1:35" x14ac:dyDescent="0.3">
      <c r="A1861" t="s">
        <v>3733</v>
      </c>
      <c r="B1861" t="s">
        <v>3734</v>
      </c>
      <c r="C1861" t="s">
        <v>431</v>
      </c>
      <c r="D1861">
        <v>315</v>
      </c>
      <c r="E1861">
        <v>13175</v>
      </c>
      <c r="F1861">
        <v>197</v>
      </c>
      <c r="G1861">
        <v>61</v>
      </c>
      <c r="H1861">
        <v>1</v>
      </c>
      <c r="I1861">
        <v>2.5806451612903201E-2</v>
      </c>
      <c r="J1861">
        <v>0.18183839881393621</v>
      </c>
      <c r="K1861" t="s">
        <v>432</v>
      </c>
      <c r="L1861">
        <v>0.84040029651593773</v>
      </c>
      <c r="M1861">
        <v>1</v>
      </c>
      <c r="N1861">
        <v>2.6462026991267502E-2</v>
      </c>
      <c r="O1861" t="s">
        <v>433</v>
      </c>
      <c r="P1861">
        <v>11037</v>
      </c>
      <c r="Q1861">
        <v>0.91782187188547604</v>
      </c>
      <c r="R1861">
        <v>0</v>
      </c>
      <c r="T1861">
        <v>0</v>
      </c>
      <c r="U1861" t="b">
        <v>0</v>
      </c>
      <c r="V1861">
        <v>7.4877192982456133</v>
      </c>
      <c r="Y1861">
        <v>0</v>
      </c>
      <c r="Z1861">
        <v>538</v>
      </c>
      <c r="AA1861">
        <v>3.3627414286190899E-2</v>
      </c>
      <c r="AB1861">
        <v>2.4300479776316211</v>
      </c>
      <c r="AC1861">
        <v>-5.2026947215870999E-3</v>
      </c>
      <c r="AD1861">
        <v>7.8572820821530706E-2</v>
      </c>
      <c r="AE1861">
        <v>0</v>
      </c>
      <c r="AF1861" t="b">
        <v>0</v>
      </c>
    </row>
    <row r="1862" spans="1:35" x14ac:dyDescent="0.3">
      <c r="A1862" t="s">
        <v>3735</v>
      </c>
      <c r="B1862" t="s">
        <v>3736</v>
      </c>
      <c r="C1862" t="s">
        <v>831</v>
      </c>
      <c r="D1862">
        <v>2262</v>
      </c>
      <c r="E1862">
        <v>34151</v>
      </c>
      <c r="F1862">
        <v>11</v>
      </c>
      <c r="G1862">
        <v>60</v>
      </c>
      <c r="H1862">
        <v>60</v>
      </c>
      <c r="I1862">
        <v>1</v>
      </c>
      <c r="J1862">
        <v>1</v>
      </c>
      <c r="K1862" t="s">
        <v>86</v>
      </c>
      <c r="P1862">
        <v>0</v>
      </c>
      <c r="R1862">
        <v>0</v>
      </c>
      <c r="T1862">
        <v>1</v>
      </c>
      <c r="U1862" t="b">
        <v>1</v>
      </c>
      <c r="V1862">
        <v>5.9017462655165156</v>
      </c>
      <c r="W1862">
        <v>0.35855263157894729</v>
      </c>
      <c r="X1862" t="b">
        <v>1</v>
      </c>
      <c r="Y1862">
        <v>0</v>
      </c>
      <c r="Z1862">
        <v>854</v>
      </c>
      <c r="AA1862">
        <v>1.6588142828258001E-3</v>
      </c>
      <c r="AB1862">
        <v>0.15972358667045439</v>
      </c>
      <c r="AC1862">
        <v>8.9536551630919007E-3</v>
      </c>
      <c r="AD1862">
        <v>-6.2275705566819002E-3</v>
      </c>
      <c r="AE1862">
        <v>1</v>
      </c>
      <c r="AF1862" t="b">
        <v>1</v>
      </c>
      <c r="AG1862">
        <v>-4.3290043290039999E-4</v>
      </c>
      <c r="AH1862">
        <v>-3.8961038961038801E-2</v>
      </c>
      <c r="AI1862" t="b">
        <v>1</v>
      </c>
    </row>
    <row r="1863" spans="1:35" x14ac:dyDescent="0.3">
      <c r="A1863" t="s">
        <v>3737</v>
      </c>
      <c r="B1863" t="s">
        <v>3738</v>
      </c>
      <c r="C1863" t="s">
        <v>431</v>
      </c>
      <c r="D1863">
        <v>1317</v>
      </c>
      <c r="E1863">
        <v>21642</v>
      </c>
      <c r="F1863">
        <v>13</v>
      </c>
      <c r="G1863">
        <v>60</v>
      </c>
      <c r="H1863">
        <v>60</v>
      </c>
      <c r="I1863">
        <v>1</v>
      </c>
      <c r="J1863">
        <v>1</v>
      </c>
      <c r="K1863" t="s">
        <v>432</v>
      </c>
      <c r="L1863">
        <v>0.82236359187668218</v>
      </c>
      <c r="M1863">
        <v>1</v>
      </c>
      <c r="N1863">
        <v>1</v>
      </c>
      <c r="O1863" t="s">
        <v>433</v>
      </c>
      <c r="P1863">
        <v>0</v>
      </c>
      <c r="R1863">
        <v>0</v>
      </c>
      <c r="T1863">
        <v>0</v>
      </c>
      <c r="U1863" t="b">
        <v>0</v>
      </c>
      <c r="V1863">
        <v>3.9376121327651941</v>
      </c>
      <c r="Y1863">
        <v>0</v>
      </c>
      <c r="Z1863">
        <v>628</v>
      </c>
      <c r="AA1863">
        <v>1.2715086127225E-2</v>
      </c>
      <c r="AB1863">
        <v>1.0424953337654299</v>
      </c>
      <c r="AC1863">
        <v>1.7747524368287E-3</v>
      </c>
      <c r="AD1863">
        <v>3.44573917137476E-2</v>
      </c>
      <c r="AE1863">
        <v>0</v>
      </c>
      <c r="AF1863" t="b">
        <v>0</v>
      </c>
    </row>
    <row r="1864" spans="1:35" x14ac:dyDescent="0.3">
      <c r="A1864" t="s">
        <v>3739</v>
      </c>
      <c r="B1864" t="s">
        <v>3740</v>
      </c>
      <c r="C1864" t="s">
        <v>474</v>
      </c>
      <c r="D1864">
        <v>10684</v>
      </c>
      <c r="E1864">
        <v>160535</v>
      </c>
      <c r="F1864">
        <v>25</v>
      </c>
      <c r="G1864">
        <v>60</v>
      </c>
      <c r="H1864">
        <v>60</v>
      </c>
      <c r="I1864">
        <v>1</v>
      </c>
      <c r="J1864">
        <v>1</v>
      </c>
      <c r="K1864" t="s">
        <v>86</v>
      </c>
      <c r="P1864">
        <v>0</v>
      </c>
      <c r="R1864">
        <v>0</v>
      </c>
      <c r="T1864">
        <v>0</v>
      </c>
      <c r="U1864" t="b">
        <v>0</v>
      </c>
      <c r="V1864">
        <v>6.9021600337371849</v>
      </c>
      <c r="Y1864">
        <v>0</v>
      </c>
      <c r="Z1864">
        <v>3167</v>
      </c>
      <c r="AA1864">
        <v>-1.31450210470741E-2</v>
      </c>
      <c r="AB1864">
        <v>-1.0358434955363831</v>
      </c>
      <c r="AC1864">
        <v>-4.2631464038434701E-2</v>
      </c>
      <c r="AD1864">
        <v>9.6902600745353996E-3</v>
      </c>
      <c r="AE1864">
        <v>0</v>
      </c>
      <c r="AF1864" t="b">
        <v>0</v>
      </c>
    </row>
    <row r="1865" spans="1:35" x14ac:dyDescent="0.3">
      <c r="A1865" t="s">
        <v>3741</v>
      </c>
      <c r="B1865" t="s">
        <v>3742</v>
      </c>
      <c r="C1865" t="s">
        <v>431</v>
      </c>
      <c r="D1865">
        <v>71</v>
      </c>
      <c r="E1865">
        <v>2462</v>
      </c>
      <c r="F1865">
        <v>13</v>
      </c>
      <c r="G1865">
        <v>60</v>
      </c>
      <c r="H1865">
        <v>60</v>
      </c>
      <c r="I1865">
        <v>0.98172217709179521</v>
      </c>
      <c r="J1865">
        <v>0.9896873992910088</v>
      </c>
      <c r="K1865" t="s">
        <v>432</v>
      </c>
      <c r="L1865">
        <v>0.88785046728971961</v>
      </c>
      <c r="M1865">
        <v>1</v>
      </c>
      <c r="N1865">
        <v>0.9883847549909256</v>
      </c>
      <c r="O1865" t="s">
        <v>518</v>
      </c>
      <c r="P1865">
        <v>32</v>
      </c>
      <c r="Q1865">
        <v>0</v>
      </c>
      <c r="R1865">
        <v>0</v>
      </c>
      <c r="T1865">
        <v>0</v>
      </c>
      <c r="U1865" t="b">
        <v>0</v>
      </c>
      <c r="Y1865">
        <v>0</v>
      </c>
      <c r="Z1865">
        <v>0</v>
      </c>
      <c r="AE1865">
        <v>0</v>
      </c>
      <c r="AF1865" t="b">
        <v>0</v>
      </c>
    </row>
    <row r="1866" spans="1:35" x14ac:dyDescent="0.3">
      <c r="A1866" t="s">
        <v>3743</v>
      </c>
      <c r="B1866" t="s">
        <v>3744</v>
      </c>
      <c r="C1866" t="s">
        <v>431</v>
      </c>
      <c r="D1866">
        <v>1210</v>
      </c>
      <c r="E1866">
        <v>40117</v>
      </c>
      <c r="F1866">
        <v>225</v>
      </c>
      <c r="G1866">
        <v>53</v>
      </c>
      <c r="H1866">
        <v>1</v>
      </c>
      <c r="I1866">
        <v>2.4378692324949498E-2</v>
      </c>
      <c r="J1866">
        <v>0.13901323589904899</v>
      </c>
      <c r="K1866" t="s">
        <v>432</v>
      </c>
      <c r="L1866">
        <v>0.87908631161226314</v>
      </c>
      <c r="M1866">
        <v>1</v>
      </c>
      <c r="N1866">
        <v>2.05890448665015E-2</v>
      </c>
      <c r="O1866" t="s">
        <v>433</v>
      </c>
      <c r="P1866">
        <v>35582</v>
      </c>
      <c r="Q1866">
        <v>0.23379798774661339</v>
      </c>
      <c r="R1866">
        <v>0</v>
      </c>
      <c r="T1866">
        <v>0</v>
      </c>
      <c r="U1866" t="b">
        <v>0</v>
      </c>
      <c r="V1866">
        <v>3.6120374378707711</v>
      </c>
      <c r="Y1866">
        <v>0</v>
      </c>
      <c r="Z1866">
        <v>1086</v>
      </c>
      <c r="AA1866">
        <v>-9.5542955256919006E-3</v>
      </c>
      <c r="AB1866">
        <v>-0.6203811926857915</v>
      </c>
      <c r="AC1866">
        <v>-3.0952035657315899E-2</v>
      </c>
      <c r="AD1866">
        <v>9.6717181051459E-3</v>
      </c>
      <c r="AE1866">
        <v>0</v>
      </c>
      <c r="AF1866"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Table&amp;Findings</vt:lpstr>
      <vt:lpstr>feed_data_v2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 Loq</cp:lastModifiedBy>
  <dcterms:created xsi:type="dcterms:W3CDTF">2026-10-26T18:35:08Z</dcterms:created>
  <dcterms:modified xsi:type="dcterms:W3CDTF">2026-10-26T18:42:32Z</dcterms:modified>
</cp:coreProperties>
</file>